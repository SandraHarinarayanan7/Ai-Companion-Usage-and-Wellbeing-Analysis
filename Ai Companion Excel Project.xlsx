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613d2359f6a3f842/Pictures/Desktop/"/>
    </mc:Choice>
  </mc:AlternateContent>
  <xr:revisionPtr revIDLastSave="2722" documentId="8_{51C2C702-CA5C-4A7A-8E32-43C1A7A78CBB}" xr6:coauthVersionLast="47" xr6:coauthVersionMax="47" xr10:uidLastSave="{848F9085-4E1B-4CAF-BD7A-D73D5C0A36BE}"/>
  <bookViews>
    <workbookView xWindow="-108" yWindow="-108" windowWidth="23256" windowHeight="12456" activeTab="2" xr2:uid="{95481ACA-C410-4819-B8A2-EAA1156C43DD}"/>
  </bookViews>
  <sheets>
    <sheet name="ai_companion_dependency_dataset" sheetId="1" r:id="rId1"/>
    <sheet name="Sheet1" sheetId="2" r:id="rId2"/>
    <sheet name="Sheet2" sheetId="3" r:id="rId3"/>
  </sheets>
  <definedNames>
    <definedName name="_xlnm._FilterDatabase" localSheetId="0" hidden="1">ai_companion_dependency_dataset!$A$1:$AG$1001</definedName>
    <definedName name="Slicer_Age_Group">#N/A</definedName>
    <definedName name="Slicer_Ai_chatbot_Platform">#N/A</definedName>
    <definedName name="Slicer_Ai_Usage_Category">#N/A</definedName>
    <definedName name="Slicer_Dependency_risk_label">#N/A</definedName>
    <definedName name="Slicer_Loneliness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 l="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2" i="1"/>
  <c r="B128" i="2"/>
  <c r="B122" i="2"/>
  <c r="B119" i="2"/>
  <c r="B125" i="2"/>
</calcChain>
</file>

<file path=xl/sharedStrings.xml><?xml version="1.0" encoding="utf-8"?>
<sst xmlns="http://schemas.openxmlformats.org/spreadsheetml/2006/main" count="14088" uniqueCount="1099">
  <si>
    <t>U0001</t>
  </si>
  <si>
    <t>Male</t>
  </si>
  <si>
    <t>Employed Full-Time</t>
  </si>
  <si>
    <t>High School</t>
  </si>
  <si>
    <t>Lower-Middle</t>
  </si>
  <si>
    <t>In a Relationship</t>
  </si>
  <si>
    <t>With Partner</t>
  </si>
  <si>
    <t>South America</t>
  </si>
  <si>
    <t>ChatGPT</t>
  </si>
  <si>
    <t>Learning</t>
  </si>
  <si>
    <t>No</t>
  </si>
  <si>
    <t>Improved</t>
  </si>
  <si>
    <t>Low</t>
  </si>
  <si>
    <t>U0002</t>
  </si>
  <si>
    <t>Student</t>
  </si>
  <si>
    <t>Graduate</t>
  </si>
  <si>
    <t>Upper-Middle</t>
  </si>
  <si>
    <t>Single</t>
  </si>
  <si>
    <t>Alone</t>
  </si>
  <si>
    <t>North America</t>
  </si>
  <si>
    <t>Character.AI</t>
  </si>
  <si>
    <t>Same</t>
  </si>
  <si>
    <t>Moderate</t>
  </si>
  <si>
    <t>U0003</t>
  </si>
  <si>
    <t>Europe</t>
  </si>
  <si>
    <t>Entertainment</t>
  </si>
  <si>
    <t>U0004</t>
  </si>
  <si>
    <t>Non-binary</t>
  </si>
  <si>
    <t>With Family</t>
  </si>
  <si>
    <t>Asia</t>
  </si>
  <si>
    <t>Therapy-Substitute</t>
  </si>
  <si>
    <t>U0005</t>
  </si>
  <si>
    <t>Female</t>
  </si>
  <si>
    <t>With Roommates</t>
  </si>
  <si>
    <t>U0006</t>
  </si>
  <si>
    <t>Africa</t>
  </si>
  <si>
    <t>U0007</t>
  </si>
  <si>
    <t>Undergraduate</t>
  </si>
  <si>
    <t>Other/Multiple</t>
  </si>
  <si>
    <t>Yes</t>
  </si>
  <si>
    <t>U0008</t>
  </si>
  <si>
    <t>Freelancer</t>
  </si>
  <si>
    <t>U0009</t>
  </si>
  <si>
    <t>Married</t>
  </si>
  <si>
    <t>Declined</t>
  </si>
  <si>
    <t>High</t>
  </si>
  <si>
    <t>U0010</t>
  </si>
  <si>
    <t>Employed Part-Time</t>
  </si>
  <si>
    <t>Replika</t>
  </si>
  <si>
    <t>U0011</t>
  </si>
  <si>
    <t>U0012</t>
  </si>
  <si>
    <t>Claude</t>
  </si>
  <si>
    <t>U0013</t>
  </si>
  <si>
    <t>Companionship</t>
  </si>
  <si>
    <t>U0014</t>
  </si>
  <si>
    <t>U0015</t>
  </si>
  <si>
    <t>U0016</t>
  </si>
  <si>
    <t>U0017</t>
  </si>
  <si>
    <t>Unemployed</t>
  </si>
  <si>
    <t>Postgraduate</t>
  </si>
  <si>
    <t>U0018</t>
  </si>
  <si>
    <t>U0019</t>
  </si>
  <si>
    <t>U0020</t>
  </si>
  <si>
    <t>U0021</t>
  </si>
  <si>
    <t>U0022</t>
  </si>
  <si>
    <t>U0023</t>
  </si>
  <si>
    <t>Divorced/Separated</t>
  </si>
  <si>
    <t>U0024</t>
  </si>
  <si>
    <t>U0025</t>
  </si>
  <si>
    <t>U0026</t>
  </si>
  <si>
    <t>U0027</t>
  </si>
  <si>
    <t>U0028</t>
  </si>
  <si>
    <t>U0029</t>
  </si>
  <si>
    <t>U0030</t>
  </si>
  <si>
    <t>U0031</t>
  </si>
  <si>
    <t>U0032</t>
  </si>
  <si>
    <t>U0033</t>
  </si>
  <si>
    <t>U0034</t>
  </si>
  <si>
    <t>U0035</t>
  </si>
  <si>
    <t>U0036</t>
  </si>
  <si>
    <t>U0037</t>
  </si>
  <si>
    <t>U0038</t>
  </si>
  <si>
    <t>U0039</t>
  </si>
  <si>
    <t>U0040</t>
  </si>
  <si>
    <t>U0041</t>
  </si>
  <si>
    <t>U0042</t>
  </si>
  <si>
    <t>U0043</t>
  </si>
  <si>
    <t>U0044</t>
  </si>
  <si>
    <t>U0045</t>
  </si>
  <si>
    <t>Prefer not to say</t>
  </si>
  <si>
    <t>U0046</t>
  </si>
  <si>
    <t>U0047</t>
  </si>
  <si>
    <t>U0048</t>
  </si>
  <si>
    <t>U0049</t>
  </si>
  <si>
    <t>U0050</t>
  </si>
  <si>
    <t>U0051</t>
  </si>
  <si>
    <t>U0052</t>
  </si>
  <si>
    <t>U0053</t>
  </si>
  <si>
    <t>U0054</t>
  </si>
  <si>
    <t>U0055</t>
  </si>
  <si>
    <t>U0056</t>
  </si>
  <si>
    <t>U0057</t>
  </si>
  <si>
    <t>U0058</t>
  </si>
  <si>
    <t>U0059</t>
  </si>
  <si>
    <t>U0060</t>
  </si>
  <si>
    <t>U0061</t>
  </si>
  <si>
    <t>U0062</t>
  </si>
  <si>
    <t>U0063</t>
  </si>
  <si>
    <t>U0064</t>
  </si>
  <si>
    <t>U0065</t>
  </si>
  <si>
    <t>U0066</t>
  </si>
  <si>
    <t>U0067</t>
  </si>
  <si>
    <t>U0068</t>
  </si>
  <si>
    <t>U0069</t>
  </si>
  <si>
    <t>U0070</t>
  </si>
  <si>
    <t>U0071</t>
  </si>
  <si>
    <t>U0072</t>
  </si>
  <si>
    <t>U0073</t>
  </si>
  <si>
    <t>U0074</t>
  </si>
  <si>
    <t>U0075</t>
  </si>
  <si>
    <t>U0076</t>
  </si>
  <si>
    <t>U0077</t>
  </si>
  <si>
    <t>U0078</t>
  </si>
  <si>
    <t>U0079</t>
  </si>
  <si>
    <t>U0080</t>
  </si>
  <si>
    <t>U0081</t>
  </si>
  <si>
    <t>U0082</t>
  </si>
  <si>
    <t>U0083</t>
  </si>
  <si>
    <t>U0084</t>
  </si>
  <si>
    <t>U0085</t>
  </si>
  <si>
    <t>U0086</t>
  </si>
  <si>
    <t>U0087</t>
  </si>
  <si>
    <t>U0088</t>
  </si>
  <si>
    <t>U0089</t>
  </si>
  <si>
    <t>U0090</t>
  </si>
  <si>
    <t>U0091</t>
  </si>
  <si>
    <t>U0092</t>
  </si>
  <si>
    <t>U0093</t>
  </si>
  <si>
    <t>U0094</t>
  </si>
  <si>
    <t>U0095</t>
  </si>
  <si>
    <t>U0096</t>
  </si>
  <si>
    <t>U0097</t>
  </si>
  <si>
    <t>U0098</t>
  </si>
  <si>
    <t>U0099</t>
  </si>
  <si>
    <t>U0100</t>
  </si>
  <si>
    <t>U0101</t>
  </si>
  <si>
    <t>U0102</t>
  </si>
  <si>
    <t>U0103</t>
  </si>
  <si>
    <t>U0104</t>
  </si>
  <si>
    <t>U0105</t>
  </si>
  <si>
    <t>U0106</t>
  </si>
  <si>
    <t>U0107</t>
  </si>
  <si>
    <t>U0108</t>
  </si>
  <si>
    <t>U0109</t>
  </si>
  <si>
    <t>U0110</t>
  </si>
  <si>
    <t>U0111</t>
  </si>
  <si>
    <t>U0112</t>
  </si>
  <si>
    <t>U0113</t>
  </si>
  <si>
    <t>U0114</t>
  </si>
  <si>
    <t>U0115</t>
  </si>
  <si>
    <t>U0116</t>
  </si>
  <si>
    <t>U0117</t>
  </si>
  <si>
    <t>U0118</t>
  </si>
  <si>
    <t>U0119</t>
  </si>
  <si>
    <t>U0120</t>
  </si>
  <si>
    <t>U0121</t>
  </si>
  <si>
    <t>U0122</t>
  </si>
  <si>
    <t>U0123</t>
  </si>
  <si>
    <t>U0124</t>
  </si>
  <si>
    <t>U0125</t>
  </si>
  <si>
    <t>U0126</t>
  </si>
  <si>
    <t>U0127</t>
  </si>
  <si>
    <t>U0128</t>
  </si>
  <si>
    <t>U0129</t>
  </si>
  <si>
    <t>U0130</t>
  </si>
  <si>
    <t>U0131</t>
  </si>
  <si>
    <t>U0132</t>
  </si>
  <si>
    <t>U0133</t>
  </si>
  <si>
    <t>U0134</t>
  </si>
  <si>
    <t>U0135</t>
  </si>
  <si>
    <t>U0136</t>
  </si>
  <si>
    <t>U0137</t>
  </si>
  <si>
    <t>U0138</t>
  </si>
  <si>
    <t>U0139</t>
  </si>
  <si>
    <t>U0140</t>
  </si>
  <si>
    <t>U0141</t>
  </si>
  <si>
    <t>U0142</t>
  </si>
  <si>
    <t>U0143</t>
  </si>
  <si>
    <t>U0144</t>
  </si>
  <si>
    <t>U0145</t>
  </si>
  <si>
    <t>U0146</t>
  </si>
  <si>
    <t>U0147</t>
  </si>
  <si>
    <t>U0148</t>
  </si>
  <si>
    <t>U0149</t>
  </si>
  <si>
    <t>U0150</t>
  </si>
  <si>
    <t>U0151</t>
  </si>
  <si>
    <t>U0152</t>
  </si>
  <si>
    <t>U0153</t>
  </si>
  <si>
    <t>U0154</t>
  </si>
  <si>
    <t>U0155</t>
  </si>
  <si>
    <t>U0156</t>
  </si>
  <si>
    <t>U0157</t>
  </si>
  <si>
    <t>U0158</t>
  </si>
  <si>
    <t>U0159</t>
  </si>
  <si>
    <t>U0160</t>
  </si>
  <si>
    <t>U0161</t>
  </si>
  <si>
    <t>U0162</t>
  </si>
  <si>
    <t>U0163</t>
  </si>
  <si>
    <t>U0164</t>
  </si>
  <si>
    <t>U0165</t>
  </si>
  <si>
    <t>U0166</t>
  </si>
  <si>
    <t>U0167</t>
  </si>
  <si>
    <t>U0168</t>
  </si>
  <si>
    <t>U0169</t>
  </si>
  <si>
    <t>U0170</t>
  </si>
  <si>
    <t>U0171</t>
  </si>
  <si>
    <t>U0172</t>
  </si>
  <si>
    <t>U0173</t>
  </si>
  <si>
    <t>U0174</t>
  </si>
  <si>
    <t>U0175</t>
  </si>
  <si>
    <t>U0176</t>
  </si>
  <si>
    <t>U0177</t>
  </si>
  <si>
    <t>U0178</t>
  </si>
  <si>
    <t>U0179</t>
  </si>
  <si>
    <t>U0180</t>
  </si>
  <si>
    <t>U0181</t>
  </si>
  <si>
    <t>U0182</t>
  </si>
  <si>
    <t>U0183</t>
  </si>
  <si>
    <t>U0184</t>
  </si>
  <si>
    <t>U0185</t>
  </si>
  <si>
    <t>U0186</t>
  </si>
  <si>
    <t>U0187</t>
  </si>
  <si>
    <t>U0188</t>
  </si>
  <si>
    <t>U0189</t>
  </si>
  <si>
    <t>U0190</t>
  </si>
  <si>
    <t>U0191</t>
  </si>
  <si>
    <t>U0192</t>
  </si>
  <si>
    <t>U0193</t>
  </si>
  <si>
    <t>U0194</t>
  </si>
  <si>
    <t>U0195</t>
  </si>
  <si>
    <t>U0196</t>
  </si>
  <si>
    <t>U0197</t>
  </si>
  <si>
    <t>U0198</t>
  </si>
  <si>
    <t>U0199</t>
  </si>
  <si>
    <t>U0200</t>
  </si>
  <si>
    <t>U0201</t>
  </si>
  <si>
    <t>U0202</t>
  </si>
  <si>
    <t>U0203</t>
  </si>
  <si>
    <t>U0204</t>
  </si>
  <si>
    <t>U0205</t>
  </si>
  <si>
    <t>U0206</t>
  </si>
  <si>
    <t>U0207</t>
  </si>
  <si>
    <t>U0208</t>
  </si>
  <si>
    <t>U0209</t>
  </si>
  <si>
    <t>Oceania</t>
  </si>
  <si>
    <t>U0210</t>
  </si>
  <si>
    <t>U0211</t>
  </si>
  <si>
    <t>U0212</t>
  </si>
  <si>
    <t>U0213</t>
  </si>
  <si>
    <t>U0214</t>
  </si>
  <si>
    <t>U0215</t>
  </si>
  <si>
    <t>U0216</t>
  </si>
  <si>
    <t>U0217</t>
  </si>
  <si>
    <t>U0218</t>
  </si>
  <si>
    <t>U0219</t>
  </si>
  <si>
    <t>U0220</t>
  </si>
  <si>
    <t>U0221</t>
  </si>
  <si>
    <t>U0222</t>
  </si>
  <si>
    <t>U0223</t>
  </si>
  <si>
    <t>U0224</t>
  </si>
  <si>
    <t>U0225</t>
  </si>
  <si>
    <t>U0226</t>
  </si>
  <si>
    <t>U0227</t>
  </si>
  <si>
    <t>U0228</t>
  </si>
  <si>
    <t>U0229</t>
  </si>
  <si>
    <t>U0230</t>
  </si>
  <si>
    <t>U0231</t>
  </si>
  <si>
    <t>U0232</t>
  </si>
  <si>
    <t>U0233</t>
  </si>
  <si>
    <t>U0234</t>
  </si>
  <si>
    <t>U0235</t>
  </si>
  <si>
    <t>U0236</t>
  </si>
  <si>
    <t>U0237</t>
  </si>
  <si>
    <t>U0238</t>
  </si>
  <si>
    <t>U0239</t>
  </si>
  <si>
    <t>U0240</t>
  </si>
  <si>
    <t>U0241</t>
  </si>
  <si>
    <t>U0242</t>
  </si>
  <si>
    <t>U0243</t>
  </si>
  <si>
    <t>U0244</t>
  </si>
  <si>
    <t>U0245</t>
  </si>
  <si>
    <t>U0246</t>
  </si>
  <si>
    <t>U0247</t>
  </si>
  <si>
    <t>U0248</t>
  </si>
  <si>
    <t>U0249</t>
  </si>
  <si>
    <t>U0250</t>
  </si>
  <si>
    <t>U0251</t>
  </si>
  <si>
    <t>U0252</t>
  </si>
  <si>
    <t>U0253</t>
  </si>
  <si>
    <t>U0254</t>
  </si>
  <si>
    <t>U0255</t>
  </si>
  <si>
    <t>U0256</t>
  </si>
  <si>
    <t>U0257</t>
  </si>
  <si>
    <t>U0258</t>
  </si>
  <si>
    <t>U0259</t>
  </si>
  <si>
    <t>U0260</t>
  </si>
  <si>
    <t>U0261</t>
  </si>
  <si>
    <t>U0262</t>
  </si>
  <si>
    <t>U0263</t>
  </si>
  <si>
    <t>U0264</t>
  </si>
  <si>
    <t>U0265</t>
  </si>
  <si>
    <t>U0266</t>
  </si>
  <si>
    <t>U0267</t>
  </si>
  <si>
    <t>U0268</t>
  </si>
  <si>
    <t>U0269</t>
  </si>
  <si>
    <t>U0270</t>
  </si>
  <si>
    <t>U0271</t>
  </si>
  <si>
    <t>U0272</t>
  </si>
  <si>
    <t>U0273</t>
  </si>
  <si>
    <t>U0274</t>
  </si>
  <si>
    <t>U0275</t>
  </si>
  <si>
    <t>U0276</t>
  </si>
  <si>
    <t>U0277</t>
  </si>
  <si>
    <t>U0278</t>
  </si>
  <si>
    <t>U0279</t>
  </si>
  <si>
    <t>U0280</t>
  </si>
  <si>
    <t>U0281</t>
  </si>
  <si>
    <t>U0282</t>
  </si>
  <si>
    <t>U0283</t>
  </si>
  <si>
    <t>U0284</t>
  </si>
  <si>
    <t>U0285</t>
  </si>
  <si>
    <t>U0286</t>
  </si>
  <si>
    <t>U0287</t>
  </si>
  <si>
    <t>U0288</t>
  </si>
  <si>
    <t>U0289</t>
  </si>
  <si>
    <t>U0290</t>
  </si>
  <si>
    <t>U0291</t>
  </si>
  <si>
    <t>U0292</t>
  </si>
  <si>
    <t>U0293</t>
  </si>
  <si>
    <t>U0294</t>
  </si>
  <si>
    <t>U0295</t>
  </si>
  <si>
    <t>U0296</t>
  </si>
  <si>
    <t>U0297</t>
  </si>
  <si>
    <t>U0298</t>
  </si>
  <si>
    <t>U0299</t>
  </si>
  <si>
    <t>U0300</t>
  </si>
  <si>
    <t>U0301</t>
  </si>
  <si>
    <t>U0302</t>
  </si>
  <si>
    <t>U0303</t>
  </si>
  <si>
    <t>U0304</t>
  </si>
  <si>
    <t>U0305</t>
  </si>
  <si>
    <t>U0306</t>
  </si>
  <si>
    <t>U0307</t>
  </si>
  <si>
    <t>U0308</t>
  </si>
  <si>
    <t>U0309</t>
  </si>
  <si>
    <t>U0310</t>
  </si>
  <si>
    <t>U0311</t>
  </si>
  <si>
    <t>U0312</t>
  </si>
  <si>
    <t>U0313</t>
  </si>
  <si>
    <t>U0314</t>
  </si>
  <si>
    <t>U0315</t>
  </si>
  <si>
    <t>U0316</t>
  </si>
  <si>
    <t>U0317</t>
  </si>
  <si>
    <t>U0318</t>
  </si>
  <si>
    <t>U0319</t>
  </si>
  <si>
    <t>U0320</t>
  </si>
  <si>
    <t>U0321</t>
  </si>
  <si>
    <t>U0322</t>
  </si>
  <si>
    <t>U0323</t>
  </si>
  <si>
    <t>U0324</t>
  </si>
  <si>
    <t>U0325</t>
  </si>
  <si>
    <t>U0326</t>
  </si>
  <si>
    <t>U0327</t>
  </si>
  <si>
    <t>U0328</t>
  </si>
  <si>
    <t>U0329</t>
  </si>
  <si>
    <t>U0330</t>
  </si>
  <si>
    <t>U0331</t>
  </si>
  <si>
    <t>U0332</t>
  </si>
  <si>
    <t>U0333</t>
  </si>
  <si>
    <t>U0334</t>
  </si>
  <si>
    <t>U0335</t>
  </si>
  <si>
    <t>U0336</t>
  </si>
  <si>
    <t>U0337</t>
  </si>
  <si>
    <t>U0338</t>
  </si>
  <si>
    <t>U0339</t>
  </si>
  <si>
    <t>U0340</t>
  </si>
  <si>
    <t>U0341</t>
  </si>
  <si>
    <t>U0342</t>
  </si>
  <si>
    <t>U0343</t>
  </si>
  <si>
    <t>U0344</t>
  </si>
  <si>
    <t>U0345</t>
  </si>
  <si>
    <t>U0346</t>
  </si>
  <si>
    <t>U0347</t>
  </si>
  <si>
    <t>U0348</t>
  </si>
  <si>
    <t>U0349</t>
  </si>
  <si>
    <t>U0350</t>
  </si>
  <si>
    <t>U0351</t>
  </si>
  <si>
    <t>U0352</t>
  </si>
  <si>
    <t>U0353</t>
  </si>
  <si>
    <t>U0354</t>
  </si>
  <si>
    <t>U0355</t>
  </si>
  <si>
    <t>U0356</t>
  </si>
  <si>
    <t>U0357</t>
  </si>
  <si>
    <t>U0358</t>
  </si>
  <si>
    <t>U0359</t>
  </si>
  <si>
    <t>U0360</t>
  </si>
  <si>
    <t>U0361</t>
  </si>
  <si>
    <t>U0362</t>
  </si>
  <si>
    <t>U0363</t>
  </si>
  <si>
    <t>U0364</t>
  </si>
  <si>
    <t>U0365</t>
  </si>
  <si>
    <t>U0366</t>
  </si>
  <si>
    <t>U0367</t>
  </si>
  <si>
    <t>U0368</t>
  </si>
  <si>
    <t>U0369</t>
  </si>
  <si>
    <t>U0370</t>
  </si>
  <si>
    <t>U0371</t>
  </si>
  <si>
    <t>U0372</t>
  </si>
  <si>
    <t>U0373</t>
  </si>
  <si>
    <t>U0374</t>
  </si>
  <si>
    <t>U0375</t>
  </si>
  <si>
    <t>U0376</t>
  </si>
  <si>
    <t>U0377</t>
  </si>
  <si>
    <t>U0378</t>
  </si>
  <si>
    <t>U0379</t>
  </si>
  <si>
    <t>U0380</t>
  </si>
  <si>
    <t>U0381</t>
  </si>
  <si>
    <t>U0382</t>
  </si>
  <si>
    <t>U0383</t>
  </si>
  <si>
    <t>U0384</t>
  </si>
  <si>
    <t>U0385</t>
  </si>
  <si>
    <t>U0386</t>
  </si>
  <si>
    <t>U0387</t>
  </si>
  <si>
    <t>U0388</t>
  </si>
  <si>
    <t>U0389</t>
  </si>
  <si>
    <t>U0390</t>
  </si>
  <si>
    <t>U0391</t>
  </si>
  <si>
    <t>U0392</t>
  </si>
  <si>
    <t>U0393</t>
  </si>
  <si>
    <t>U0394</t>
  </si>
  <si>
    <t>U0395</t>
  </si>
  <si>
    <t>U0396</t>
  </si>
  <si>
    <t>U0397</t>
  </si>
  <si>
    <t>U0398</t>
  </si>
  <si>
    <t>U0399</t>
  </si>
  <si>
    <t>U0400</t>
  </si>
  <si>
    <t>U0401</t>
  </si>
  <si>
    <t>U0402</t>
  </si>
  <si>
    <t>U0403</t>
  </si>
  <si>
    <t>U0404</t>
  </si>
  <si>
    <t>U0405</t>
  </si>
  <si>
    <t>U0406</t>
  </si>
  <si>
    <t>U0407</t>
  </si>
  <si>
    <t>U0408</t>
  </si>
  <si>
    <t>U0409</t>
  </si>
  <si>
    <t>U0410</t>
  </si>
  <si>
    <t>U0411</t>
  </si>
  <si>
    <t>U0412</t>
  </si>
  <si>
    <t>U0413</t>
  </si>
  <si>
    <t>U0414</t>
  </si>
  <si>
    <t>U0415</t>
  </si>
  <si>
    <t>U0416</t>
  </si>
  <si>
    <t>U0417</t>
  </si>
  <si>
    <t>U0418</t>
  </si>
  <si>
    <t>U0419</t>
  </si>
  <si>
    <t>U0420</t>
  </si>
  <si>
    <t>U0421</t>
  </si>
  <si>
    <t>U0422</t>
  </si>
  <si>
    <t>U0423</t>
  </si>
  <si>
    <t>U0424</t>
  </si>
  <si>
    <t>U0425</t>
  </si>
  <si>
    <t>U0426</t>
  </si>
  <si>
    <t>U0427</t>
  </si>
  <si>
    <t>U0428</t>
  </si>
  <si>
    <t>U0429</t>
  </si>
  <si>
    <t>U0430</t>
  </si>
  <si>
    <t>U0431</t>
  </si>
  <si>
    <t>U0432</t>
  </si>
  <si>
    <t>U0433</t>
  </si>
  <si>
    <t>U0434</t>
  </si>
  <si>
    <t>U0435</t>
  </si>
  <si>
    <t>U0436</t>
  </si>
  <si>
    <t>U0437</t>
  </si>
  <si>
    <t>U0438</t>
  </si>
  <si>
    <t>U0439</t>
  </si>
  <si>
    <t>U0440</t>
  </si>
  <si>
    <t>U0441</t>
  </si>
  <si>
    <t>U0442</t>
  </si>
  <si>
    <t>U0443</t>
  </si>
  <si>
    <t>U0444</t>
  </si>
  <si>
    <t>U0445</t>
  </si>
  <si>
    <t>U0446</t>
  </si>
  <si>
    <t>U0447</t>
  </si>
  <si>
    <t>U0448</t>
  </si>
  <si>
    <t>U0449</t>
  </si>
  <si>
    <t>U0450</t>
  </si>
  <si>
    <t>U0451</t>
  </si>
  <si>
    <t>U0452</t>
  </si>
  <si>
    <t>U0453</t>
  </si>
  <si>
    <t>U0454</t>
  </si>
  <si>
    <t>U0455</t>
  </si>
  <si>
    <t>U0456</t>
  </si>
  <si>
    <t>U0457</t>
  </si>
  <si>
    <t>U0458</t>
  </si>
  <si>
    <t>U0459</t>
  </si>
  <si>
    <t>U0460</t>
  </si>
  <si>
    <t>U0461</t>
  </si>
  <si>
    <t>U0462</t>
  </si>
  <si>
    <t>U0463</t>
  </si>
  <si>
    <t>U0464</t>
  </si>
  <si>
    <t>U0465</t>
  </si>
  <si>
    <t>U0466</t>
  </si>
  <si>
    <t>U0467</t>
  </si>
  <si>
    <t>U0468</t>
  </si>
  <si>
    <t>U0469</t>
  </si>
  <si>
    <t>U0470</t>
  </si>
  <si>
    <t>U0471</t>
  </si>
  <si>
    <t>U0472</t>
  </si>
  <si>
    <t>U0473</t>
  </si>
  <si>
    <t>U0474</t>
  </si>
  <si>
    <t>U0475</t>
  </si>
  <si>
    <t>U0476</t>
  </si>
  <si>
    <t>U0477</t>
  </si>
  <si>
    <t>U0478</t>
  </si>
  <si>
    <t>U0479</t>
  </si>
  <si>
    <t>U0480</t>
  </si>
  <si>
    <t>U0481</t>
  </si>
  <si>
    <t>U0482</t>
  </si>
  <si>
    <t>U0483</t>
  </si>
  <si>
    <t>U0484</t>
  </si>
  <si>
    <t>U0485</t>
  </si>
  <si>
    <t>U0486</t>
  </si>
  <si>
    <t>U0487</t>
  </si>
  <si>
    <t>U0488</t>
  </si>
  <si>
    <t>U0489</t>
  </si>
  <si>
    <t>U0490</t>
  </si>
  <si>
    <t>U0491</t>
  </si>
  <si>
    <t>U0492</t>
  </si>
  <si>
    <t>U0493</t>
  </si>
  <si>
    <t>U0494</t>
  </si>
  <si>
    <t>U0495</t>
  </si>
  <si>
    <t>U0496</t>
  </si>
  <si>
    <t>U0497</t>
  </si>
  <si>
    <t>U0498</t>
  </si>
  <si>
    <t>U0499</t>
  </si>
  <si>
    <t>U0500</t>
  </si>
  <si>
    <t>U0501</t>
  </si>
  <si>
    <t>U0502</t>
  </si>
  <si>
    <t>U0503</t>
  </si>
  <si>
    <t>U0504</t>
  </si>
  <si>
    <t>U0505</t>
  </si>
  <si>
    <t>U0506</t>
  </si>
  <si>
    <t>U0507</t>
  </si>
  <si>
    <t>U0508</t>
  </si>
  <si>
    <t>U0509</t>
  </si>
  <si>
    <t>U0510</t>
  </si>
  <si>
    <t>U0511</t>
  </si>
  <si>
    <t>U0512</t>
  </si>
  <si>
    <t>U0513</t>
  </si>
  <si>
    <t>U0514</t>
  </si>
  <si>
    <t>U0515</t>
  </si>
  <si>
    <t>U0516</t>
  </si>
  <si>
    <t>U0517</t>
  </si>
  <si>
    <t>U0518</t>
  </si>
  <si>
    <t>U0519</t>
  </si>
  <si>
    <t>U0520</t>
  </si>
  <si>
    <t>U0521</t>
  </si>
  <si>
    <t>U0522</t>
  </si>
  <si>
    <t>U0523</t>
  </si>
  <si>
    <t>U0524</t>
  </si>
  <si>
    <t>U0525</t>
  </si>
  <si>
    <t>U0526</t>
  </si>
  <si>
    <t>U0527</t>
  </si>
  <si>
    <t>U0528</t>
  </si>
  <si>
    <t>U0529</t>
  </si>
  <si>
    <t>U0530</t>
  </si>
  <si>
    <t>U0531</t>
  </si>
  <si>
    <t>U0532</t>
  </si>
  <si>
    <t>U0533</t>
  </si>
  <si>
    <t>U0534</t>
  </si>
  <si>
    <t>U0535</t>
  </si>
  <si>
    <t>U0536</t>
  </si>
  <si>
    <t>U0537</t>
  </si>
  <si>
    <t>U0538</t>
  </si>
  <si>
    <t>U0539</t>
  </si>
  <si>
    <t>U0540</t>
  </si>
  <si>
    <t>U0541</t>
  </si>
  <si>
    <t>U0542</t>
  </si>
  <si>
    <t>U0543</t>
  </si>
  <si>
    <t>U0544</t>
  </si>
  <si>
    <t>U0545</t>
  </si>
  <si>
    <t>U0546</t>
  </si>
  <si>
    <t>U0547</t>
  </si>
  <si>
    <t>U0548</t>
  </si>
  <si>
    <t>U0549</t>
  </si>
  <si>
    <t>U0550</t>
  </si>
  <si>
    <t>U0551</t>
  </si>
  <si>
    <t>U0552</t>
  </si>
  <si>
    <t>U0553</t>
  </si>
  <si>
    <t>U0554</t>
  </si>
  <si>
    <t>U0555</t>
  </si>
  <si>
    <t>U0556</t>
  </si>
  <si>
    <t>U0557</t>
  </si>
  <si>
    <t>U0558</t>
  </si>
  <si>
    <t>U0559</t>
  </si>
  <si>
    <t>U0560</t>
  </si>
  <si>
    <t>U0561</t>
  </si>
  <si>
    <t>U0562</t>
  </si>
  <si>
    <t>U0563</t>
  </si>
  <si>
    <t>U0564</t>
  </si>
  <si>
    <t>U0565</t>
  </si>
  <si>
    <t>U0566</t>
  </si>
  <si>
    <t>U0567</t>
  </si>
  <si>
    <t>U0568</t>
  </si>
  <si>
    <t>U0569</t>
  </si>
  <si>
    <t>U0570</t>
  </si>
  <si>
    <t>U0571</t>
  </si>
  <si>
    <t>U0572</t>
  </si>
  <si>
    <t>U0573</t>
  </si>
  <si>
    <t>U0574</t>
  </si>
  <si>
    <t>U0575</t>
  </si>
  <si>
    <t>U0576</t>
  </si>
  <si>
    <t>U0577</t>
  </si>
  <si>
    <t>U0578</t>
  </si>
  <si>
    <t>U0579</t>
  </si>
  <si>
    <t>U0580</t>
  </si>
  <si>
    <t>U0581</t>
  </si>
  <si>
    <t>U0582</t>
  </si>
  <si>
    <t>U0583</t>
  </si>
  <si>
    <t>U0584</t>
  </si>
  <si>
    <t>U0585</t>
  </si>
  <si>
    <t>U0586</t>
  </si>
  <si>
    <t>U0587</t>
  </si>
  <si>
    <t>U0588</t>
  </si>
  <si>
    <t>U0589</t>
  </si>
  <si>
    <t>U0590</t>
  </si>
  <si>
    <t>U0591</t>
  </si>
  <si>
    <t>U0592</t>
  </si>
  <si>
    <t>U0593</t>
  </si>
  <si>
    <t>U0594</t>
  </si>
  <si>
    <t>U0595</t>
  </si>
  <si>
    <t>U0596</t>
  </si>
  <si>
    <t>U0597</t>
  </si>
  <si>
    <t>U0598</t>
  </si>
  <si>
    <t>U0599</t>
  </si>
  <si>
    <t>U0600</t>
  </si>
  <si>
    <t>U0601</t>
  </si>
  <si>
    <t>U0602</t>
  </si>
  <si>
    <t>U0603</t>
  </si>
  <si>
    <t>U0604</t>
  </si>
  <si>
    <t>U0605</t>
  </si>
  <si>
    <t>U0606</t>
  </si>
  <si>
    <t>U0607</t>
  </si>
  <si>
    <t>U0608</t>
  </si>
  <si>
    <t>U0609</t>
  </si>
  <si>
    <t>U0610</t>
  </si>
  <si>
    <t>U0611</t>
  </si>
  <si>
    <t>U0612</t>
  </si>
  <si>
    <t>U0613</t>
  </si>
  <si>
    <t>U0614</t>
  </si>
  <si>
    <t>U0615</t>
  </si>
  <si>
    <t>U0616</t>
  </si>
  <si>
    <t>U0617</t>
  </si>
  <si>
    <t>U0618</t>
  </si>
  <si>
    <t>U0619</t>
  </si>
  <si>
    <t>U0620</t>
  </si>
  <si>
    <t>U0621</t>
  </si>
  <si>
    <t>U0622</t>
  </si>
  <si>
    <t>U0623</t>
  </si>
  <si>
    <t>U0624</t>
  </si>
  <si>
    <t>U0625</t>
  </si>
  <si>
    <t>U0626</t>
  </si>
  <si>
    <t>U0627</t>
  </si>
  <si>
    <t>U0628</t>
  </si>
  <si>
    <t>U0629</t>
  </si>
  <si>
    <t>U0630</t>
  </si>
  <si>
    <t>U0631</t>
  </si>
  <si>
    <t>U0632</t>
  </si>
  <si>
    <t>U0633</t>
  </si>
  <si>
    <t>U0634</t>
  </si>
  <si>
    <t>U0635</t>
  </si>
  <si>
    <t>U0636</t>
  </si>
  <si>
    <t>U0637</t>
  </si>
  <si>
    <t>U0638</t>
  </si>
  <si>
    <t>U0639</t>
  </si>
  <si>
    <t>U0640</t>
  </si>
  <si>
    <t>U0641</t>
  </si>
  <si>
    <t>U0642</t>
  </si>
  <si>
    <t>U0643</t>
  </si>
  <si>
    <t>U0644</t>
  </si>
  <si>
    <t>U0645</t>
  </si>
  <si>
    <t>U0646</t>
  </si>
  <si>
    <t>U0647</t>
  </si>
  <si>
    <t>U0648</t>
  </si>
  <si>
    <t>U0649</t>
  </si>
  <si>
    <t>U0650</t>
  </si>
  <si>
    <t>U0651</t>
  </si>
  <si>
    <t>U0652</t>
  </si>
  <si>
    <t>U0653</t>
  </si>
  <si>
    <t>U0654</t>
  </si>
  <si>
    <t>U0655</t>
  </si>
  <si>
    <t>U0656</t>
  </si>
  <si>
    <t>U0657</t>
  </si>
  <si>
    <t>U0658</t>
  </si>
  <si>
    <t>U0659</t>
  </si>
  <si>
    <t>U0660</t>
  </si>
  <si>
    <t>U0661</t>
  </si>
  <si>
    <t>U0662</t>
  </si>
  <si>
    <t>U0663</t>
  </si>
  <si>
    <t>U0664</t>
  </si>
  <si>
    <t>U0665</t>
  </si>
  <si>
    <t>U0666</t>
  </si>
  <si>
    <t>U0667</t>
  </si>
  <si>
    <t>U0668</t>
  </si>
  <si>
    <t>U0669</t>
  </si>
  <si>
    <t>U0670</t>
  </si>
  <si>
    <t>U0671</t>
  </si>
  <si>
    <t>U0672</t>
  </si>
  <si>
    <t>U0673</t>
  </si>
  <si>
    <t>U0674</t>
  </si>
  <si>
    <t>U0675</t>
  </si>
  <si>
    <t>U0676</t>
  </si>
  <si>
    <t>U0677</t>
  </si>
  <si>
    <t>U0678</t>
  </si>
  <si>
    <t>U0679</t>
  </si>
  <si>
    <t>U0680</t>
  </si>
  <si>
    <t>U0681</t>
  </si>
  <si>
    <t>U0682</t>
  </si>
  <si>
    <t>U0683</t>
  </si>
  <si>
    <t>U0684</t>
  </si>
  <si>
    <t>U0685</t>
  </si>
  <si>
    <t>U0686</t>
  </si>
  <si>
    <t>U0687</t>
  </si>
  <si>
    <t>U0688</t>
  </si>
  <si>
    <t>U0689</t>
  </si>
  <si>
    <t>U0690</t>
  </si>
  <si>
    <t>U0691</t>
  </si>
  <si>
    <t>U0692</t>
  </si>
  <si>
    <t>U0693</t>
  </si>
  <si>
    <t>U0694</t>
  </si>
  <si>
    <t>U0695</t>
  </si>
  <si>
    <t>U0696</t>
  </si>
  <si>
    <t>U0697</t>
  </si>
  <si>
    <t>U0698</t>
  </si>
  <si>
    <t>U0699</t>
  </si>
  <si>
    <t>U0700</t>
  </si>
  <si>
    <t>U0701</t>
  </si>
  <si>
    <t>U0702</t>
  </si>
  <si>
    <t>U0703</t>
  </si>
  <si>
    <t>U0704</t>
  </si>
  <si>
    <t>U0705</t>
  </si>
  <si>
    <t>U0706</t>
  </si>
  <si>
    <t>U0707</t>
  </si>
  <si>
    <t>U0708</t>
  </si>
  <si>
    <t>U0709</t>
  </si>
  <si>
    <t>U0710</t>
  </si>
  <si>
    <t>U0711</t>
  </si>
  <si>
    <t>U0712</t>
  </si>
  <si>
    <t>U0713</t>
  </si>
  <si>
    <t>U0714</t>
  </si>
  <si>
    <t>U0715</t>
  </si>
  <si>
    <t>U0716</t>
  </si>
  <si>
    <t>U0717</t>
  </si>
  <si>
    <t>U0718</t>
  </si>
  <si>
    <t>U0719</t>
  </si>
  <si>
    <t>U0720</t>
  </si>
  <si>
    <t>U0721</t>
  </si>
  <si>
    <t>U0722</t>
  </si>
  <si>
    <t>U0723</t>
  </si>
  <si>
    <t>U0724</t>
  </si>
  <si>
    <t>U0725</t>
  </si>
  <si>
    <t>U0726</t>
  </si>
  <si>
    <t>U0727</t>
  </si>
  <si>
    <t>U0728</t>
  </si>
  <si>
    <t>U0729</t>
  </si>
  <si>
    <t>U0730</t>
  </si>
  <si>
    <t>U0731</t>
  </si>
  <si>
    <t>U0732</t>
  </si>
  <si>
    <t>U0733</t>
  </si>
  <si>
    <t>U0734</t>
  </si>
  <si>
    <t>U0735</t>
  </si>
  <si>
    <t>U0736</t>
  </si>
  <si>
    <t>U0737</t>
  </si>
  <si>
    <t>U0738</t>
  </si>
  <si>
    <t>U0739</t>
  </si>
  <si>
    <t>U0740</t>
  </si>
  <si>
    <t>U0741</t>
  </si>
  <si>
    <t>U0742</t>
  </si>
  <si>
    <t>U0743</t>
  </si>
  <si>
    <t>U0744</t>
  </si>
  <si>
    <t>U0745</t>
  </si>
  <si>
    <t>U0746</t>
  </si>
  <si>
    <t>U0747</t>
  </si>
  <si>
    <t>U0748</t>
  </si>
  <si>
    <t>U0749</t>
  </si>
  <si>
    <t>U0750</t>
  </si>
  <si>
    <t>U0751</t>
  </si>
  <si>
    <t>U0752</t>
  </si>
  <si>
    <t>U0753</t>
  </si>
  <si>
    <t>U0754</t>
  </si>
  <si>
    <t>U0755</t>
  </si>
  <si>
    <t>U0756</t>
  </si>
  <si>
    <t>U0757</t>
  </si>
  <si>
    <t>U0758</t>
  </si>
  <si>
    <t>U0759</t>
  </si>
  <si>
    <t>U0760</t>
  </si>
  <si>
    <t>U0761</t>
  </si>
  <si>
    <t>U0762</t>
  </si>
  <si>
    <t>U0763</t>
  </si>
  <si>
    <t>U0764</t>
  </si>
  <si>
    <t>U0765</t>
  </si>
  <si>
    <t>U0766</t>
  </si>
  <si>
    <t>U0767</t>
  </si>
  <si>
    <t>U0768</t>
  </si>
  <si>
    <t>U0769</t>
  </si>
  <si>
    <t>U0770</t>
  </si>
  <si>
    <t>U0771</t>
  </si>
  <si>
    <t>U0772</t>
  </si>
  <si>
    <t>U0773</t>
  </si>
  <si>
    <t>U0774</t>
  </si>
  <si>
    <t>U0775</t>
  </si>
  <si>
    <t>U0776</t>
  </si>
  <si>
    <t>U0777</t>
  </si>
  <si>
    <t>U0778</t>
  </si>
  <si>
    <t>U0779</t>
  </si>
  <si>
    <t>U0780</t>
  </si>
  <si>
    <t>U0781</t>
  </si>
  <si>
    <t>U0782</t>
  </si>
  <si>
    <t>U0783</t>
  </si>
  <si>
    <t>U0784</t>
  </si>
  <si>
    <t>U0785</t>
  </si>
  <si>
    <t>U0786</t>
  </si>
  <si>
    <t>U0787</t>
  </si>
  <si>
    <t>U0788</t>
  </si>
  <si>
    <t>U0789</t>
  </si>
  <si>
    <t>U0790</t>
  </si>
  <si>
    <t>U0791</t>
  </si>
  <si>
    <t>U0792</t>
  </si>
  <si>
    <t>U0793</t>
  </si>
  <si>
    <t>U0794</t>
  </si>
  <si>
    <t>U0795</t>
  </si>
  <si>
    <t>U0796</t>
  </si>
  <si>
    <t>U0797</t>
  </si>
  <si>
    <t>U0798</t>
  </si>
  <si>
    <t>U0799</t>
  </si>
  <si>
    <t>U0800</t>
  </si>
  <si>
    <t>U0801</t>
  </si>
  <si>
    <t>U0802</t>
  </si>
  <si>
    <t>U0803</t>
  </si>
  <si>
    <t>U0804</t>
  </si>
  <si>
    <t>U0805</t>
  </si>
  <si>
    <t>U0806</t>
  </si>
  <si>
    <t>U0807</t>
  </si>
  <si>
    <t>U0808</t>
  </si>
  <si>
    <t>U0809</t>
  </si>
  <si>
    <t>U0810</t>
  </si>
  <si>
    <t>U0811</t>
  </si>
  <si>
    <t>U0812</t>
  </si>
  <si>
    <t>U0813</t>
  </si>
  <si>
    <t>U0814</t>
  </si>
  <si>
    <t>U0815</t>
  </si>
  <si>
    <t>U0816</t>
  </si>
  <si>
    <t>U0817</t>
  </si>
  <si>
    <t>U0818</t>
  </si>
  <si>
    <t>U0819</t>
  </si>
  <si>
    <t>U0820</t>
  </si>
  <si>
    <t>U0821</t>
  </si>
  <si>
    <t>U0822</t>
  </si>
  <si>
    <t>U0823</t>
  </si>
  <si>
    <t>U0824</t>
  </si>
  <si>
    <t>U0825</t>
  </si>
  <si>
    <t>U0826</t>
  </si>
  <si>
    <t>U0827</t>
  </si>
  <si>
    <t>U0828</t>
  </si>
  <si>
    <t>U0829</t>
  </si>
  <si>
    <t>U0830</t>
  </si>
  <si>
    <t>U0831</t>
  </si>
  <si>
    <t>U0832</t>
  </si>
  <si>
    <t>U0833</t>
  </si>
  <si>
    <t>U0834</t>
  </si>
  <si>
    <t>U0835</t>
  </si>
  <si>
    <t>U0836</t>
  </si>
  <si>
    <t>U0837</t>
  </si>
  <si>
    <t>U0838</t>
  </si>
  <si>
    <t>U0839</t>
  </si>
  <si>
    <t>U0840</t>
  </si>
  <si>
    <t>U0841</t>
  </si>
  <si>
    <t>U0842</t>
  </si>
  <si>
    <t>U0843</t>
  </si>
  <si>
    <t>U0844</t>
  </si>
  <si>
    <t>U0845</t>
  </si>
  <si>
    <t>U0846</t>
  </si>
  <si>
    <t>U0847</t>
  </si>
  <si>
    <t>U0848</t>
  </si>
  <si>
    <t>U0849</t>
  </si>
  <si>
    <t>U0850</t>
  </si>
  <si>
    <t>U0851</t>
  </si>
  <si>
    <t>U0852</t>
  </si>
  <si>
    <t>U0853</t>
  </si>
  <si>
    <t>U0854</t>
  </si>
  <si>
    <t>U0855</t>
  </si>
  <si>
    <t>U0856</t>
  </si>
  <si>
    <t>U0857</t>
  </si>
  <si>
    <t>U0858</t>
  </si>
  <si>
    <t>U0859</t>
  </si>
  <si>
    <t>U0860</t>
  </si>
  <si>
    <t>U0861</t>
  </si>
  <si>
    <t>U0862</t>
  </si>
  <si>
    <t>U0863</t>
  </si>
  <si>
    <t>U0864</t>
  </si>
  <si>
    <t>U0865</t>
  </si>
  <si>
    <t>U0866</t>
  </si>
  <si>
    <t>U0867</t>
  </si>
  <si>
    <t>U0868</t>
  </si>
  <si>
    <t>U0869</t>
  </si>
  <si>
    <t>U0870</t>
  </si>
  <si>
    <t>U0871</t>
  </si>
  <si>
    <t>U0872</t>
  </si>
  <si>
    <t>U0873</t>
  </si>
  <si>
    <t>U0874</t>
  </si>
  <si>
    <t>U0875</t>
  </si>
  <si>
    <t>U0876</t>
  </si>
  <si>
    <t>U0877</t>
  </si>
  <si>
    <t>U0878</t>
  </si>
  <si>
    <t>U0879</t>
  </si>
  <si>
    <t>U0880</t>
  </si>
  <si>
    <t>U0881</t>
  </si>
  <si>
    <t>U0882</t>
  </si>
  <si>
    <t>U0883</t>
  </si>
  <si>
    <t>U0884</t>
  </si>
  <si>
    <t>U0885</t>
  </si>
  <si>
    <t>U0886</t>
  </si>
  <si>
    <t>U0887</t>
  </si>
  <si>
    <t>U0888</t>
  </si>
  <si>
    <t>U0889</t>
  </si>
  <si>
    <t>U0890</t>
  </si>
  <si>
    <t>U0891</t>
  </si>
  <si>
    <t>U0892</t>
  </si>
  <si>
    <t>U0893</t>
  </si>
  <si>
    <t>U0894</t>
  </si>
  <si>
    <t>U0895</t>
  </si>
  <si>
    <t>U0896</t>
  </si>
  <si>
    <t>U0897</t>
  </si>
  <si>
    <t>U0898</t>
  </si>
  <si>
    <t>U0899</t>
  </si>
  <si>
    <t>U0900</t>
  </si>
  <si>
    <t>U0901</t>
  </si>
  <si>
    <t>U0902</t>
  </si>
  <si>
    <t>U0903</t>
  </si>
  <si>
    <t>U0904</t>
  </si>
  <si>
    <t>U0905</t>
  </si>
  <si>
    <t>U0906</t>
  </si>
  <si>
    <t>U0907</t>
  </si>
  <si>
    <t>U0908</t>
  </si>
  <si>
    <t>U0909</t>
  </si>
  <si>
    <t>U0910</t>
  </si>
  <si>
    <t>U0911</t>
  </si>
  <si>
    <t>U0912</t>
  </si>
  <si>
    <t>U0913</t>
  </si>
  <si>
    <t>U0914</t>
  </si>
  <si>
    <t>U0915</t>
  </si>
  <si>
    <t>U0916</t>
  </si>
  <si>
    <t>U0917</t>
  </si>
  <si>
    <t>U0918</t>
  </si>
  <si>
    <t>U0919</t>
  </si>
  <si>
    <t>U0920</t>
  </si>
  <si>
    <t>U0921</t>
  </si>
  <si>
    <t>U0922</t>
  </si>
  <si>
    <t>U0923</t>
  </si>
  <si>
    <t>U0924</t>
  </si>
  <si>
    <t>U0925</t>
  </si>
  <si>
    <t>U0926</t>
  </si>
  <si>
    <t>U0927</t>
  </si>
  <si>
    <t>U0928</t>
  </si>
  <si>
    <t>U0929</t>
  </si>
  <si>
    <t>U0930</t>
  </si>
  <si>
    <t>U0931</t>
  </si>
  <si>
    <t>U0932</t>
  </si>
  <si>
    <t>U0933</t>
  </si>
  <si>
    <t>U0934</t>
  </si>
  <si>
    <t>U0935</t>
  </si>
  <si>
    <t>U0936</t>
  </si>
  <si>
    <t>U0937</t>
  </si>
  <si>
    <t>U0938</t>
  </si>
  <si>
    <t>U0939</t>
  </si>
  <si>
    <t>U0940</t>
  </si>
  <si>
    <t>U0941</t>
  </si>
  <si>
    <t>U0942</t>
  </si>
  <si>
    <t>U0943</t>
  </si>
  <si>
    <t>U0944</t>
  </si>
  <si>
    <t>U0945</t>
  </si>
  <si>
    <t>U0946</t>
  </si>
  <si>
    <t>U0947</t>
  </si>
  <si>
    <t>U0948</t>
  </si>
  <si>
    <t>U0949</t>
  </si>
  <si>
    <t>U0950</t>
  </si>
  <si>
    <t>U0951</t>
  </si>
  <si>
    <t>U0952</t>
  </si>
  <si>
    <t>U0953</t>
  </si>
  <si>
    <t>U0954</t>
  </si>
  <si>
    <t>U0955</t>
  </si>
  <si>
    <t>U0956</t>
  </si>
  <si>
    <t>U0957</t>
  </si>
  <si>
    <t>U0958</t>
  </si>
  <si>
    <t>U0959</t>
  </si>
  <si>
    <t>U0960</t>
  </si>
  <si>
    <t>U0961</t>
  </si>
  <si>
    <t>U0962</t>
  </si>
  <si>
    <t>U0963</t>
  </si>
  <si>
    <t>U0964</t>
  </si>
  <si>
    <t>U0965</t>
  </si>
  <si>
    <t>U0966</t>
  </si>
  <si>
    <t>U0967</t>
  </si>
  <si>
    <t>U0968</t>
  </si>
  <si>
    <t>U0969</t>
  </si>
  <si>
    <t>U0970</t>
  </si>
  <si>
    <t>U0971</t>
  </si>
  <si>
    <t>U0972</t>
  </si>
  <si>
    <t>U0973</t>
  </si>
  <si>
    <t>U0974</t>
  </si>
  <si>
    <t>U0975</t>
  </si>
  <si>
    <t>U0976</t>
  </si>
  <si>
    <t>U0977</t>
  </si>
  <si>
    <t>U0978</t>
  </si>
  <si>
    <t>U0979</t>
  </si>
  <si>
    <t>U0980</t>
  </si>
  <si>
    <t>U0981</t>
  </si>
  <si>
    <t>U0982</t>
  </si>
  <si>
    <t>U0983</t>
  </si>
  <si>
    <t>U0984</t>
  </si>
  <si>
    <t>U0985</t>
  </si>
  <si>
    <t>U0986</t>
  </si>
  <si>
    <t>U0987</t>
  </si>
  <si>
    <t>U0988</t>
  </si>
  <si>
    <t>U0989</t>
  </si>
  <si>
    <t>U0990</t>
  </si>
  <si>
    <t>U0991</t>
  </si>
  <si>
    <t>U0992</t>
  </si>
  <si>
    <t>U0993</t>
  </si>
  <si>
    <t>U0994</t>
  </si>
  <si>
    <t>U0995</t>
  </si>
  <si>
    <t>U0996</t>
  </si>
  <si>
    <t>U0997</t>
  </si>
  <si>
    <t>U0998</t>
  </si>
  <si>
    <t>U0999</t>
  </si>
  <si>
    <t>U1000</t>
  </si>
  <si>
    <t>User_ID</t>
  </si>
  <si>
    <t>Age</t>
  </si>
  <si>
    <t>Gender</t>
  </si>
  <si>
    <t>Occupation_Status</t>
  </si>
  <si>
    <t>Education_Level</t>
  </si>
  <si>
    <t>Income_Level</t>
  </si>
  <si>
    <t>Relationship_Status</t>
  </si>
  <si>
    <t>Living_Situation</t>
  </si>
  <si>
    <t>Country_Region</t>
  </si>
  <si>
    <t>Ai_chatbot_Platform</t>
  </si>
  <si>
    <t>Daily_ai_chat_hours</t>
  </si>
  <si>
    <t>Human_social_interaction_hours</t>
  </si>
  <si>
    <t>Social_media_hours_daily</t>
  </si>
  <si>
    <t>Screen_time_total_hours</t>
  </si>
  <si>
    <t>Number_of_close_friends</t>
  </si>
  <si>
    <t>Loneliness_score</t>
  </si>
  <si>
    <t>Emotional_attachment_score</t>
  </si>
  <si>
    <t>Real_relationship_satisfaction</t>
  </si>
  <si>
    <t>Prefers_ai_over_humans</t>
  </si>
  <si>
    <t>Sleep_hours</t>
  </si>
  <si>
    <t>Sleep_quality_score</t>
  </si>
  <si>
    <t>Exercise_hours_weekly</t>
  </si>
  <si>
    <t>Anxiety_score</t>
  </si>
  <si>
    <t>Depression_score</t>
  </si>
  <si>
    <t>Stress_score</t>
  </si>
  <si>
    <t>Self_esteem_score</t>
  </si>
  <si>
    <t>Academic_or_work_performance_change</t>
  </si>
  <si>
    <t>Therapy_attendance</t>
  </si>
  <si>
    <t>Dependency_risk_label</t>
  </si>
  <si>
    <t>Primary_use_case</t>
  </si>
  <si>
    <t>Age_Group</t>
  </si>
  <si>
    <t>Ai_Usage_Category</t>
  </si>
  <si>
    <t>Loneliness_Category</t>
  </si>
  <si>
    <t>Work</t>
  </si>
  <si>
    <t>Row Labels</t>
  </si>
  <si>
    <t>High Usage</t>
  </si>
  <si>
    <t>Low Usage</t>
  </si>
  <si>
    <t>Moderate Usage</t>
  </si>
  <si>
    <t>Very Low Usage</t>
  </si>
  <si>
    <t>Grand Total</t>
  </si>
  <si>
    <t>Average of Loneliness_score</t>
  </si>
  <si>
    <t>Average of Emotional_attachment_score</t>
  </si>
  <si>
    <t>Count of User_ID</t>
  </si>
  <si>
    <t>15-19</t>
  </si>
  <si>
    <t>20-24</t>
  </si>
  <si>
    <t>25-34</t>
  </si>
  <si>
    <t>35-44</t>
  </si>
  <si>
    <t>Column Labels</t>
  </si>
  <si>
    <t>Average of Daily_ai_chat_hours</t>
  </si>
  <si>
    <t>Average of Screen_time_total_hours</t>
  </si>
  <si>
    <t>Average of Human_social_interaction_hours</t>
  </si>
  <si>
    <t>Average of Social_media_hours_daily</t>
  </si>
  <si>
    <t>Average of Sleep_quality_score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</si>
</sst>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2" formatCode="0.00"/>
    </dxf>
    <dxf>
      <numFmt numFmtId="2" formatCode="0.00"/>
    </dxf>
    <dxf>
      <numFmt numFmtId="164" formatCode="0.000"/>
    </dxf>
    <dxf>
      <numFmt numFmtId="164" formatCode="0.000"/>
    </dxf>
    <dxf>
      <numFmt numFmtId="2" formatCode="0.00"/>
    </dxf>
    <dxf>
      <numFmt numFmtId="2" formatCode="0.00"/>
    </dxf>
    <dxf>
      <numFmt numFmtId="164" formatCode="0.000"/>
    </dxf>
    <dxf>
      <numFmt numFmtId="164" formatCode="0.000"/>
    </dxf>
    <dxf>
      <numFmt numFmtId="1" formatCode="0"/>
    </dxf>
    <dxf>
      <numFmt numFmtId="2" formatCode="0.00"/>
    </dxf>
    <dxf>
      <numFmt numFmtId="2" formatCode="0.00"/>
    </dxf>
    <dxf>
      <font>
        <color theme="0"/>
      </font>
      <fill>
        <patternFill>
          <bgColor rgb="FF002060"/>
        </patternFill>
      </fill>
    </dxf>
  </dxfs>
  <tableStyles count="1" defaultTableStyle="TableStyleMedium2" defaultPivotStyle="PivotStyleLight16">
    <tableStyle name="Slicer Style 1" pivot="0" table="0" count="2" xr9:uid="{8ED52A11-A64D-44F7-8133-1A33733E02F8}">
      <tableStyleElement type="headerRow" dxfId="11"/>
    </tableStyle>
  </tableStyles>
  <colors>
    <mruColors>
      <color rgb="FF003BB0"/>
      <color rgb="FFEA773E"/>
      <color rgb="FF00297A"/>
      <color rgb="FF002570"/>
      <color rgb="FF00194C"/>
      <color rgb="FF00359E"/>
      <color rgb="FF003192"/>
    </mruColors>
  </colors>
  <extLst>
    <ext xmlns:x14="http://schemas.microsoft.com/office/spreadsheetml/2009/9/main" uri="{46F421CA-312F-682f-3DD2-61675219B42D}">
      <x14:dxfs count="1">
        <dxf>
          <font>
            <color theme="0"/>
          </font>
          <fill>
            <patternFill>
              <bgColor rgb="FFEA773E"/>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Companion Final Project.xlsx]Sheet1!PivotTable1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Average of Loneliness_score</c:v>
                </c:pt>
              </c:strCache>
            </c:strRef>
          </c:tx>
          <c:spPr>
            <a:solidFill>
              <a:schemeClr val="accent1"/>
            </a:solidFill>
            <a:ln>
              <a:noFill/>
            </a:ln>
            <a:effectLst/>
          </c:spPr>
          <c:invertIfNegative val="0"/>
          <c:cat>
            <c:strRef>
              <c:f>Sheet1!$A$4:$A$8</c:f>
              <c:strCache>
                <c:ptCount val="4"/>
                <c:pt idx="0">
                  <c:v>High Usage</c:v>
                </c:pt>
                <c:pt idx="1">
                  <c:v>Low Usage</c:v>
                </c:pt>
                <c:pt idx="2">
                  <c:v>Moderate Usage</c:v>
                </c:pt>
                <c:pt idx="3">
                  <c:v>Very Low Usage</c:v>
                </c:pt>
              </c:strCache>
            </c:strRef>
          </c:cat>
          <c:val>
            <c:numRef>
              <c:f>Sheet1!$B$4:$B$8</c:f>
              <c:numCache>
                <c:formatCode>0.00</c:formatCode>
                <c:ptCount val="4"/>
                <c:pt idx="0">
                  <c:v>8.9931818181818173</c:v>
                </c:pt>
                <c:pt idx="1">
                  <c:v>5.2486413043478271</c:v>
                </c:pt>
                <c:pt idx="2">
                  <c:v>7.1652380952380978</c:v>
                </c:pt>
                <c:pt idx="3">
                  <c:v>3.2830687830687824</c:v>
                </c:pt>
              </c:numCache>
            </c:numRef>
          </c:val>
          <c:extLst>
            <c:ext xmlns:c16="http://schemas.microsoft.com/office/drawing/2014/chart" uri="{C3380CC4-5D6E-409C-BE32-E72D297353CC}">
              <c16:uniqueId val="{00000000-4AC0-4E3E-A073-57C048EFC138}"/>
            </c:ext>
          </c:extLst>
        </c:ser>
        <c:ser>
          <c:idx val="1"/>
          <c:order val="1"/>
          <c:tx>
            <c:strRef>
              <c:f>Sheet1!$C$3</c:f>
              <c:strCache>
                <c:ptCount val="1"/>
                <c:pt idx="0">
                  <c:v>Average of Emotional_attachment_score</c:v>
                </c:pt>
              </c:strCache>
            </c:strRef>
          </c:tx>
          <c:spPr>
            <a:solidFill>
              <a:schemeClr val="accent2"/>
            </a:solidFill>
            <a:ln>
              <a:noFill/>
            </a:ln>
            <a:effectLst/>
          </c:spPr>
          <c:invertIfNegative val="0"/>
          <c:cat>
            <c:strRef>
              <c:f>Sheet1!$A$4:$A$8</c:f>
              <c:strCache>
                <c:ptCount val="4"/>
                <c:pt idx="0">
                  <c:v>High Usage</c:v>
                </c:pt>
                <c:pt idx="1">
                  <c:v>Low Usage</c:v>
                </c:pt>
                <c:pt idx="2">
                  <c:v>Moderate Usage</c:v>
                </c:pt>
                <c:pt idx="3">
                  <c:v>Very Low Usage</c:v>
                </c:pt>
              </c:strCache>
            </c:strRef>
          </c:cat>
          <c:val>
            <c:numRef>
              <c:f>Sheet1!$C$4:$C$8</c:f>
              <c:numCache>
                <c:formatCode>0.00</c:formatCode>
                <c:ptCount val="4"/>
                <c:pt idx="0">
                  <c:v>8.788636363636364</c:v>
                </c:pt>
                <c:pt idx="1">
                  <c:v>4.7187499999999991</c:v>
                </c:pt>
                <c:pt idx="2">
                  <c:v>6.6676190476190467</c:v>
                </c:pt>
                <c:pt idx="3">
                  <c:v>2.7494708994709001</c:v>
                </c:pt>
              </c:numCache>
            </c:numRef>
          </c:val>
          <c:extLst>
            <c:ext xmlns:c16="http://schemas.microsoft.com/office/drawing/2014/chart" uri="{C3380CC4-5D6E-409C-BE32-E72D297353CC}">
              <c16:uniqueId val="{00000001-4AC0-4E3E-A073-57C048EFC138}"/>
            </c:ext>
          </c:extLst>
        </c:ser>
        <c:dLbls>
          <c:showLegendKey val="0"/>
          <c:showVal val="0"/>
          <c:showCatName val="0"/>
          <c:showSerName val="0"/>
          <c:showPercent val="0"/>
          <c:showBubbleSize val="0"/>
        </c:dLbls>
        <c:gapWidth val="219"/>
        <c:overlap val="-27"/>
        <c:axId val="289241120"/>
        <c:axId val="336348176"/>
      </c:barChart>
      <c:catAx>
        <c:axId val="28924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348176"/>
        <c:crosses val="autoZero"/>
        <c:auto val="1"/>
        <c:lblAlgn val="ctr"/>
        <c:lblOffset val="100"/>
        <c:noMultiLvlLbl val="0"/>
      </c:catAx>
      <c:valAx>
        <c:axId val="336348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4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Companion Final Project.xlsx]Sheet1!PivotTable3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Sheet1!$B$34:$B$35</c:f>
              <c:strCache>
                <c:ptCount val="1"/>
                <c:pt idx="0">
                  <c:v>High</c:v>
                </c:pt>
              </c:strCache>
            </c:strRef>
          </c:tx>
          <c:spPr>
            <a:solidFill>
              <a:schemeClr val="accent1"/>
            </a:solidFill>
            <a:ln>
              <a:noFill/>
            </a:ln>
            <a:effectLst/>
          </c:spPr>
          <c:invertIfNegative val="0"/>
          <c:cat>
            <c:strRef>
              <c:f>Sheet1!$A$36:$A$40</c:f>
              <c:strCache>
                <c:ptCount val="4"/>
                <c:pt idx="0">
                  <c:v>15-19</c:v>
                </c:pt>
                <c:pt idx="1">
                  <c:v>20-24</c:v>
                </c:pt>
                <c:pt idx="2">
                  <c:v>25-34</c:v>
                </c:pt>
                <c:pt idx="3">
                  <c:v>35-44</c:v>
                </c:pt>
              </c:strCache>
            </c:strRef>
          </c:cat>
          <c:val>
            <c:numRef>
              <c:f>Sheet1!$B$36:$B$40</c:f>
              <c:numCache>
                <c:formatCode>General</c:formatCode>
                <c:ptCount val="4"/>
                <c:pt idx="0">
                  <c:v>48</c:v>
                </c:pt>
                <c:pt idx="1">
                  <c:v>43</c:v>
                </c:pt>
                <c:pt idx="2">
                  <c:v>88</c:v>
                </c:pt>
                <c:pt idx="3">
                  <c:v>116</c:v>
                </c:pt>
              </c:numCache>
            </c:numRef>
          </c:val>
          <c:extLst>
            <c:ext xmlns:c16="http://schemas.microsoft.com/office/drawing/2014/chart" uri="{C3380CC4-5D6E-409C-BE32-E72D297353CC}">
              <c16:uniqueId val="{00000000-2169-439B-9395-DC28E7DD7010}"/>
            </c:ext>
          </c:extLst>
        </c:ser>
        <c:ser>
          <c:idx val="1"/>
          <c:order val="1"/>
          <c:tx>
            <c:strRef>
              <c:f>Sheet1!$C$34:$C$35</c:f>
              <c:strCache>
                <c:ptCount val="1"/>
                <c:pt idx="0">
                  <c:v>Low</c:v>
                </c:pt>
              </c:strCache>
            </c:strRef>
          </c:tx>
          <c:spPr>
            <a:solidFill>
              <a:schemeClr val="accent2"/>
            </a:solidFill>
            <a:ln>
              <a:noFill/>
            </a:ln>
            <a:effectLst/>
          </c:spPr>
          <c:invertIfNegative val="0"/>
          <c:cat>
            <c:strRef>
              <c:f>Sheet1!$A$36:$A$40</c:f>
              <c:strCache>
                <c:ptCount val="4"/>
                <c:pt idx="0">
                  <c:v>15-19</c:v>
                </c:pt>
                <c:pt idx="1">
                  <c:v>20-24</c:v>
                </c:pt>
                <c:pt idx="2">
                  <c:v>25-34</c:v>
                </c:pt>
                <c:pt idx="3">
                  <c:v>35-44</c:v>
                </c:pt>
              </c:strCache>
            </c:strRef>
          </c:cat>
          <c:val>
            <c:numRef>
              <c:f>Sheet1!$C$36:$C$40</c:f>
              <c:numCache>
                <c:formatCode>General</c:formatCode>
                <c:ptCount val="4"/>
                <c:pt idx="0">
                  <c:v>97</c:v>
                </c:pt>
                <c:pt idx="1">
                  <c:v>68</c:v>
                </c:pt>
                <c:pt idx="2">
                  <c:v>160</c:v>
                </c:pt>
                <c:pt idx="3">
                  <c:v>194</c:v>
                </c:pt>
              </c:numCache>
            </c:numRef>
          </c:val>
          <c:extLst>
            <c:ext xmlns:c16="http://schemas.microsoft.com/office/drawing/2014/chart" uri="{C3380CC4-5D6E-409C-BE32-E72D297353CC}">
              <c16:uniqueId val="{00000006-2169-439B-9395-DC28E7DD7010}"/>
            </c:ext>
          </c:extLst>
        </c:ser>
        <c:ser>
          <c:idx val="2"/>
          <c:order val="2"/>
          <c:tx>
            <c:strRef>
              <c:f>Sheet1!$D$34:$D$35</c:f>
              <c:strCache>
                <c:ptCount val="1"/>
                <c:pt idx="0">
                  <c:v>Moderate</c:v>
                </c:pt>
              </c:strCache>
            </c:strRef>
          </c:tx>
          <c:spPr>
            <a:solidFill>
              <a:schemeClr val="accent3"/>
            </a:solidFill>
            <a:ln>
              <a:noFill/>
            </a:ln>
            <a:effectLst/>
          </c:spPr>
          <c:invertIfNegative val="0"/>
          <c:cat>
            <c:strRef>
              <c:f>Sheet1!$A$36:$A$40</c:f>
              <c:strCache>
                <c:ptCount val="4"/>
                <c:pt idx="0">
                  <c:v>15-19</c:v>
                </c:pt>
                <c:pt idx="1">
                  <c:v>20-24</c:v>
                </c:pt>
                <c:pt idx="2">
                  <c:v>25-34</c:v>
                </c:pt>
                <c:pt idx="3">
                  <c:v>35-44</c:v>
                </c:pt>
              </c:strCache>
            </c:strRef>
          </c:cat>
          <c:val>
            <c:numRef>
              <c:f>Sheet1!$D$36:$D$40</c:f>
              <c:numCache>
                <c:formatCode>General</c:formatCode>
                <c:ptCount val="4"/>
                <c:pt idx="0">
                  <c:v>39</c:v>
                </c:pt>
                <c:pt idx="1">
                  <c:v>33</c:v>
                </c:pt>
                <c:pt idx="2">
                  <c:v>53</c:v>
                </c:pt>
                <c:pt idx="3">
                  <c:v>61</c:v>
                </c:pt>
              </c:numCache>
            </c:numRef>
          </c:val>
          <c:extLst>
            <c:ext xmlns:c16="http://schemas.microsoft.com/office/drawing/2014/chart" uri="{C3380CC4-5D6E-409C-BE32-E72D297353CC}">
              <c16:uniqueId val="{00000008-2169-439B-9395-DC28E7DD7010}"/>
            </c:ext>
          </c:extLst>
        </c:ser>
        <c:dLbls>
          <c:showLegendKey val="0"/>
          <c:showVal val="0"/>
          <c:showCatName val="0"/>
          <c:showSerName val="0"/>
          <c:showPercent val="0"/>
          <c:showBubbleSize val="0"/>
        </c:dLbls>
        <c:gapWidth val="150"/>
        <c:overlap val="100"/>
        <c:axId val="1974498288"/>
        <c:axId val="336294416"/>
      </c:barChart>
      <c:catAx>
        <c:axId val="197449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294416"/>
        <c:crosses val="autoZero"/>
        <c:auto val="1"/>
        <c:lblAlgn val="ctr"/>
        <c:lblOffset val="100"/>
        <c:noMultiLvlLbl val="0"/>
      </c:catAx>
      <c:valAx>
        <c:axId val="33629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49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Companion Final Project.xlsx]Sheet1!PivotTable4</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Sheet1!$B$51</c:f>
              <c:strCache>
                <c:ptCount val="1"/>
                <c:pt idx="0">
                  <c:v>Average of Daily_ai_chat_hours</c:v>
                </c:pt>
              </c:strCache>
            </c:strRef>
          </c:tx>
          <c:spPr>
            <a:solidFill>
              <a:schemeClr val="accent1"/>
            </a:solidFill>
            <a:ln>
              <a:noFill/>
            </a:ln>
            <a:effectLst/>
          </c:spPr>
          <c:invertIfNegative val="0"/>
          <c:cat>
            <c:strRef>
              <c:f>Sheet1!$A$52:$A$57</c:f>
              <c:strCache>
                <c:ptCount val="5"/>
                <c:pt idx="0">
                  <c:v>Character.AI</c:v>
                </c:pt>
                <c:pt idx="1">
                  <c:v>ChatGPT</c:v>
                </c:pt>
                <c:pt idx="2">
                  <c:v>Claude</c:v>
                </c:pt>
                <c:pt idx="3">
                  <c:v>Other/Multiple</c:v>
                </c:pt>
                <c:pt idx="4">
                  <c:v>Replika</c:v>
                </c:pt>
              </c:strCache>
            </c:strRef>
          </c:cat>
          <c:val>
            <c:numRef>
              <c:f>Sheet1!$B$52:$B$57</c:f>
              <c:numCache>
                <c:formatCode>0.00</c:formatCode>
                <c:ptCount val="5"/>
                <c:pt idx="0">
                  <c:v>1.6109448818897627</c:v>
                </c:pt>
                <c:pt idx="1">
                  <c:v>1.6301262626262638</c:v>
                </c:pt>
                <c:pt idx="2">
                  <c:v>1.6962037037037041</c:v>
                </c:pt>
                <c:pt idx="3">
                  <c:v>1.4486021505376339</c:v>
                </c:pt>
                <c:pt idx="4">
                  <c:v>1.6164429530201345</c:v>
                </c:pt>
              </c:numCache>
            </c:numRef>
          </c:val>
          <c:extLst>
            <c:ext xmlns:c16="http://schemas.microsoft.com/office/drawing/2014/chart" uri="{C3380CC4-5D6E-409C-BE32-E72D297353CC}">
              <c16:uniqueId val="{00000000-B8D6-4E04-BE3D-3697C269F6A2}"/>
            </c:ext>
          </c:extLst>
        </c:ser>
        <c:ser>
          <c:idx val="1"/>
          <c:order val="1"/>
          <c:tx>
            <c:strRef>
              <c:f>Sheet1!$C$51</c:f>
              <c:strCache>
                <c:ptCount val="1"/>
                <c:pt idx="0">
                  <c:v>Average of Screen_time_total_hours</c:v>
                </c:pt>
              </c:strCache>
            </c:strRef>
          </c:tx>
          <c:spPr>
            <a:solidFill>
              <a:schemeClr val="accent2"/>
            </a:solidFill>
            <a:ln>
              <a:noFill/>
            </a:ln>
            <a:effectLst/>
          </c:spPr>
          <c:invertIfNegative val="0"/>
          <c:cat>
            <c:strRef>
              <c:f>Sheet1!$A$52:$A$57</c:f>
              <c:strCache>
                <c:ptCount val="5"/>
                <c:pt idx="0">
                  <c:v>Character.AI</c:v>
                </c:pt>
                <c:pt idx="1">
                  <c:v>ChatGPT</c:v>
                </c:pt>
                <c:pt idx="2">
                  <c:v>Claude</c:v>
                </c:pt>
                <c:pt idx="3">
                  <c:v>Other/Multiple</c:v>
                </c:pt>
                <c:pt idx="4">
                  <c:v>Replika</c:v>
                </c:pt>
              </c:strCache>
            </c:strRef>
          </c:cat>
          <c:val>
            <c:numRef>
              <c:f>Sheet1!$C$52:$C$57</c:f>
              <c:numCache>
                <c:formatCode>0.00</c:formatCode>
                <c:ptCount val="5"/>
                <c:pt idx="0">
                  <c:v>5.9773622047244066</c:v>
                </c:pt>
                <c:pt idx="1">
                  <c:v>6.126212121212121</c:v>
                </c:pt>
                <c:pt idx="2">
                  <c:v>6.4209259259259248</c:v>
                </c:pt>
                <c:pt idx="3">
                  <c:v>5.9004301075268817</c:v>
                </c:pt>
                <c:pt idx="4">
                  <c:v>6.0893288590604016</c:v>
                </c:pt>
              </c:numCache>
            </c:numRef>
          </c:val>
          <c:extLst>
            <c:ext xmlns:c16="http://schemas.microsoft.com/office/drawing/2014/chart" uri="{C3380CC4-5D6E-409C-BE32-E72D297353CC}">
              <c16:uniqueId val="{00000001-B8D6-4E04-BE3D-3697C269F6A2}"/>
            </c:ext>
          </c:extLst>
        </c:ser>
        <c:dLbls>
          <c:showLegendKey val="0"/>
          <c:showVal val="0"/>
          <c:showCatName val="0"/>
          <c:showSerName val="0"/>
          <c:showPercent val="0"/>
          <c:showBubbleSize val="0"/>
        </c:dLbls>
        <c:gapWidth val="182"/>
        <c:axId val="67133520"/>
        <c:axId val="336253136"/>
      </c:barChart>
      <c:catAx>
        <c:axId val="67133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253136"/>
        <c:crosses val="autoZero"/>
        <c:auto val="1"/>
        <c:lblAlgn val="ctr"/>
        <c:lblOffset val="100"/>
        <c:noMultiLvlLbl val="0"/>
      </c:catAx>
      <c:valAx>
        <c:axId val="3362531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3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Companion Final Project.xlsx]Sheet1!PivotTable5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4E-4A8F-9F0A-915D25BADA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4E-4A8F-9F0A-915D25BADA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4E-4A8F-9F0A-915D25BADA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4E-4A8F-9F0A-915D25BADA0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D4E-4A8F-9F0A-915D25BADA05}"/>
              </c:ext>
            </c:extLst>
          </c:dPt>
          <c:cat>
            <c:strRef>
              <c:f>Sheet1!$A$69:$A$74</c:f>
              <c:strCache>
                <c:ptCount val="5"/>
                <c:pt idx="0">
                  <c:v>Companionship</c:v>
                </c:pt>
                <c:pt idx="1">
                  <c:v>Entertainment</c:v>
                </c:pt>
                <c:pt idx="2">
                  <c:v>Learning</c:v>
                </c:pt>
                <c:pt idx="3">
                  <c:v>Therapy-Substitute</c:v>
                </c:pt>
                <c:pt idx="4">
                  <c:v>Work</c:v>
                </c:pt>
              </c:strCache>
            </c:strRef>
          </c:cat>
          <c:val>
            <c:numRef>
              <c:f>Sheet1!$B$69:$B$74</c:f>
              <c:numCache>
                <c:formatCode>General</c:formatCode>
                <c:ptCount val="5"/>
                <c:pt idx="0">
                  <c:v>262</c:v>
                </c:pt>
                <c:pt idx="1">
                  <c:v>173</c:v>
                </c:pt>
                <c:pt idx="2">
                  <c:v>107</c:v>
                </c:pt>
                <c:pt idx="3">
                  <c:v>149</c:v>
                </c:pt>
                <c:pt idx="4">
                  <c:v>309</c:v>
                </c:pt>
              </c:numCache>
            </c:numRef>
          </c:val>
          <c:extLst>
            <c:ext xmlns:c16="http://schemas.microsoft.com/office/drawing/2014/chart" uri="{C3380CC4-5D6E-409C-BE32-E72D297353CC}">
              <c16:uniqueId val="{00000000-917F-4C6A-AC9C-09F22AC67AC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Companion Final Project.xlsx]Sheet1!PivotTable6</c:name>
    <c:fmtId val="1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Sheet1!$B$85</c:f>
              <c:strCache>
                <c:ptCount val="1"/>
                <c:pt idx="0">
                  <c:v>Average of Daily_ai_chat_hours</c:v>
                </c:pt>
              </c:strCache>
            </c:strRef>
          </c:tx>
          <c:spPr>
            <a:ln w="28575" cap="rnd">
              <a:solidFill>
                <a:schemeClr val="accent1"/>
              </a:solidFill>
              <a:round/>
            </a:ln>
            <a:effectLst/>
          </c:spPr>
          <c:marker>
            <c:symbol val="none"/>
          </c:marker>
          <c:cat>
            <c:strRef>
              <c:f>Sheet1!$A$86:$A$89</c:f>
              <c:strCache>
                <c:ptCount val="3"/>
                <c:pt idx="0">
                  <c:v>Declined</c:v>
                </c:pt>
                <c:pt idx="1">
                  <c:v>Improved</c:v>
                </c:pt>
                <c:pt idx="2">
                  <c:v>Same</c:v>
                </c:pt>
              </c:strCache>
            </c:strRef>
          </c:cat>
          <c:val>
            <c:numRef>
              <c:f>Sheet1!$B$86:$B$89</c:f>
              <c:numCache>
                <c:formatCode>0.00</c:formatCode>
                <c:ptCount val="3"/>
                <c:pt idx="0">
                  <c:v>2.7447232472324745</c:v>
                </c:pt>
                <c:pt idx="1">
                  <c:v>0.56545112781954898</c:v>
                </c:pt>
                <c:pt idx="2">
                  <c:v>1.5534341252699781</c:v>
                </c:pt>
              </c:numCache>
            </c:numRef>
          </c:val>
          <c:smooth val="0"/>
          <c:extLst>
            <c:ext xmlns:c16="http://schemas.microsoft.com/office/drawing/2014/chart" uri="{C3380CC4-5D6E-409C-BE32-E72D297353CC}">
              <c16:uniqueId val="{00000000-49E6-45E8-A469-EFB7ED55BC9C}"/>
            </c:ext>
          </c:extLst>
        </c:ser>
        <c:ser>
          <c:idx val="1"/>
          <c:order val="1"/>
          <c:tx>
            <c:strRef>
              <c:f>Sheet1!$C$85</c:f>
              <c:strCache>
                <c:ptCount val="1"/>
                <c:pt idx="0">
                  <c:v>Average of Screen_time_total_hours</c:v>
                </c:pt>
              </c:strCache>
            </c:strRef>
          </c:tx>
          <c:spPr>
            <a:ln w="28575" cap="rnd">
              <a:solidFill>
                <a:schemeClr val="accent2"/>
              </a:solidFill>
              <a:round/>
            </a:ln>
            <a:effectLst/>
          </c:spPr>
          <c:marker>
            <c:symbol val="none"/>
          </c:marker>
          <c:cat>
            <c:strRef>
              <c:f>Sheet1!$A$86:$A$89</c:f>
              <c:strCache>
                <c:ptCount val="3"/>
                <c:pt idx="0">
                  <c:v>Declined</c:v>
                </c:pt>
                <c:pt idx="1">
                  <c:v>Improved</c:v>
                </c:pt>
                <c:pt idx="2">
                  <c:v>Same</c:v>
                </c:pt>
              </c:strCache>
            </c:strRef>
          </c:cat>
          <c:val>
            <c:numRef>
              <c:f>Sheet1!$C$86:$C$89</c:f>
              <c:numCache>
                <c:formatCode>0.00</c:formatCode>
                <c:ptCount val="3"/>
                <c:pt idx="0">
                  <c:v>8.1439483394833925</c:v>
                </c:pt>
                <c:pt idx="1">
                  <c:v>4.111503759398496</c:v>
                </c:pt>
                <c:pt idx="2">
                  <c:v>6.0325485961123135</c:v>
                </c:pt>
              </c:numCache>
            </c:numRef>
          </c:val>
          <c:smooth val="0"/>
          <c:extLst>
            <c:ext xmlns:c16="http://schemas.microsoft.com/office/drawing/2014/chart" uri="{C3380CC4-5D6E-409C-BE32-E72D297353CC}">
              <c16:uniqueId val="{00000001-49E6-45E8-A469-EFB7ED55BC9C}"/>
            </c:ext>
          </c:extLst>
        </c:ser>
        <c:dLbls>
          <c:showLegendKey val="0"/>
          <c:showVal val="0"/>
          <c:showCatName val="0"/>
          <c:showSerName val="0"/>
          <c:showPercent val="0"/>
          <c:showBubbleSize val="0"/>
        </c:dLbls>
        <c:smooth val="0"/>
        <c:axId val="253709744"/>
        <c:axId val="336298256"/>
      </c:lineChart>
      <c:catAx>
        <c:axId val="25370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298256"/>
        <c:crosses val="autoZero"/>
        <c:auto val="1"/>
        <c:lblAlgn val="ctr"/>
        <c:lblOffset val="100"/>
        <c:noMultiLvlLbl val="0"/>
      </c:catAx>
      <c:valAx>
        <c:axId val="336298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70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Companion Final Project.xlsx]Sheet1!PivotTable9</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Sheet1!$B$101</c:f>
              <c:strCache>
                <c:ptCount val="1"/>
                <c:pt idx="0">
                  <c:v>Total</c:v>
                </c:pt>
              </c:strCache>
            </c:strRef>
          </c:tx>
          <c:spPr>
            <a:solidFill>
              <a:schemeClr val="accent1"/>
            </a:solidFill>
            <a:ln>
              <a:noFill/>
            </a:ln>
            <a:effectLst/>
          </c:spPr>
          <c:cat>
            <c:strRef>
              <c:f>Sheet1!$A$102:$A$106</c:f>
              <c:strCache>
                <c:ptCount val="4"/>
                <c:pt idx="0">
                  <c:v>15-19</c:v>
                </c:pt>
                <c:pt idx="1">
                  <c:v>20-24</c:v>
                </c:pt>
                <c:pt idx="2">
                  <c:v>25-34</c:v>
                </c:pt>
                <c:pt idx="3">
                  <c:v>35-44</c:v>
                </c:pt>
              </c:strCache>
            </c:strRef>
          </c:cat>
          <c:val>
            <c:numRef>
              <c:f>Sheet1!$B$102:$B$106</c:f>
              <c:numCache>
                <c:formatCode>0.000</c:formatCode>
                <c:ptCount val="4"/>
                <c:pt idx="0">
                  <c:v>3.994347826086956</c:v>
                </c:pt>
                <c:pt idx="1">
                  <c:v>4.0961805555555548</c:v>
                </c:pt>
                <c:pt idx="2">
                  <c:v>4.006411960132894</c:v>
                </c:pt>
                <c:pt idx="3">
                  <c:v>3.9316711590296536</c:v>
                </c:pt>
              </c:numCache>
            </c:numRef>
          </c:val>
          <c:extLst>
            <c:ext xmlns:c16="http://schemas.microsoft.com/office/drawing/2014/chart" uri="{C3380CC4-5D6E-409C-BE32-E72D297353CC}">
              <c16:uniqueId val="{00000000-D473-4177-BF76-006B92FAE001}"/>
            </c:ext>
          </c:extLst>
        </c:ser>
        <c:dLbls>
          <c:showLegendKey val="0"/>
          <c:showVal val="0"/>
          <c:showCatName val="0"/>
          <c:showSerName val="0"/>
          <c:showPercent val="0"/>
          <c:showBubbleSize val="0"/>
        </c:dLbls>
        <c:axId val="280423984"/>
        <c:axId val="336329936"/>
      </c:areaChart>
      <c:catAx>
        <c:axId val="280423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329936"/>
        <c:crosses val="autoZero"/>
        <c:auto val="1"/>
        <c:lblAlgn val="ctr"/>
        <c:lblOffset val="100"/>
        <c:noMultiLvlLbl val="0"/>
      </c:catAx>
      <c:valAx>
        <c:axId val="33632993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4239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Companion Final Project.xlsx]Sheet1!PivotTable1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95722713864308"/>
          <c:y val="0.22646417386232517"/>
          <c:w val="0.60175147492625369"/>
          <c:h val="0.64009947126174449"/>
        </c:manualLayout>
      </c:layout>
      <c:barChart>
        <c:barDir val="col"/>
        <c:grouping val="clustered"/>
        <c:varyColors val="0"/>
        <c:ser>
          <c:idx val="0"/>
          <c:order val="0"/>
          <c:tx>
            <c:strRef>
              <c:f>Sheet1!$B$3</c:f>
              <c:strCache>
                <c:ptCount val="1"/>
                <c:pt idx="0">
                  <c:v>Average of Loneliness_score</c:v>
                </c:pt>
              </c:strCache>
            </c:strRef>
          </c:tx>
          <c:spPr>
            <a:solidFill>
              <a:srgbClr val="002060"/>
            </a:solidFill>
            <a:ln>
              <a:noFill/>
            </a:ln>
            <a:effectLst/>
          </c:spPr>
          <c:invertIfNegative val="0"/>
          <c:cat>
            <c:strRef>
              <c:f>Sheet1!$A$4:$A$8</c:f>
              <c:strCache>
                <c:ptCount val="4"/>
                <c:pt idx="0">
                  <c:v>High Usage</c:v>
                </c:pt>
                <c:pt idx="1">
                  <c:v>Low Usage</c:v>
                </c:pt>
                <c:pt idx="2">
                  <c:v>Moderate Usage</c:v>
                </c:pt>
                <c:pt idx="3">
                  <c:v>Very Low Usage</c:v>
                </c:pt>
              </c:strCache>
            </c:strRef>
          </c:cat>
          <c:val>
            <c:numRef>
              <c:f>Sheet1!$B$4:$B$8</c:f>
              <c:numCache>
                <c:formatCode>0.00</c:formatCode>
                <c:ptCount val="4"/>
                <c:pt idx="0">
                  <c:v>8.9931818181818173</c:v>
                </c:pt>
                <c:pt idx="1">
                  <c:v>5.2486413043478271</c:v>
                </c:pt>
                <c:pt idx="2">
                  <c:v>7.1652380952380978</c:v>
                </c:pt>
                <c:pt idx="3">
                  <c:v>3.2830687830687824</c:v>
                </c:pt>
              </c:numCache>
            </c:numRef>
          </c:val>
          <c:extLst>
            <c:ext xmlns:c16="http://schemas.microsoft.com/office/drawing/2014/chart" uri="{C3380CC4-5D6E-409C-BE32-E72D297353CC}">
              <c16:uniqueId val="{00000000-7E82-43E2-B782-6779B868CCA8}"/>
            </c:ext>
          </c:extLst>
        </c:ser>
        <c:ser>
          <c:idx val="1"/>
          <c:order val="1"/>
          <c:tx>
            <c:strRef>
              <c:f>Sheet1!$C$3</c:f>
              <c:strCache>
                <c:ptCount val="1"/>
                <c:pt idx="0">
                  <c:v>Average of Emotional_attachment_score</c:v>
                </c:pt>
              </c:strCache>
            </c:strRef>
          </c:tx>
          <c:spPr>
            <a:solidFill>
              <a:schemeClr val="accent2"/>
            </a:solidFill>
            <a:ln>
              <a:noFill/>
            </a:ln>
            <a:effectLst/>
          </c:spPr>
          <c:invertIfNegative val="0"/>
          <c:cat>
            <c:strRef>
              <c:f>Sheet1!$A$4:$A$8</c:f>
              <c:strCache>
                <c:ptCount val="4"/>
                <c:pt idx="0">
                  <c:v>High Usage</c:v>
                </c:pt>
                <c:pt idx="1">
                  <c:v>Low Usage</c:v>
                </c:pt>
                <c:pt idx="2">
                  <c:v>Moderate Usage</c:v>
                </c:pt>
                <c:pt idx="3">
                  <c:v>Very Low Usage</c:v>
                </c:pt>
              </c:strCache>
            </c:strRef>
          </c:cat>
          <c:val>
            <c:numRef>
              <c:f>Sheet1!$C$4:$C$8</c:f>
              <c:numCache>
                <c:formatCode>0.00</c:formatCode>
                <c:ptCount val="4"/>
                <c:pt idx="0">
                  <c:v>8.788636363636364</c:v>
                </c:pt>
                <c:pt idx="1">
                  <c:v>4.7187499999999991</c:v>
                </c:pt>
                <c:pt idx="2">
                  <c:v>6.6676190476190467</c:v>
                </c:pt>
                <c:pt idx="3">
                  <c:v>2.7494708994709001</c:v>
                </c:pt>
              </c:numCache>
            </c:numRef>
          </c:val>
          <c:extLst>
            <c:ext xmlns:c16="http://schemas.microsoft.com/office/drawing/2014/chart" uri="{C3380CC4-5D6E-409C-BE32-E72D297353CC}">
              <c16:uniqueId val="{00000001-7E82-43E2-B782-6779B868CCA8}"/>
            </c:ext>
          </c:extLst>
        </c:ser>
        <c:dLbls>
          <c:showLegendKey val="0"/>
          <c:showVal val="0"/>
          <c:showCatName val="0"/>
          <c:showSerName val="0"/>
          <c:showPercent val="0"/>
          <c:showBubbleSize val="0"/>
        </c:dLbls>
        <c:gapWidth val="219"/>
        <c:overlap val="-27"/>
        <c:axId val="289241120"/>
        <c:axId val="336348176"/>
      </c:barChart>
      <c:catAx>
        <c:axId val="28924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348176"/>
        <c:crosses val="autoZero"/>
        <c:auto val="1"/>
        <c:lblAlgn val="ctr"/>
        <c:lblOffset val="100"/>
        <c:noMultiLvlLbl val="0"/>
      </c:catAx>
      <c:valAx>
        <c:axId val="3363481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41120"/>
        <c:crosses val="autoZero"/>
        <c:crossBetween val="between"/>
      </c:valAx>
      <c:spPr>
        <a:noFill/>
        <a:ln>
          <a:noFill/>
        </a:ln>
        <a:effectLst/>
      </c:spPr>
    </c:plotArea>
    <c:legend>
      <c:legendPos val="r"/>
      <c:layout>
        <c:manualLayout>
          <c:xMode val="edge"/>
          <c:yMode val="edge"/>
          <c:x val="0.73847099311701081"/>
          <c:y val="0.31525701497457748"/>
          <c:w val="0.24279744346116028"/>
          <c:h val="0.369485653061483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Companion Final Project.xlsx]Sheet1!PivotTable5</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tx2">
              <a:lumMod val="75000"/>
              <a:lumOff val="25000"/>
            </a:schemeClr>
          </a:solidFill>
          <a:ln w="19050">
            <a:solidFill>
              <a:schemeClr val="lt1"/>
            </a:solidFill>
          </a:ln>
          <a:effectLst/>
        </c:spPr>
        <c:dLbl>
          <c:idx val="0"/>
          <c:layout>
            <c:manualLayout>
              <c:x val="4.8883972468043262E-3"/>
              <c:y val="4.83862886859462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A64709-46C6-4282-AAAD-851B7460E7CE}" type="PERCENTAGE">
                  <a:rPr lang="en-US" sz="1050">
                    <a:solidFill>
                      <a:schemeClr val="tx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2">
              <a:lumMod val="60000"/>
              <a:lumOff val="40000"/>
            </a:schemeClr>
          </a:solidFill>
          <a:ln w="19050">
            <a:solidFill>
              <a:schemeClr val="lt1"/>
            </a:solidFill>
          </a:ln>
          <a:effectLst/>
        </c:spPr>
        <c:dLbl>
          <c:idx val="0"/>
          <c:layout>
            <c:manualLayout>
              <c:x val="1.4116764995083578E-2"/>
              <c:y val="2.027555809233891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5EC4012-B90C-46BE-A715-944F70AA9000}" type="PERCENTAGE">
                  <a:rPr lang="en-US" sz="1050">
                    <a:solidFill>
                      <a:schemeClr val="tx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2"/>
          </a:solidFill>
          <a:ln w="19050">
            <a:solidFill>
              <a:schemeClr val="lt1"/>
            </a:solidFill>
          </a:ln>
          <a:effectLst/>
        </c:spPr>
        <c:dLbl>
          <c:idx val="0"/>
          <c:layout>
            <c:manualLayout>
              <c:x val="1.4626352015732546E-4"/>
              <c:y val="6.0277143581938105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2DD617-AA7B-4476-BFCE-E49E814D04AE}" type="PERCENTAGE">
                  <a:rPr lang="en-US" sz="1050">
                    <a:solidFill>
                      <a:schemeClr val="tx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2">
              <a:lumMod val="75000"/>
            </a:schemeClr>
          </a:solidFill>
          <a:ln w="19050">
            <a:solidFill>
              <a:schemeClr val="lt1"/>
            </a:solidFill>
          </a:ln>
          <a:effectLst/>
        </c:spPr>
        <c:dLbl>
          <c:idx val="0"/>
          <c:layout>
            <c:manualLayout>
              <c:x val="-1.6516961651917406E-2"/>
              <c:y val="-6.050228310502282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2D0FF1D-FB86-48B7-BAC5-B172E85A0D65}" type="PERCENTAGE">
                  <a:rPr lang="en-US" sz="1050">
                    <a:solidFill>
                      <a:schemeClr val="tx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rgbClr val="002060"/>
          </a:solidFill>
          <a:ln w="19050">
            <a:solidFill>
              <a:schemeClr val="lt1"/>
            </a:solidFill>
          </a:ln>
          <a:effectLst/>
        </c:spPr>
        <c:dLbl>
          <c:idx val="0"/>
          <c:layout>
            <c:manualLayout>
              <c:x val="2.9913716814159292E-2"/>
              <c:y val="-7.94282724505327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6557AC4-E03E-4532-B467-18DD77FC0853}" type="PERCENTAGE">
                  <a:rPr lang="en-US" sz="1050">
                    <a:solidFill>
                      <a:schemeClr val="tx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3568376068376067"/>
          <c:y val="0.25590004374453196"/>
          <c:w val="0.49677617521367518"/>
          <c:h val="0.67801472732575085"/>
        </c:manualLayout>
      </c:layout>
      <c:pieChart>
        <c:varyColors val="1"/>
        <c:ser>
          <c:idx val="0"/>
          <c:order val="0"/>
          <c:tx>
            <c:strRef>
              <c:f>Sheet1!$B$68</c:f>
              <c:strCache>
                <c:ptCount val="1"/>
                <c:pt idx="0">
                  <c:v>Total</c:v>
                </c:pt>
              </c:strCache>
            </c:strRef>
          </c:tx>
          <c:dPt>
            <c:idx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1-38C2-4105-8ED4-4DD873A26264}"/>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38C2-4105-8ED4-4DD873A26264}"/>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38C2-4105-8ED4-4DD873A26264}"/>
              </c:ext>
            </c:extLst>
          </c:dPt>
          <c:dPt>
            <c:idx val="3"/>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7-38C2-4105-8ED4-4DD873A26264}"/>
              </c:ext>
            </c:extLst>
          </c:dPt>
          <c:dPt>
            <c:idx val="4"/>
            <c:bubble3D val="0"/>
            <c:spPr>
              <a:solidFill>
                <a:srgbClr val="002060"/>
              </a:solidFill>
              <a:ln w="19050">
                <a:solidFill>
                  <a:schemeClr val="lt1"/>
                </a:solidFill>
              </a:ln>
              <a:effectLst/>
            </c:spPr>
            <c:extLst>
              <c:ext xmlns:c16="http://schemas.microsoft.com/office/drawing/2014/chart" uri="{C3380CC4-5D6E-409C-BE32-E72D297353CC}">
                <c16:uniqueId val="{00000009-38C2-4105-8ED4-4DD873A26264}"/>
              </c:ext>
            </c:extLst>
          </c:dPt>
          <c:dLbls>
            <c:dLbl>
              <c:idx val="0"/>
              <c:layout>
                <c:manualLayout>
                  <c:x val="4.8883972468043262E-3"/>
                  <c:y val="4.8386288685946223E-2"/>
                </c:manualLayout>
              </c:layout>
              <c:tx>
                <c:rich>
                  <a:bodyPr/>
                  <a:lstStyle/>
                  <a:p>
                    <a:fld id="{FFA64709-46C6-4282-AAAD-851B7460E7CE}" type="PERCENTAGE">
                      <a:rPr lang="en-US" sz="1050">
                        <a:solidFill>
                          <a:schemeClr val="tx1"/>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8C2-4105-8ED4-4DD873A26264}"/>
                </c:ext>
              </c:extLst>
            </c:dLbl>
            <c:dLbl>
              <c:idx val="1"/>
              <c:layout>
                <c:manualLayout>
                  <c:x val="1.4116764995083578E-2"/>
                  <c:y val="2.0275558092338913E-2"/>
                </c:manualLayout>
              </c:layout>
              <c:tx>
                <c:rich>
                  <a:bodyPr/>
                  <a:lstStyle/>
                  <a:p>
                    <a:fld id="{85EC4012-B90C-46BE-A715-944F70AA9000}" type="PERCENTAGE">
                      <a:rPr lang="en-US" sz="1050">
                        <a:solidFill>
                          <a:schemeClr val="tx1"/>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8C2-4105-8ED4-4DD873A26264}"/>
                </c:ext>
              </c:extLst>
            </c:dLbl>
            <c:dLbl>
              <c:idx val="2"/>
              <c:layout>
                <c:manualLayout>
                  <c:x val="1.4626352015732546E-4"/>
                  <c:y val="6.0277143581938105E-3"/>
                </c:manualLayout>
              </c:layout>
              <c:tx>
                <c:rich>
                  <a:bodyPr/>
                  <a:lstStyle/>
                  <a:p>
                    <a:fld id="{A32DD617-AA7B-4476-BFCE-E49E814D04AE}" type="PERCENTAGE">
                      <a:rPr lang="en-US" sz="1050">
                        <a:solidFill>
                          <a:schemeClr val="tx1"/>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8C2-4105-8ED4-4DD873A26264}"/>
                </c:ext>
              </c:extLst>
            </c:dLbl>
            <c:dLbl>
              <c:idx val="3"/>
              <c:layout>
                <c:manualLayout>
                  <c:x val="-1.6516961651917406E-2"/>
                  <c:y val="-6.0502283105022828E-2"/>
                </c:manualLayout>
              </c:layout>
              <c:tx>
                <c:rich>
                  <a:bodyPr/>
                  <a:lstStyle/>
                  <a:p>
                    <a:fld id="{42D0FF1D-FB86-48B7-BAC5-B172E85A0D65}" type="PERCENTAGE">
                      <a:rPr lang="en-US" sz="1050">
                        <a:solidFill>
                          <a:schemeClr val="tx1"/>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38C2-4105-8ED4-4DD873A26264}"/>
                </c:ext>
              </c:extLst>
            </c:dLbl>
            <c:dLbl>
              <c:idx val="4"/>
              <c:layout>
                <c:manualLayout>
                  <c:x val="2.9913716814159292E-2"/>
                  <c:y val="-7.942827245053273E-2"/>
                </c:manualLayout>
              </c:layout>
              <c:tx>
                <c:rich>
                  <a:bodyPr/>
                  <a:lstStyle/>
                  <a:p>
                    <a:fld id="{96557AC4-E03E-4532-B467-18DD77FC0853}" type="PERCENTAGE">
                      <a:rPr lang="en-US" sz="1050">
                        <a:solidFill>
                          <a:schemeClr val="tx1"/>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38C2-4105-8ED4-4DD873A262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0"/>
            <c:extLst>
              <c:ext xmlns:c15="http://schemas.microsoft.com/office/drawing/2012/chart" uri="{CE6537A1-D6FC-4f65-9D91-7224C49458BB}"/>
            </c:extLst>
          </c:dLbls>
          <c:cat>
            <c:strRef>
              <c:f>Sheet1!$A$69:$A$74</c:f>
              <c:strCache>
                <c:ptCount val="5"/>
                <c:pt idx="0">
                  <c:v>Companionship</c:v>
                </c:pt>
                <c:pt idx="1">
                  <c:v>Entertainment</c:v>
                </c:pt>
                <c:pt idx="2">
                  <c:v>Learning</c:v>
                </c:pt>
                <c:pt idx="3">
                  <c:v>Therapy-Substitute</c:v>
                </c:pt>
                <c:pt idx="4">
                  <c:v>Work</c:v>
                </c:pt>
              </c:strCache>
            </c:strRef>
          </c:cat>
          <c:val>
            <c:numRef>
              <c:f>Sheet1!$B$69:$B$74</c:f>
              <c:numCache>
                <c:formatCode>General</c:formatCode>
                <c:ptCount val="5"/>
                <c:pt idx="0">
                  <c:v>262</c:v>
                </c:pt>
                <c:pt idx="1">
                  <c:v>173</c:v>
                </c:pt>
                <c:pt idx="2">
                  <c:v>107</c:v>
                </c:pt>
                <c:pt idx="3">
                  <c:v>149</c:v>
                </c:pt>
                <c:pt idx="4">
                  <c:v>309</c:v>
                </c:pt>
              </c:numCache>
            </c:numRef>
          </c:val>
          <c:extLst>
            <c:ext xmlns:c16="http://schemas.microsoft.com/office/drawing/2014/chart" uri="{C3380CC4-5D6E-409C-BE32-E72D297353CC}">
              <c16:uniqueId val="{0000000A-38C2-4105-8ED4-4DD873A2626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Companion Final Project.xlsx]Sheet1!PivotTable4</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6610127826942"/>
          <c:y val="0.28218543886352104"/>
          <c:w val="0.53824508357915435"/>
          <c:h val="0.61078545154743791"/>
        </c:manualLayout>
      </c:layout>
      <c:barChart>
        <c:barDir val="bar"/>
        <c:grouping val="clustered"/>
        <c:varyColors val="0"/>
        <c:ser>
          <c:idx val="0"/>
          <c:order val="0"/>
          <c:tx>
            <c:strRef>
              <c:f>Sheet1!$B$51</c:f>
              <c:strCache>
                <c:ptCount val="1"/>
                <c:pt idx="0">
                  <c:v>Average of Daily_ai_chat_hours</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Sheet1!$A$52:$A$57</c:f>
              <c:strCache>
                <c:ptCount val="5"/>
                <c:pt idx="0">
                  <c:v>Character.AI</c:v>
                </c:pt>
                <c:pt idx="1">
                  <c:v>ChatGPT</c:v>
                </c:pt>
                <c:pt idx="2">
                  <c:v>Claude</c:v>
                </c:pt>
                <c:pt idx="3">
                  <c:v>Other/Multiple</c:v>
                </c:pt>
                <c:pt idx="4">
                  <c:v>Replika</c:v>
                </c:pt>
              </c:strCache>
            </c:strRef>
          </c:cat>
          <c:val>
            <c:numRef>
              <c:f>Sheet1!$B$52:$B$57</c:f>
              <c:numCache>
                <c:formatCode>0.00</c:formatCode>
                <c:ptCount val="5"/>
                <c:pt idx="0">
                  <c:v>1.6109448818897627</c:v>
                </c:pt>
                <c:pt idx="1">
                  <c:v>1.6301262626262638</c:v>
                </c:pt>
                <c:pt idx="2">
                  <c:v>1.6962037037037041</c:v>
                </c:pt>
                <c:pt idx="3">
                  <c:v>1.4486021505376339</c:v>
                </c:pt>
                <c:pt idx="4">
                  <c:v>1.6164429530201345</c:v>
                </c:pt>
              </c:numCache>
            </c:numRef>
          </c:val>
          <c:extLst>
            <c:ext xmlns:c16="http://schemas.microsoft.com/office/drawing/2014/chart" uri="{C3380CC4-5D6E-409C-BE32-E72D297353CC}">
              <c16:uniqueId val="{00000000-C7E6-4E26-A33D-B2CFA6509ABD}"/>
            </c:ext>
          </c:extLst>
        </c:ser>
        <c:ser>
          <c:idx val="1"/>
          <c:order val="1"/>
          <c:tx>
            <c:strRef>
              <c:f>Sheet1!$C$51</c:f>
              <c:strCache>
                <c:ptCount val="1"/>
                <c:pt idx="0">
                  <c:v>Average of Screen_time_total_hours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Sheet1!$A$52:$A$57</c:f>
              <c:strCache>
                <c:ptCount val="5"/>
                <c:pt idx="0">
                  <c:v>Character.AI</c:v>
                </c:pt>
                <c:pt idx="1">
                  <c:v>ChatGPT</c:v>
                </c:pt>
                <c:pt idx="2">
                  <c:v>Claude</c:v>
                </c:pt>
                <c:pt idx="3">
                  <c:v>Other/Multiple</c:v>
                </c:pt>
                <c:pt idx="4">
                  <c:v>Replika</c:v>
                </c:pt>
              </c:strCache>
            </c:strRef>
          </c:cat>
          <c:val>
            <c:numRef>
              <c:f>Sheet1!$C$52:$C$57</c:f>
              <c:numCache>
                <c:formatCode>0.00</c:formatCode>
                <c:ptCount val="5"/>
                <c:pt idx="0">
                  <c:v>5.9773622047244066</c:v>
                </c:pt>
                <c:pt idx="1">
                  <c:v>6.126212121212121</c:v>
                </c:pt>
                <c:pt idx="2">
                  <c:v>6.4209259259259248</c:v>
                </c:pt>
                <c:pt idx="3">
                  <c:v>5.9004301075268817</c:v>
                </c:pt>
                <c:pt idx="4">
                  <c:v>6.0893288590604016</c:v>
                </c:pt>
              </c:numCache>
            </c:numRef>
          </c:val>
          <c:extLst>
            <c:ext xmlns:c16="http://schemas.microsoft.com/office/drawing/2014/chart" uri="{C3380CC4-5D6E-409C-BE32-E72D297353CC}">
              <c16:uniqueId val="{00000001-C7E6-4E26-A33D-B2CFA6509ABD}"/>
            </c:ext>
          </c:extLst>
        </c:ser>
        <c:dLbls>
          <c:showLegendKey val="0"/>
          <c:showVal val="0"/>
          <c:showCatName val="0"/>
          <c:showSerName val="0"/>
          <c:showPercent val="0"/>
          <c:showBubbleSize val="0"/>
        </c:dLbls>
        <c:gapWidth val="182"/>
        <c:axId val="67133520"/>
        <c:axId val="336253136"/>
      </c:barChart>
      <c:catAx>
        <c:axId val="67133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253136"/>
        <c:crosses val="autoZero"/>
        <c:auto val="1"/>
        <c:lblAlgn val="ctr"/>
        <c:lblOffset val="100"/>
        <c:noMultiLvlLbl val="0"/>
      </c:catAx>
      <c:valAx>
        <c:axId val="33625313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33520"/>
        <c:crosses val="autoZero"/>
        <c:crossBetween val="between"/>
      </c:valAx>
      <c:spPr>
        <a:noFill/>
        <a:ln>
          <a:noFill/>
        </a:ln>
        <a:effectLst/>
      </c:spPr>
    </c:plotArea>
    <c:legend>
      <c:legendPos val="r"/>
      <c:layout>
        <c:manualLayout>
          <c:xMode val="edge"/>
          <c:yMode val="edge"/>
          <c:x val="0.74957964601769911"/>
          <c:y val="0.38621892440385597"/>
          <c:w val="0.23630088495575222"/>
          <c:h val="0.392674403855910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Companion Final Project.xlsx]Sheet1!PivotTable3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941002949852507E-2"/>
          <c:y val="0.23357432775240994"/>
          <c:w val="0.64569518190757125"/>
          <c:h val="0.67332508878741759"/>
        </c:manualLayout>
      </c:layout>
      <c:barChart>
        <c:barDir val="col"/>
        <c:grouping val="stacked"/>
        <c:varyColors val="0"/>
        <c:ser>
          <c:idx val="0"/>
          <c:order val="0"/>
          <c:tx>
            <c:strRef>
              <c:f>Sheet1!$B$34:$B$35</c:f>
              <c:strCache>
                <c:ptCount val="1"/>
                <c:pt idx="0">
                  <c:v>High</c:v>
                </c:pt>
              </c:strCache>
            </c:strRef>
          </c:tx>
          <c:spPr>
            <a:solidFill>
              <a:srgbClr val="002060"/>
            </a:solidFill>
            <a:ln>
              <a:noFill/>
            </a:ln>
            <a:effectLst/>
          </c:spPr>
          <c:invertIfNegative val="0"/>
          <c:cat>
            <c:strRef>
              <c:f>Sheet1!$A$36:$A$40</c:f>
              <c:strCache>
                <c:ptCount val="4"/>
                <c:pt idx="0">
                  <c:v>15-19</c:v>
                </c:pt>
                <c:pt idx="1">
                  <c:v>20-24</c:v>
                </c:pt>
                <c:pt idx="2">
                  <c:v>25-34</c:v>
                </c:pt>
                <c:pt idx="3">
                  <c:v>35-44</c:v>
                </c:pt>
              </c:strCache>
            </c:strRef>
          </c:cat>
          <c:val>
            <c:numRef>
              <c:f>Sheet1!$B$36:$B$40</c:f>
              <c:numCache>
                <c:formatCode>General</c:formatCode>
                <c:ptCount val="4"/>
                <c:pt idx="0">
                  <c:v>48</c:v>
                </c:pt>
                <c:pt idx="1">
                  <c:v>43</c:v>
                </c:pt>
                <c:pt idx="2">
                  <c:v>88</c:v>
                </c:pt>
                <c:pt idx="3">
                  <c:v>116</c:v>
                </c:pt>
              </c:numCache>
            </c:numRef>
          </c:val>
          <c:extLst>
            <c:ext xmlns:c16="http://schemas.microsoft.com/office/drawing/2014/chart" uri="{C3380CC4-5D6E-409C-BE32-E72D297353CC}">
              <c16:uniqueId val="{00000000-7895-405F-B69D-A822A29AE0AA}"/>
            </c:ext>
          </c:extLst>
        </c:ser>
        <c:ser>
          <c:idx val="1"/>
          <c:order val="1"/>
          <c:tx>
            <c:strRef>
              <c:f>Sheet1!$C$34:$C$35</c:f>
              <c:strCache>
                <c:ptCount val="1"/>
                <c:pt idx="0">
                  <c:v>Low</c:v>
                </c:pt>
              </c:strCache>
            </c:strRef>
          </c:tx>
          <c:spPr>
            <a:solidFill>
              <a:schemeClr val="accent2">
                <a:lumMod val="75000"/>
              </a:schemeClr>
            </a:solidFill>
            <a:ln>
              <a:noFill/>
            </a:ln>
            <a:effectLst/>
          </c:spPr>
          <c:invertIfNegative val="0"/>
          <c:cat>
            <c:strRef>
              <c:f>Sheet1!$A$36:$A$40</c:f>
              <c:strCache>
                <c:ptCount val="4"/>
                <c:pt idx="0">
                  <c:v>15-19</c:v>
                </c:pt>
                <c:pt idx="1">
                  <c:v>20-24</c:v>
                </c:pt>
                <c:pt idx="2">
                  <c:v>25-34</c:v>
                </c:pt>
                <c:pt idx="3">
                  <c:v>35-44</c:v>
                </c:pt>
              </c:strCache>
            </c:strRef>
          </c:cat>
          <c:val>
            <c:numRef>
              <c:f>Sheet1!$C$36:$C$40</c:f>
              <c:numCache>
                <c:formatCode>General</c:formatCode>
                <c:ptCount val="4"/>
                <c:pt idx="0">
                  <c:v>97</c:v>
                </c:pt>
                <c:pt idx="1">
                  <c:v>68</c:v>
                </c:pt>
                <c:pt idx="2">
                  <c:v>160</c:v>
                </c:pt>
                <c:pt idx="3">
                  <c:v>194</c:v>
                </c:pt>
              </c:numCache>
            </c:numRef>
          </c:val>
          <c:extLst>
            <c:ext xmlns:c16="http://schemas.microsoft.com/office/drawing/2014/chart" uri="{C3380CC4-5D6E-409C-BE32-E72D297353CC}">
              <c16:uniqueId val="{00000006-7895-405F-B69D-A822A29AE0AA}"/>
            </c:ext>
          </c:extLst>
        </c:ser>
        <c:ser>
          <c:idx val="2"/>
          <c:order val="2"/>
          <c:tx>
            <c:strRef>
              <c:f>Sheet1!$D$34:$D$35</c:f>
              <c:strCache>
                <c:ptCount val="1"/>
                <c:pt idx="0">
                  <c:v>Moderate</c:v>
                </c:pt>
              </c:strCache>
            </c:strRef>
          </c:tx>
          <c:spPr>
            <a:solidFill>
              <a:schemeClr val="accent2">
                <a:lumMod val="60000"/>
                <a:lumOff val="40000"/>
              </a:schemeClr>
            </a:solidFill>
            <a:ln>
              <a:noFill/>
            </a:ln>
            <a:effectLst/>
          </c:spPr>
          <c:invertIfNegative val="0"/>
          <c:cat>
            <c:strRef>
              <c:f>Sheet1!$A$36:$A$40</c:f>
              <c:strCache>
                <c:ptCount val="4"/>
                <c:pt idx="0">
                  <c:v>15-19</c:v>
                </c:pt>
                <c:pt idx="1">
                  <c:v>20-24</c:v>
                </c:pt>
                <c:pt idx="2">
                  <c:v>25-34</c:v>
                </c:pt>
                <c:pt idx="3">
                  <c:v>35-44</c:v>
                </c:pt>
              </c:strCache>
            </c:strRef>
          </c:cat>
          <c:val>
            <c:numRef>
              <c:f>Sheet1!$D$36:$D$40</c:f>
              <c:numCache>
                <c:formatCode>General</c:formatCode>
                <c:ptCount val="4"/>
                <c:pt idx="0">
                  <c:v>39</c:v>
                </c:pt>
                <c:pt idx="1">
                  <c:v>33</c:v>
                </c:pt>
                <c:pt idx="2">
                  <c:v>53</c:v>
                </c:pt>
                <c:pt idx="3">
                  <c:v>61</c:v>
                </c:pt>
              </c:numCache>
            </c:numRef>
          </c:val>
          <c:extLst>
            <c:ext xmlns:c16="http://schemas.microsoft.com/office/drawing/2014/chart" uri="{C3380CC4-5D6E-409C-BE32-E72D297353CC}">
              <c16:uniqueId val="{00000008-7895-405F-B69D-A822A29AE0AA}"/>
            </c:ext>
          </c:extLst>
        </c:ser>
        <c:dLbls>
          <c:showLegendKey val="0"/>
          <c:showVal val="0"/>
          <c:showCatName val="0"/>
          <c:showSerName val="0"/>
          <c:showPercent val="0"/>
          <c:showBubbleSize val="0"/>
        </c:dLbls>
        <c:gapWidth val="150"/>
        <c:overlap val="100"/>
        <c:axId val="1974498288"/>
        <c:axId val="336294416"/>
      </c:barChart>
      <c:catAx>
        <c:axId val="197449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294416"/>
        <c:crosses val="autoZero"/>
        <c:auto val="1"/>
        <c:lblAlgn val="ctr"/>
        <c:lblOffset val="100"/>
        <c:noMultiLvlLbl val="0"/>
      </c:catAx>
      <c:valAx>
        <c:axId val="336294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498288"/>
        <c:crosses val="autoZero"/>
        <c:crossBetween val="between"/>
      </c:valAx>
      <c:spPr>
        <a:noFill/>
        <a:ln>
          <a:noFill/>
        </a:ln>
        <a:effectLst/>
      </c:spPr>
    </c:plotArea>
    <c:legend>
      <c:legendPos val="r"/>
      <c:layout>
        <c:manualLayout>
          <c:xMode val="edge"/>
          <c:yMode val="edge"/>
          <c:x val="0.73151425762045241"/>
          <c:y val="0.36880580923389145"/>
          <c:w val="0.24975417895771879"/>
          <c:h val="0.26238806443429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Companion Final Project.xlsx]Sheet1!PivotTable6</c:name>
    <c:fmtId val="1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246312684365787E-2"/>
          <c:y val="0.31814434297311012"/>
          <c:w val="0.65783431661750247"/>
          <c:h val="0.5887550735667173"/>
        </c:manualLayout>
      </c:layout>
      <c:lineChart>
        <c:grouping val="standard"/>
        <c:varyColors val="0"/>
        <c:ser>
          <c:idx val="0"/>
          <c:order val="0"/>
          <c:tx>
            <c:strRef>
              <c:f>Sheet1!$B$85</c:f>
              <c:strCache>
                <c:ptCount val="1"/>
                <c:pt idx="0">
                  <c:v>Average of Daily_ai_chat_hours</c:v>
                </c:pt>
              </c:strCache>
            </c:strRef>
          </c:tx>
          <c:spPr>
            <a:ln w="28575" cap="rnd">
              <a:solidFill>
                <a:srgbClr val="002060"/>
              </a:solidFill>
              <a:round/>
            </a:ln>
            <a:effectLst/>
          </c:spPr>
          <c:marker>
            <c:symbol val="none"/>
          </c:marker>
          <c:cat>
            <c:strRef>
              <c:f>Sheet1!$A$86:$A$89</c:f>
              <c:strCache>
                <c:ptCount val="3"/>
                <c:pt idx="0">
                  <c:v>Declined</c:v>
                </c:pt>
                <c:pt idx="1">
                  <c:v>Improved</c:v>
                </c:pt>
                <c:pt idx="2">
                  <c:v>Same</c:v>
                </c:pt>
              </c:strCache>
            </c:strRef>
          </c:cat>
          <c:val>
            <c:numRef>
              <c:f>Sheet1!$B$86:$B$89</c:f>
              <c:numCache>
                <c:formatCode>0.00</c:formatCode>
                <c:ptCount val="3"/>
                <c:pt idx="0">
                  <c:v>2.7447232472324745</c:v>
                </c:pt>
                <c:pt idx="1">
                  <c:v>0.56545112781954898</c:v>
                </c:pt>
                <c:pt idx="2">
                  <c:v>1.5534341252699781</c:v>
                </c:pt>
              </c:numCache>
            </c:numRef>
          </c:val>
          <c:smooth val="0"/>
          <c:extLst>
            <c:ext xmlns:c16="http://schemas.microsoft.com/office/drawing/2014/chart" uri="{C3380CC4-5D6E-409C-BE32-E72D297353CC}">
              <c16:uniqueId val="{00000000-77AF-48FE-97ED-6BC013E65402}"/>
            </c:ext>
          </c:extLst>
        </c:ser>
        <c:ser>
          <c:idx val="1"/>
          <c:order val="1"/>
          <c:tx>
            <c:strRef>
              <c:f>Sheet1!$C$85</c:f>
              <c:strCache>
                <c:ptCount val="1"/>
                <c:pt idx="0">
                  <c:v>Average of Screen_time_total_hours</c:v>
                </c:pt>
              </c:strCache>
            </c:strRef>
          </c:tx>
          <c:spPr>
            <a:ln w="28575" cap="rnd">
              <a:solidFill>
                <a:schemeClr val="accent2"/>
              </a:solidFill>
              <a:round/>
            </a:ln>
            <a:effectLst/>
          </c:spPr>
          <c:marker>
            <c:symbol val="none"/>
          </c:marker>
          <c:cat>
            <c:strRef>
              <c:f>Sheet1!$A$86:$A$89</c:f>
              <c:strCache>
                <c:ptCount val="3"/>
                <c:pt idx="0">
                  <c:v>Declined</c:v>
                </c:pt>
                <c:pt idx="1">
                  <c:v>Improved</c:v>
                </c:pt>
                <c:pt idx="2">
                  <c:v>Same</c:v>
                </c:pt>
              </c:strCache>
            </c:strRef>
          </c:cat>
          <c:val>
            <c:numRef>
              <c:f>Sheet1!$C$86:$C$89</c:f>
              <c:numCache>
                <c:formatCode>0.00</c:formatCode>
                <c:ptCount val="3"/>
                <c:pt idx="0">
                  <c:v>8.1439483394833925</c:v>
                </c:pt>
                <c:pt idx="1">
                  <c:v>4.111503759398496</c:v>
                </c:pt>
                <c:pt idx="2">
                  <c:v>6.0325485961123135</c:v>
                </c:pt>
              </c:numCache>
            </c:numRef>
          </c:val>
          <c:smooth val="0"/>
          <c:extLst>
            <c:ext xmlns:c16="http://schemas.microsoft.com/office/drawing/2014/chart" uri="{C3380CC4-5D6E-409C-BE32-E72D297353CC}">
              <c16:uniqueId val="{00000001-77AF-48FE-97ED-6BC013E65402}"/>
            </c:ext>
          </c:extLst>
        </c:ser>
        <c:dLbls>
          <c:showLegendKey val="0"/>
          <c:showVal val="0"/>
          <c:showCatName val="0"/>
          <c:showSerName val="0"/>
          <c:showPercent val="0"/>
          <c:showBubbleSize val="0"/>
        </c:dLbls>
        <c:smooth val="0"/>
        <c:axId val="253709744"/>
        <c:axId val="336298256"/>
      </c:lineChart>
      <c:catAx>
        <c:axId val="25370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298256"/>
        <c:crosses val="autoZero"/>
        <c:auto val="1"/>
        <c:lblAlgn val="ctr"/>
        <c:lblOffset val="100"/>
        <c:noMultiLvlLbl val="0"/>
      </c:catAx>
      <c:valAx>
        <c:axId val="336298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709744"/>
        <c:crosses val="autoZero"/>
        <c:crossBetween val="between"/>
      </c:valAx>
      <c:spPr>
        <a:noFill/>
        <a:ln>
          <a:noFill/>
        </a:ln>
        <a:effectLst/>
      </c:spPr>
    </c:plotArea>
    <c:legend>
      <c:legendPos val="r"/>
      <c:layout>
        <c:manualLayout>
          <c:xMode val="edge"/>
          <c:yMode val="edge"/>
          <c:x val="0.76656833824975423"/>
          <c:y val="0.3393566083206494"/>
          <c:w val="0.21470009832841691"/>
          <c:h val="0.397802194317605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Companion Final Project.xlsx]Sheet1!PivotTable9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95000">
                <a:srgbClr val="212B5A"/>
              </a:gs>
              <a:gs pos="0">
                <a:schemeClr val="accent2"/>
              </a:gs>
              <a:gs pos="100000">
                <a:srgbClr val="00206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48230088495575"/>
          <c:y val="0.28995433789954339"/>
          <c:w val="0.83801376597836774"/>
          <c:h val="0.61694507864028403"/>
        </c:manualLayout>
      </c:layout>
      <c:areaChart>
        <c:grouping val="standard"/>
        <c:varyColors val="0"/>
        <c:ser>
          <c:idx val="0"/>
          <c:order val="0"/>
          <c:tx>
            <c:strRef>
              <c:f>Sheet1!$B$101</c:f>
              <c:strCache>
                <c:ptCount val="1"/>
                <c:pt idx="0">
                  <c:v>Total</c:v>
                </c:pt>
              </c:strCache>
            </c:strRef>
          </c:tx>
          <c:spPr>
            <a:gradFill>
              <a:gsLst>
                <a:gs pos="95000">
                  <a:srgbClr val="212B5A"/>
                </a:gs>
                <a:gs pos="0">
                  <a:schemeClr val="accent2"/>
                </a:gs>
                <a:gs pos="100000">
                  <a:srgbClr val="002060"/>
                </a:gs>
              </a:gsLst>
              <a:lin ang="5400000" scaled="1"/>
            </a:gradFill>
            <a:ln>
              <a:noFill/>
            </a:ln>
            <a:effectLst/>
          </c:spPr>
          <c:cat>
            <c:strRef>
              <c:f>Sheet1!$A$102:$A$106</c:f>
              <c:strCache>
                <c:ptCount val="4"/>
                <c:pt idx="0">
                  <c:v>15-19</c:v>
                </c:pt>
                <c:pt idx="1">
                  <c:v>20-24</c:v>
                </c:pt>
                <c:pt idx="2">
                  <c:v>25-34</c:v>
                </c:pt>
                <c:pt idx="3">
                  <c:v>35-44</c:v>
                </c:pt>
              </c:strCache>
            </c:strRef>
          </c:cat>
          <c:val>
            <c:numRef>
              <c:f>Sheet1!$B$102:$B$106</c:f>
              <c:numCache>
                <c:formatCode>0.000</c:formatCode>
                <c:ptCount val="4"/>
                <c:pt idx="0">
                  <c:v>3.994347826086956</c:v>
                </c:pt>
                <c:pt idx="1">
                  <c:v>4.0961805555555548</c:v>
                </c:pt>
                <c:pt idx="2">
                  <c:v>4.006411960132894</c:v>
                </c:pt>
                <c:pt idx="3">
                  <c:v>3.9316711590296536</c:v>
                </c:pt>
              </c:numCache>
            </c:numRef>
          </c:val>
          <c:extLst>
            <c:ext xmlns:c16="http://schemas.microsoft.com/office/drawing/2014/chart" uri="{C3380CC4-5D6E-409C-BE32-E72D297353CC}">
              <c16:uniqueId val="{00000000-2C60-41C7-B57E-7C454E9215EF}"/>
            </c:ext>
          </c:extLst>
        </c:ser>
        <c:dLbls>
          <c:showLegendKey val="0"/>
          <c:showVal val="0"/>
          <c:showCatName val="0"/>
          <c:showSerName val="0"/>
          <c:showPercent val="0"/>
          <c:showBubbleSize val="0"/>
        </c:dLbls>
        <c:axId val="280423984"/>
        <c:axId val="336329936"/>
      </c:areaChart>
      <c:catAx>
        <c:axId val="280423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329936"/>
        <c:crosses val="autoZero"/>
        <c:auto val="1"/>
        <c:lblAlgn val="ctr"/>
        <c:lblOffset val="100"/>
        <c:noMultiLvlLbl val="0"/>
      </c:catAx>
      <c:valAx>
        <c:axId val="336329936"/>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4239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205740</xdr:colOff>
      <xdr:row>1</xdr:row>
      <xdr:rowOff>175260</xdr:rowOff>
    </xdr:from>
    <xdr:to>
      <xdr:col>10</xdr:col>
      <xdr:colOff>266700</xdr:colOff>
      <xdr:row>16</xdr:row>
      <xdr:rowOff>175260</xdr:rowOff>
    </xdr:to>
    <xdr:graphicFrame macro="">
      <xdr:nvGraphicFramePr>
        <xdr:cNvPr id="2" name="Chart 1">
          <a:extLst>
            <a:ext uri="{FF2B5EF4-FFF2-40B4-BE49-F238E27FC236}">
              <a16:creationId xmlns:a16="http://schemas.microsoft.com/office/drawing/2014/main" id="{E5DA65BA-245F-8CF9-ACF1-46AE74F18D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243840</xdr:colOff>
      <xdr:row>32</xdr:row>
      <xdr:rowOff>175260</xdr:rowOff>
    </xdr:from>
    <xdr:to>
      <xdr:col>12</xdr:col>
      <xdr:colOff>548640</xdr:colOff>
      <xdr:row>47</xdr:row>
      <xdr:rowOff>175260</xdr:rowOff>
    </xdr:to>
    <xdr:graphicFrame macro="">
      <xdr:nvGraphicFramePr>
        <xdr:cNvPr id="4" name="Chart 3">
          <a:extLst>
            <a:ext uri="{FF2B5EF4-FFF2-40B4-BE49-F238E27FC236}">
              <a16:creationId xmlns:a16="http://schemas.microsoft.com/office/drawing/2014/main" id="{56E33DC6-15EE-C8BC-19CF-6DB05CE94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99060</xdr:colOff>
      <xdr:row>49</xdr:row>
      <xdr:rowOff>160020</xdr:rowOff>
    </xdr:from>
    <xdr:to>
      <xdr:col>11</xdr:col>
      <xdr:colOff>137160</xdr:colOff>
      <xdr:row>64</xdr:row>
      <xdr:rowOff>160020</xdr:rowOff>
    </xdr:to>
    <xdr:graphicFrame macro="">
      <xdr:nvGraphicFramePr>
        <xdr:cNvPr id="5" name="Chart 4">
          <a:extLst>
            <a:ext uri="{FF2B5EF4-FFF2-40B4-BE49-F238E27FC236}">
              <a16:creationId xmlns:a16="http://schemas.microsoft.com/office/drawing/2014/main" id="{11C1A4B8-86CC-CD56-FFB9-D5D104C97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563880</xdr:colOff>
      <xdr:row>67</xdr:row>
      <xdr:rowOff>15240</xdr:rowOff>
    </xdr:from>
    <xdr:to>
      <xdr:col>6</xdr:col>
      <xdr:colOff>144780</xdr:colOff>
      <xdr:row>82</xdr:row>
      <xdr:rowOff>15240</xdr:rowOff>
    </xdr:to>
    <xdr:graphicFrame macro="">
      <xdr:nvGraphicFramePr>
        <xdr:cNvPr id="6" name="Chart 5">
          <a:extLst>
            <a:ext uri="{FF2B5EF4-FFF2-40B4-BE49-F238E27FC236}">
              <a16:creationId xmlns:a16="http://schemas.microsoft.com/office/drawing/2014/main" id="{2558B9ED-575C-5C7B-7E3A-0168EA3B5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304800</xdr:colOff>
      <xdr:row>83</xdr:row>
      <xdr:rowOff>167640</xdr:rowOff>
    </xdr:from>
    <xdr:to>
      <xdr:col>9</xdr:col>
      <xdr:colOff>556260</xdr:colOff>
      <xdr:row>98</xdr:row>
      <xdr:rowOff>167640</xdr:rowOff>
    </xdr:to>
    <xdr:graphicFrame macro="">
      <xdr:nvGraphicFramePr>
        <xdr:cNvPr id="7" name="Chart 6">
          <a:extLst>
            <a:ext uri="{FF2B5EF4-FFF2-40B4-BE49-F238E27FC236}">
              <a16:creationId xmlns:a16="http://schemas.microsoft.com/office/drawing/2014/main" id="{35BE30D5-56D9-C869-3DB3-D8C5E888C2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502920</xdr:colOff>
      <xdr:row>100</xdr:row>
      <xdr:rowOff>0</xdr:rowOff>
    </xdr:from>
    <xdr:to>
      <xdr:col>8</xdr:col>
      <xdr:colOff>251460</xdr:colOff>
      <xdr:row>115</xdr:row>
      <xdr:rowOff>0</xdr:rowOff>
    </xdr:to>
    <xdr:graphicFrame macro="">
      <xdr:nvGraphicFramePr>
        <xdr:cNvPr id="9" name="Chart 8">
          <a:extLst>
            <a:ext uri="{FF2B5EF4-FFF2-40B4-BE49-F238E27FC236}">
              <a16:creationId xmlns:a16="http://schemas.microsoft.com/office/drawing/2014/main" id="{A2EC136A-7FA9-189B-785A-AF832FD009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548640</xdr:colOff>
      <xdr:row>1</xdr:row>
      <xdr:rowOff>76201</xdr:rowOff>
    </xdr:from>
    <xdr:to>
      <xdr:col>13</xdr:col>
      <xdr:colOff>304800</xdr:colOff>
      <xdr:row>9</xdr:row>
      <xdr:rowOff>167641</xdr:rowOff>
    </xdr:to>
    <mc:AlternateContent xmlns:mc="http://schemas.openxmlformats.org/markup-compatibility/2006" xmlns:a14="http://schemas.microsoft.com/office/drawing/2010/main">
      <mc:Choice Requires="a14">
        <xdr:graphicFrame macro="">
          <xdr:nvGraphicFramePr>
            <xdr:cNvPr id="12" name="Age_Group">
              <a:extLst>
                <a:ext uri="{FF2B5EF4-FFF2-40B4-BE49-F238E27FC236}">
                  <a16:creationId xmlns:a16="http://schemas.microsoft.com/office/drawing/2014/main" id="{1DB03845-A775-00BB-8EE9-7AA09E460893}"/>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0462260" y="259081"/>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586740</xdr:colOff>
      <xdr:row>10</xdr:row>
      <xdr:rowOff>121921</xdr:rowOff>
    </xdr:from>
    <xdr:to>
      <xdr:col>13</xdr:col>
      <xdr:colOff>342900</xdr:colOff>
      <xdr:row>20</xdr:row>
      <xdr:rowOff>137161</xdr:rowOff>
    </xdr:to>
    <mc:AlternateContent xmlns:mc="http://schemas.openxmlformats.org/markup-compatibility/2006" xmlns:a14="http://schemas.microsoft.com/office/drawing/2010/main">
      <mc:Choice Requires="a14">
        <xdr:graphicFrame macro="">
          <xdr:nvGraphicFramePr>
            <xdr:cNvPr id="13" name="Ai_chatbot_Platform">
              <a:extLst>
                <a:ext uri="{FF2B5EF4-FFF2-40B4-BE49-F238E27FC236}">
                  <a16:creationId xmlns:a16="http://schemas.microsoft.com/office/drawing/2014/main" id="{56E0F53F-97E4-8E46-F85E-14E3064B50AB}"/>
                </a:ext>
              </a:extLst>
            </xdr:cNvPr>
            <xdr:cNvGraphicFramePr/>
          </xdr:nvGraphicFramePr>
          <xdr:xfrm>
            <a:off x="0" y="0"/>
            <a:ext cx="0" cy="0"/>
          </xdr:xfrm>
          <a:graphic>
            <a:graphicData uri="http://schemas.microsoft.com/office/drawing/2010/slicer">
              <sle:slicer xmlns:sle="http://schemas.microsoft.com/office/drawing/2010/slicer" name="Ai_chatbot_Platform"/>
            </a:graphicData>
          </a:graphic>
        </xdr:graphicFrame>
      </mc:Choice>
      <mc:Fallback xmlns="">
        <xdr:sp macro="" textlink="">
          <xdr:nvSpPr>
            <xdr:cNvPr id="0" name=""/>
            <xdr:cNvSpPr>
              <a:spLocks noTextEdit="1"/>
            </xdr:cNvSpPr>
          </xdr:nvSpPr>
          <xdr:spPr>
            <a:xfrm>
              <a:off x="10500360" y="1950721"/>
              <a:ext cx="1828800" cy="1844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594360</xdr:colOff>
      <xdr:row>22</xdr:row>
      <xdr:rowOff>1</xdr:rowOff>
    </xdr:from>
    <xdr:to>
      <xdr:col>13</xdr:col>
      <xdr:colOff>350520</xdr:colOff>
      <xdr:row>30</xdr:row>
      <xdr:rowOff>114301</xdr:rowOff>
    </xdr:to>
    <mc:AlternateContent xmlns:mc="http://schemas.openxmlformats.org/markup-compatibility/2006" xmlns:a14="http://schemas.microsoft.com/office/drawing/2010/main">
      <mc:Choice Requires="a14">
        <xdr:graphicFrame macro="">
          <xdr:nvGraphicFramePr>
            <xdr:cNvPr id="14" name="Ai_Usage_Category">
              <a:extLst>
                <a:ext uri="{FF2B5EF4-FFF2-40B4-BE49-F238E27FC236}">
                  <a16:creationId xmlns:a16="http://schemas.microsoft.com/office/drawing/2014/main" id="{8561852E-D13F-57A3-9F16-0AB8CCD5F293}"/>
                </a:ext>
              </a:extLst>
            </xdr:cNvPr>
            <xdr:cNvGraphicFramePr/>
          </xdr:nvGraphicFramePr>
          <xdr:xfrm>
            <a:off x="0" y="0"/>
            <a:ext cx="0" cy="0"/>
          </xdr:xfrm>
          <a:graphic>
            <a:graphicData uri="http://schemas.microsoft.com/office/drawing/2010/slicer">
              <sle:slicer xmlns:sle="http://schemas.microsoft.com/office/drawing/2010/slicer" name="Ai_Usage_Category"/>
            </a:graphicData>
          </a:graphic>
        </xdr:graphicFrame>
      </mc:Choice>
      <mc:Fallback xmlns="">
        <xdr:sp macro="" textlink="">
          <xdr:nvSpPr>
            <xdr:cNvPr id="0" name=""/>
            <xdr:cNvSpPr>
              <a:spLocks noTextEdit="1"/>
            </xdr:cNvSpPr>
          </xdr:nvSpPr>
          <xdr:spPr>
            <a:xfrm>
              <a:off x="10507980" y="4023361"/>
              <a:ext cx="182880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106680</xdr:colOff>
      <xdr:row>31</xdr:row>
      <xdr:rowOff>152401</xdr:rowOff>
    </xdr:from>
    <xdr:to>
      <xdr:col>13</xdr:col>
      <xdr:colOff>1935480</xdr:colOff>
      <xdr:row>39</xdr:row>
      <xdr:rowOff>7621</xdr:rowOff>
    </xdr:to>
    <mc:AlternateContent xmlns:mc="http://schemas.openxmlformats.org/markup-compatibility/2006" xmlns:a14="http://schemas.microsoft.com/office/drawing/2010/main">
      <mc:Choice Requires="a14">
        <xdr:graphicFrame macro="">
          <xdr:nvGraphicFramePr>
            <xdr:cNvPr id="15" name="Dependency_risk_label">
              <a:extLst>
                <a:ext uri="{FF2B5EF4-FFF2-40B4-BE49-F238E27FC236}">
                  <a16:creationId xmlns:a16="http://schemas.microsoft.com/office/drawing/2014/main" id="{FBBDD20F-7FDA-266B-70D4-A279B4F1C1E1}"/>
                </a:ext>
              </a:extLst>
            </xdr:cNvPr>
            <xdr:cNvGraphicFramePr/>
          </xdr:nvGraphicFramePr>
          <xdr:xfrm>
            <a:off x="0" y="0"/>
            <a:ext cx="0" cy="0"/>
          </xdr:xfrm>
          <a:graphic>
            <a:graphicData uri="http://schemas.microsoft.com/office/drawing/2010/slicer">
              <sle:slicer xmlns:sle="http://schemas.microsoft.com/office/drawing/2010/slicer" name="Dependency_risk_label"/>
            </a:graphicData>
          </a:graphic>
        </xdr:graphicFrame>
      </mc:Choice>
      <mc:Fallback xmlns="">
        <xdr:sp macro="" textlink="">
          <xdr:nvSpPr>
            <xdr:cNvPr id="0" name=""/>
            <xdr:cNvSpPr>
              <a:spLocks noTextEdit="1"/>
            </xdr:cNvSpPr>
          </xdr:nvSpPr>
          <xdr:spPr>
            <a:xfrm>
              <a:off x="11849100" y="5821681"/>
              <a:ext cx="182880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68580</xdr:colOff>
      <xdr:row>17</xdr:row>
      <xdr:rowOff>68581</xdr:rowOff>
    </xdr:from>
    <xdr:to>
      <xdr:col>10</xdr:col>
      <xdr:colOff>68580</xdr:colOff>
      <xdr:row>24</xdr:row>
      <xdr:rowOff>45721</xdr:rowOff>
    </xdr:to>
    <mc:AlternateContent xmlns:mc="http://schemas.openxmlformats.org/markup-compatibility/2006" xmlns:a14="http://schemas.microsoft.com/office/drawing/2010/main">
      <mc:Choice Requires="a14">
        <xdr:graphicFrame macro="">
          <xdr:nvGraphicFramePr>
            <xdr:cNvPr id="19" name="Loneliness_Category">
              <a:extLst>
                <a:ext uri="{FF2B5EF4-FFF2-40B4-BE49-F238E27FC236}">
                  <a16:creationId xmlns:a16="http://schemas.microsoft.com/office/drawing/2014/main" id="{2E1D2391-A480-5080-6D6A-C71346C8CFDC}"/>
                </a:ext>
              </a:extLst>
            </xdr:cNvPr>
            <xdr:cNvGraphicFramePr/>
          </xdr:nvGraphicFramePr>
          <xdr:xfrm>
            <a:off x="0" y="0"/>
            <a:ext cx="0" cy="0"/>
          </xdr:xfrm>
          <a:graphic>
            <a:graphicData uri="http://schemas.microsoft.com/office/drawing/2010/slicer">
              <sle:slicer xmlns:sle="http://schemas.microsoft.com/office/drawing/2010/slicer" name="Loneliness_Category"/>
            </a:graphicData>
          </a:graphic>
        </xdr:graphicFrame>
      </mc:Choice>
      <mc:Fallback xmlns="">
        <xdr:sp macro="" textlink="">
          <xdr:nvSpPr>
            <xdr:cNvPr id="0" name=""/>
            <xdr:cNvSpPr>
              <a:spLocks noTextEdit="1"/>
            </xdr:cNvSpPr>
          </xdr:nvSpPr>
          <xdr:spPr>
            <a:xfrm>
              <a:off x="8153400" y="317754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15240</xdr:rowOff>
    </xdr:from>
    <xdr:to>
      <xdr:col>23</xdr:col>
      <xdr:colOff>144780</xdr:colOff>
      <xdr:row>4</xdr:row>
      <xdr:rowOff>106680</xdr:rowOff>
    </xdr:to>
    <xdr:sp macro="" textlink="">
      <xdr:nvSpPr>
        <xdr:cNvPr id="2" name="Rectangle: Rounded Corners 1">
          <a:extLst>
            <a:ext uri="{FF2B5EF4-FFF2-40B4-BE49-F238E27FC236}">
              <a16:creationId xmlns:a16="http://schemas.microsoft.com/office/drawing/2014/main" id="{389267E9-C2C2-9B88-5FDB-731F311470A8}"/>
            </a:ext>
          </a:extLst>
        </xdr:cNvPr>
        <xdr:cNvSpPr/>
      </xdr:nvSpPr>
      <xdr:spPr>
        <a:xfrm>
          <a:off x="0" y="15240"/>
          <a:ext cx="14165580" cy="822960"/>
        </a:xfrm>
        <a:prstGeom prst="roundRect">
          <a:avLst/>
        </a:prstGeom>
        <a:solidFill>
          <a:srgbClr val="0019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latin typeface="Bell MT" panose="02020503060305020303" pitchFamily="18" charset="0"/>
            </a:rPr>
            <a:t>AI COMPANION</a:t>
          </a:r>
          <a:r>
            <a:rPr lang="en-IN" sz="2800" b="1" baseline="0">
              <a:latin typeface="Bell MT" panose="02020503060305020303" pitchFamily="18" charset="0"/>
            </a:rPr>
            <a:t> USAGE &amp; </a:t>
          </a:r>
          <a:r>
            <a:rPr lang="en-IN" sz="2800" b="1">
              <a:latin typeface="Bell MT" panose="02020503060305020303" pitchFamily="18" charset="0"/>
            </a:rPr>
            <a:t>DEPENDENCY</a:t>
          </a:r>
          <a:r>
            <a:rPr lang="en-IN" sz="2800" b="1" baseline="0">
              <a:latin typeface="Bell MT" panose="02020503060305020303" pitchFamily="18" charset="0"/>
            </a:rPr>
            <a:t> INSIGHTS</a:t>
          </a:r>
        </a:p>
        <a:p>
          <a:pPr algn="ctr"/>
          <a:r>
            <a:rPr lang="en-IN" sz="1400" b="0">
              <a:latin typeface="Book Antiqua" panose="02040602050305030304" pitchFamily="18" charset="0"/>
            </a:rPr>
            <a:t>                           An interactive overview of AI usage patterns,</a:t>
          </a:r>
          <a:r>
            <a:rPr lang="en-IN" sz="1400" b="0" baseline="0">
              <a:latin typeface="Book Antiqua" panose="02040602050305030304" pitchFamily="18" charset="0"/>
            </a:rPr>
            <a:t> social and emotional well-being, and dependency risk across different user groups</a:t>
          </a:r>
          <a:r>
            <a:rPr lang="en-IN" sz="1400" b="1" baseline="0">
              <a:latin typeface="Book Antiqua" panose="02040602050305030304" pitchFamily="18" charset="0"/>
            </a:rPr>
            <a:t>.</a:t>
          </a:r>
          <a:endParaRPr lang="en-IN" sz="1400" b="1">
            <a:latin typeface="Book Antiqua" panose="02040602050305030304" pitchFamily="18" charset="0"/>
          </a:endParaRPr>
        </a:p>
      </xdr:txBody>
    </xdr:sp>
    <xdr:clientData/>
  </xdr:twoCellAnchor>
  <xdr:twoCellAnchor>
    <xdr:from>
      <xdr:col>3</xdr:col>
      <xdr:colOff>53340</xdr:colOff>
      <xdr:row>4</xdr:row>
      <xdr:rowOff>137160</xdr:rowOff>
    </xdr:from>
    <xdr:to>
      <xdr:col>7</xdr:col>
      <xdr:colOff>530940</xdr:colOff>
      <xdr:row>9</xdr:row>
      <xdr:rowOff>38100</xdr:rowOff>
    </xdr:to>
    <xdr:sp macro="" textlink="">
      <xdr:nvSpPr>
        <xdr:cNvPr id="3" name="Rectangle: Rounded Corners 2">
          <a:extLst>
            <a:ext uri="{FF2B5EF4-FFF2-40B4-BE49-F238E27FC236}">
              <a16:creationId xmlns:a16="http://schemas.microsoft.com/office/drawing/2014/main" id="{34B14025-116B-71AE-AEA8-F34ED9DD4861}"/>
            </a:ext>
          </a:extLst>
        </xdr:cNvPr>
        <xdr:cNvSpPr/>
      </xdr:nvSpPr>
      <xdr:spPr>
        <a:xfrm>
          <a:off x="1882140" y="868680"/>
          <a:ext cx="2916000" cy="81534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latin typeface="Book Antiqua" panose="02040602050305030304" pitchFamily="18" charset="0"/>
            </a:rPr>
            <a:t>TOTAL USERS</a:t>
          </a:r>
        </a:p>
      </xdr:txBody>
    </xdr:sp>
    <xdr:clientData/>
  </xdr:twoCellAnchor>
  <xdr:twoCellAnchor>
    <xdr:from>
      <xdr:col>8</xdr:col>
      <xdr:colOff>121920</xdr:colOff>
      <xdr:row>4</xdr:row>
      <xdr:rowOff>137160</xdr:rowOff>
    </xdr:from>
    <xdr:to>
      <xdr:col>12</xdr:col>
      <xdr:colOff>599520</xdr:colOff>
      <xdr:row>9</xdr:row>
      <xdr:rowOff>38100</xdr:rowOff>
    </xdr:to>
    <xdr:sp macro="" textlink="">
      <xdr:nvSpPr>
        <xdr:cNvPr id="4" name="Rectangle: Rounded Corners 3">
          <a:extLst>
            <a:ext uri="{FF2B5EF4-FFF2-40B4-BE49-F238E27FC236}">
              <a16:creationId xmlns:a16="http://schemas.microsoft.com/office/drawing/2014/main" id="{3039E96F-70A6-4FEF-96D5-D09208746605}"/>
            </a:ext>
          </a:extLst>
        </xdr:cNvPr>
        <xdr:cNvSpPr/>
      </xdr:nvSpPr>
      <xdr:spPr>
        <a:xfrm>
          <a:off x="4998720" y="868680"/>
          <a:ext cx="2916000" cy="81534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latin typeface="Book Antiqua" panose="02040602050305030304" pitchFamily="18" charset="0"/>
            </a:rPr>
            <a:t>AVG. DAILY AI CHAT HOURS</a:t>
          </a:r>
        </a:p>
      </xdr:txBody>
    </xdr:sp>
    <xdr:clientData/>
  </xdr:twoCellAnchor>
  <xdr:twoCellAnchor>
    <xdr:from>
      <xdr:col>13</xdr:col>
      <xdr:colOff>198120</xdr:colOff>
      <xdr:row>4</xdr:row>
      <xdr:rowOff>137160</xdr:rowOff>
    </xdr:from>
    <xdr:to>
      <xdr:col>18</xdr:col>
      <xdr:colOff>66120</xdr:colOff>
      <xdr:row>9</xdr:row>
      <xdr:rowOff>38100</xdr:rowOff>
    </xdr:to>
    <xdr:sp macro="" textlink="">
      <xdr:nvSpPr>
        <xdr:cNvPr id="5" name="Rectangle: Rounded Corners 4">
          <a:extLst>
            <a:ext uri="{FF2B5EF4-FFF2-40B4-BE49-F238E27FC236}">
              <a16:creationId xmlns:a16="http://schemas.microsoft.com/office/drawing/2014/main" id="{9D5BAACF-7C18-4D90-B377-07BD36BB6285}"/>
            </a:ext>
          </a:extLst>
        </xdr:cNvPr>
        <xdr:cNvSpPr/>
      </xdr:nvSpPr>
      <xdr:spPr>
        <a:xfrm>
          <a:off x="8122920" y="868680"/>
          <a:ext cx="2916000" cy="81534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latin typeface="Book Antiqua" panose="02040602050305030304" pitchFamily="18" charset="0"/>
            </a:rPr>
            <a:t>AVG. SOCIAL MEDIA HOURS</a:t>
          </a:r>
        </a:p>
      </xdr:txBody>
    </xdr:sp>
    <xdr:clientData/>
  </xdr:twoCellAnchor>
  <xdr:twoCellAnchor>
    <xdr:from>
      <xdr:col>18</xdr:col>
      <xdr:colOff>274320</xdr:colOff>
      <xdr:row>4</xdr:row>
      <xdr:rowOff>137160</xdr:rowOff>
    </xdr:from>
    <xdr:to>
      <xdr:col>23</xdr:col>
      <xdr:colOff>142320</xdr:colOff>
      <xdr:row>9</xdr:row>
      <xdr:rowOff>38100</xdr:rowOff>
    </xdr:to>
    <xdr:sp macro="" textlink="">
      <xdr:nvSpPr>
        <xdr:cNvPr id="6" name="Rectangle: Rounded Corners 5">
          <a:extLst>
            <a:ext uri="{FF2B5EF4-FFF2-40B4-BE49-F238E27FC236}">
              <a16:creationId xmlns:a16="http://schemas.microsoft.com/office/drawing/2014/main" id="{A051C7DF-4902-413C-A0E4-047A1237CC5F}"/>
            </a:ext>
          </a:extLst>
        </xdr:cNvPr>
        <xdr:cNvSpPr/>
      </xdr:nvSpPr>
      <xdr:spPr>
        <a:xfrm>
          <a:off x="11247120" y="868680"/>
          <a:ext cx="2916000" cy="81534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latin typeface="Book Antiqua" panose="02040602050305030304" pitchFamily="18" charset="0"/>
            </a:rPr>
            <a:t>AVG. SLEEP QUALITY SCORE</a:t>
          </a:r>
        </a:p>
      </xdr:txBody>
    </xdr:sp>
    <xdr:clientData/>
  </xdr:twoCellAnchor>
  <xdr:twoCellAnchor>
    <xdr:from>
      <xdr:col>3</xdr:col>
      <xdr:colOff>22860</xdr:colOff>
      <xdr:row>9</xdr:row>
      <xdr:rowOff>91440</xdr:rowOff>
    </xdr:from>
    <xdr:to>
      <xdr:col>9</xdr:col>
      <xdr:colOff>433260</xdr:colOff>
      <xdr:row>26</xdr:row>
      <xdr:rowOff>137160</xdr:rowOff>
    </xdr:to>
    <xdr:graphicFrame macro="">
      <xdr:nvGraphicFramePr>
        <xdr:cNvPr id="7" name="Chart 6">
          <a:extLst>
            <a:ext uri="{FF2B5EF4-FFF2-40B4-BE49-F238E27FC236}">
              <a16:creationId xmlns:a16="http://schemas.microsoft.com/office/drawing/2014/main" id="{97998106-48D7-46C4-864C-6601CA86C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487680</xdr:colOff>
      <xdr:row>9</xdr:row>
      <xdr:rowOff>91440</xdr:rowOff>
    </xdr:from>
    <xdr:to>
      <xdr:col>16</xdr:col>
      <xdr:colOff>288480</xdr:colOff>
      <xdr:row>26</xdr:row>
      <xdr:rowOff>136080</xdr:rowOff>
    </xdr:to>
    <xdr:graphicFrame macro="">
      <xdr:nvGraphicFramePr>
        <xdr:cNvPr id="8" name="Chart 7">
          <a:extLst>
            <a:ext uri="{FF2B5EF4-FFF2-40B4-BE49-F238E27FC236}">
              <a16:creationId xmlns:a16="http://schemas.microsoft.com/office/drawing/2014/main" id="{78BCDD21-0FB9-4DD4-9B3A-E28F68554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350520</xdr:colOff>
      <xdr:row>9</xdr:row>
      <xdr:rowOff>83820</xdr:rowOff>
    </xdr:from>
    <xdr:to>
      <xdr:col>23</xdr:col>
      <xdr:colOff>151320</xdr:colOff>
      <xdr:row>26</xdr:row>
      <xdr:rowOff>128460</xdr:rowOff>
    </xdr:to>
    <xdr:graphicFrame macro="">
      <xdr:nvGraphicFramePr>
        <xdr:cNvPr id="9" name="Chart 8">
          <a:extLst>
            <a:ext uri="{FF2B5EF4-FFF2-40B4-BE49-F238E27FC236}">
              <a16:creationId xmlns:a16="http://schemas.microsoft.com/office/drawing/2014/main" id="{2923FBB1-739B-40EA-9BEE-A74900835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487680</xdr:colOff>
      <xdr:row>27</xdr:row>
      <xdr:rowOff>22860</xdr:rowOff>
    </xdr:from>
    <xdr:to>
      <xdr:col>16</xdr:col>
      <xdr:colOff>288480</xdr:colOff>
      <xdr:row>44</xdr:row>
      <xdr:rowOff>67500</xdr:rowOff>
    </xdr:to>
    <xdr:graphicFrame macro="">
      <xdr:nvGraphicFramePr>
        <xdr:cNvPr id="10" name="Chart 9">
          <a:extLst>
            <a:ext uri="{FF2B5EF4-FFF2-40B4-BE49-F238E27FC236}">
              <a16:creationId xmlns:a16="http://schemas.microsoft.com/office/drawing/2014/main" id="{4A97A20A-ADDC-48EC-A9F2-A1D2B3799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350520</xdr:colOff>
      <xdr:row>27</xdr:row>
      <xdr:rowOff>15240</xdr:rowOff>
    </xdr:from>
    <xdr:to>
      <xdr:col>23</xdr:col>
      <xdr:colOff>151320</xdr:colOff>
      <xdr:row>44</xdr:row>
      <xdr:rowOff>59880</xdr:rowOff>
    </xdr:to>
    <xdr:graphicFrame macro="">
      <xdr:nvGraphicFramePr>
        <xdr:cNvPr id="11" name="Chart 10">
          <a:extLst>
            <a:ext uri="{FF2B5EF4-FFF2-40B4-BE49-F238E27FC236}">
              <a16:creationId xmlns:a16="http://schemas.microsoft.com/office/drawing/2014/main" id="{9952DDF1-C1C6-4B67-A7DB-43880A8DA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22860</xdr:colOff>
      <xdr:row>27</xdr:row>
      <xdr:rowOff>22860</xdr:rowOff>
    </xdr:from>
    <xdr:to>
      <xdr:col>9</xdr:col>
      <xdr:colOff>433260</xdr:colOff>
      <xdr:row>44</xdr:row>
      <xdr:rowOff>67500</xdr:rowOff>
    </xdr:to>
    <xdr:graphicFrame macro="">
      <xdr:nvGraphicFramePr>
        <xdr:cNvPr id="12" name="Chart 11">
          <a:extLst>
            <a:ext uri="{FF2B5EF4-FFF2-40B4-BE49-F238E27FC236}">
              <a16:creationId xmlns:a16="http://schemas.microsoft.com/office/drawing/2014/main" id="{D9009898-0B19-4497-8611-784CDE340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281940</xdr:colOff>
      <xdr:row>6</xdr:row>
      <xdr:rowOff>137160</xdr:rowOff>
    </xdr:from>
    <xdr:to>
      <xdr:col>6</xdr:col>
      <xdr:colOff>281940</xdr:colOff>
      <xdr:row>8</xdr:row>
      <xdr:rowOff>91440</xdr:rowOff>
    </xdr:to>
    <xdr:sp macro="" textlink="Sheet1!B119">
      <xdr:nvSpPr>
        <xdr:cNvPr id="13" name="TextBox 12">
          <a:extLst>
            <a:ext uri="{FF2B5EF4-FFF2-40B4-BE49-F238E27FC236}">
              <a16:creationId xmlns:a16="http://schemas.microsoft.com/office/drawing/2014/main" id="{1A54408E-9107-EB22-2177-0009D23A4F33}"/>
            </a:ext>
          </a:extLst>
        </xdr:cNvPr>
        <xdr:cNvSpPr txBox="1"/>
      </xdr:nvSpPr>
      <xdr:spPr>
        <a:xfrm>
          <a:off x="2720340" y="1234440"/>
          <a:ext cx="1219200" cy="320040"/>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420AC4-F579-40FD-8553-0B41112B5D4F}" type="TxLink">
            <a:rPr lang="en-US" sz="2000" b="1" i="0" u="none" strike="noStrike">
              <a:solidFill>
                <a:schemeClr val="tx1"/>
              </a:solidFill>
              <a:latin typeface="Book Antiqua" panose="02040602050305030304" pitchFamily="18" charset="0"/>
            </a:rPr>
            <a:pPr algn="ctr"/>
            <a:t>1000</a:t>
          </a:fld>
          <a:endParaRPr lang="en-IN" sz="2000" b="1">
            <a:solidFill>
              <a:schemeClr val="tx1"/>
            </a:solidFill>
            <a:latin typeface="Book Antiqua" panose="02040602050305030304" pitchFamily="18" charset="0"/>
          </a:endParaRPr>
        </a:p>
      </xdr:txBody>
    </xdr:sp>
    <xdr:clientData/>
  </xdr:twoCellAnchor>
  <xdr:twoCellAnchor>
    <xdr:from>
      <xdr:col>9</xdr:col>
      <xdr:colOff>518160</xdr:colOff>
      <xdr:row>6</xdr:row>
      <xdr:rowOff>137160</xdr:rowOff>
    </xdr:from>
    <xdr:to>
      <xdr:col>11</xdr:col>
      <xdr:colOff>518160</xdr:colOff>
      <xdr:row>8</xdr:row>
      <xdr:rowOff>91440</xdr:rowOff>
    </xdr:to>
    <xdr:sp macro="" textlink="Sheet1!B122">
      <xdr:nvSpPr>
        <xdr:cNvPr id="14" name="TextBox 13">
          <a:extLst>
            <a:ext uri="{FF2B5EF4-FFF2-40B4-BE49-F238E27FC236}">
              <a16:creationId xmlns:a16="http://schemas.microsoft.com/office/drawing/2014/main" id="{1F60C645-8F87-5327-56F6-6528985E00A1}"/>
            </a:ext>
          </a:extLst>
        </xdr:cNvPr>
        <xdr:cNvSpPr txBox="1"/>
      </xdr:nvSpPr>
      <xdr:spPr>
        <a:xfrm>
          <a:off x="6004560" y="1234440"/>
          <a:ext cx="1219200" cy="320040"/>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845A84-72F3-4FEB-B6D5-20AAB5AA1C49}" type="TxLink">
            <a:rPr lang="en-US" sz="2000" b="1" i="0" u="none" strike="noStrike">
              <a:solidFill>
                <a:schemeClr val="tx1"/>
              </a:solidFill>
              <a:latin typeface="Book Antiqua" panose="02040602050305030304" pitchFamily="18" charset="0"/>
            </a:rPr>
            <a:pPr/>
            <a:t>1.613</a:t>
          </a:fld>
          <a:endParaRPr lang="en-IN" sz="2000" b="1">
            <a:solidFill>
              <a:schemeClr val="tx1"/>
            </a:solidFill>
            <a:latin typeface="Book Antiqua" panose="02040602050305030304" pitchFamily="18" charset="0"/>
          </a:endParaRPr>
        </a:p>
      </xdr:txBody>
    </xdr:sp>
    <xdr:clientData/>
  </xdr:twoCellAnchor>
  <xdr:twoCellAnchor>
    <xdr:from>
      <xdr:col>14</xdr:col>
      <xdr:colOff>198120</xdr:colOff>
      <xdr:row>6</xdr:row>
      <xdr:rowOff>121920</xdr:rowOff>
    </xdr:from>
    <xdr:to>
      <xdr:col>16</xdr:col>
      <xdr:colOff>563880</xdr:colOff>
      <xdr:row>8</xdr:row>
      <xdr:rowOff>53340</xdr:rowOff>
    </xdr:to>
    <xdr:sp macro="" textlink="Sheet1!B125">
      <xdr:nvSpPr>
        <xdr:cNvPr id="15" name="TextBox 14">
          <a:extLst>
            <a:ext uri="{FF2B5EF4-FFF2-40B4-BE49-F238E27FC236}">
              <a16:creationId xmlns:a16="http://schemas.microsoft.com/office/drawing/2014/main" id="{5F0F1F3F-6B87-FF54-4D8B-B5096C51D27D}"/>
            </a:ext>
          </a:extLst>
        </xdr:cNvPr>
        <xdr:cNvSpPr txBox="1"/>
      </xdr:nvSpPr>
      <xdr:spPr>
        <a:xfrm>
          <a:off x="8732520" y="1219200"/>
          <a:ext cx="1584960" cy="297180"/>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C275766-6AE4-44FC-BCA6-D1637EF56EA3}" type="TxLink">
            <a:rPr lang="en-US" sz="2000" b="1" i="0" u="none" strike="noStrike">
              <a:solidFill>
                <a:schemeClr val="tx1"/>
              </a:solidFill>
              <a:latin typeface="Book Antiqua" panose="02040602050305030304" pitchFamily="18" charset="0"/>
            </a:rPr>
            <a:pPr algn="ctr"/>
            <a:t>2.509</a:t>
          </a:fld>
          <a:endParaRPr lang="en-IN" sz="2000" b="1">
            <a:solidFill>
              <a:schemeClr val="tx1"/>
            </a:solidFill>
            <a:latin typeface="Book Antiqua" panose="02040602050305030304" pitchFamily="18" charset="0"/>
          </a:endParaRPr>
        </a:p>
      </xdr:txBody>
    </xdr:sp>
    <xdr:clientData/>
  </xdr:twoCellAnchor>
  <xdr:twoCellAnchor>
    <xdr:from>
      <xdr:col>19</xdr:col>
      <xdr:colOff>571500</xdr:colOff>
      <xdr:row>6</xdr:row>
      <xdr:rowOff>137160</xdr:rowOff>
    </xdr:from>
    <xdr:to>
      <xdr:col>21</xdr:col>
      <xdr:colOff>464820</xdr:colOff>
      <xdr:row>8</xdr:row>
      <xdr:rowOff>60960</xdr:rowOff>
    </xdr:to>
    <xdr:sp macro="" textlink="Sheet1!B128">
      <xdr:nvSpPr>
        <xdr:cNvPr id="16" name="TextBox 15">
          <a:extLst>
            <a:ext uri="{FF2B5EF4-FFF2-40B4-BE49-F238E27FC236}">
              <a16:creationId xmlns:a16="http://schemas.microsoft.com/office/drawing/2014/main" id="{B83141CE-4B89-D726-D664-7C205138653E}"/>
            </a:ext>
          </a:extLst>
        </xdr:cNvPr>
        <xdr:cNvSpPr txBox="1"/>
      </xdr:nvSpPr>
      <xdr:spPr>
        <a:xfrm>
          <a:off x="12153900" y="1234440"/>
          <a:ext cx="1112520" cy="289560"/>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7EFE46E-B0FE-469F-A291-8BBCB43E3026}" type="TxLink">
            <a:rPr lang="en-US" sz="2000" b="1" i="0" u="none" strike="noStrike">
              <a:solidFill>
                <a:schemeClr val="tx1"/>
              </a:solidFill>
              <a:latin typeface="Book Antiqua" panose="02040602050305030304" pitchFamily="18" charset="0"/>
            </a:rPr>
            <a:pPr algn="ctr"/>
            <a:t>6.535</a:t>
          </a:fld>
          <a:endParaRPr lang="en-IN" sz="2000" b="1">
            <a:solidFill>
              <a:schemeClr val="tx1"/>
            </a:solidFill>
            <a:latin typeface="Book Antiqua" panose="02040602050305030304" pitchFamily="18" charset="0"/>
          </a:endParaRPr>
        </a:p>
      </xdr:txBody>
    </xdr:sp>
    <xdr:clientData/>
  </xdr:twoCellAnchor>
  <xdr:twoCellAnchor>
    <xdr:from>
      <xdr:col>3</xdr:col>
      <xdr:colOff>38100</xdr:colOff>
      <xdr:row>9</xdr:row>
      <xdr:rowOff>99060</xdr:rowOff>
    </xdr:from>
    <xdr:to>
      <xdr:col>9</xdr:col>
      <xdr:colOff>434340</xdr:colOff>
      <xdr:row>12</xdr:row>
      <xdr:rowOff>121920</xdr:rowOff>
    </xdr:to>
    <xdr:sp macro="" textlink="">
      <xdr:nvSpPr>
        <xdr:cNvPr id="17" name="Rectangle: Rounded Corners 16">
          <a:extLst>
            <a:ext uri="{FF2B5EF4-FFF2-40B4-BE49-F238E27FC236}">
              <a16:creationId xmlns:a16="http://schemas.microsoft.com/office/drawing/2014/main" id="{E8543C8A-8FB2-0176-0518-540D2A6BCFB2}"/>
            </a:ext>
          </a:extLst>
        </xdr:cNvPr>
        <xdr:cNvSpPr/>
      </xdr:nvSpPr>
      <xdr:spPr>
        <a:xfrm>
          <a:off x="1866900" y="1744980"/>
          <a:ext cx="4053840" cy="571500"/>
        </a:xfrm>
        <a:prstGeom prst="roundRect">
          <a:avLst/>
        </a:prstGeom>
        <a:solidFill>
          <a:srgbClr val="00297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1"/>
              </a:solidFill>
              <a:latin typeface="Cambria" panose="02040503050406030204" pitchFamily="18" charset="0"/>
              <a:ea typeface="Cambria" panose="02040503050406030204" pitchFamily="18" charset="0"/>
            </a:rPr>
            <a:t>AI USAGE VS. LONELINESS &amp; EMOTIONAL ATTACHMENT</a:t>
          </a:r>
        </a:p>
      </xdr:txBody>
    </xdr:sp>
    <xdr:clientData/>
  </xdr:twoCellAnchor>
  <xdr:twoCellAnchor editAs="oneCell">
    <xdr:from>
      <xdr:col>0</xdr:col>
      <xdr:colOff>15240</xdr:colOff>
      <xdr:row>4</xdr:row>
      <xdr:rowOff>160020</xdr:rowOff>
    </xdr:from>
    <xdr:to>
      <xdr:col>3</xdr:col>
      <xdr:colOff>15240</xdr:colOff>
      <xdr:row>12</xdr:row>
      <xdr:rowOff>175260</xdr:rowOff>
    </xdr:to>
    <mc:AlternateContent xmlns:mc="http://schemas.openxmlformats.org/markup-compatibility/2006" xmlns:a14="http://schemas.microsoft.com/office/drawing/2010/main">
      <mc:Choice Requires="a14">
        <xdr:graphicFrame macro="">
          <xdr:nvGraphicFramePr>
            <xdr:cNvPr id="18" name="Age_Group 1">
              <a:extLst>
                <a:ext uri="{FF2B5EF4-FFF2-40B4-BE49-F238E27FC236}">
                  <a16:creationId xmlns:a16="http://schemas.microsoft.com/office/drawing/2014/main" id="{7DC09E6A-9F77-44C0-A4F4-3A2FB2409A6D}"/>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5240" y="891540"/>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12</xdr:row>
      <xdr:rowOff>160020</xdr:rowOff>
    </xdr:from>
    <xdr:to>
      <xdr:col>3</xdr:col>
      <xdr:colOff>15240</xdr:colOff>
      <xdr:row>22</xdr:row>
      <xdr:rowOff>83820</xdr:rowOff>
    </xdr:to>
    <mc:AlternateContent xmlns:mc="http://schemas.openxmlformats.org/markup-compatibility/2006" xmlns:a14="http://schemas.microsoft.com/office/drawing/2010/main">
      <mc:Choice Requires="a14">
        <xdr:graphicFrame macro="">
          <xdr:nvGraphicFramePr>
            <xdr:cNvPr id="19" name="Ai_chatbot_Platform 1">
              <a:extLst>
                <a:ext uri="{FF2B5EF4-FFF2-40B4-BE49-F238E27FC236}">
                  <a16:creationId xmlns:a16="http://schemas.microsoft.com/office/drawing/2014/main" id="{8E901977-E47E-4A9D-A5B3-24141D1CD329}"/>
                </a:ext>
              </a:extLst>
            </xdr:cNvPr>
            <xdr:cNvGraphicFramePr/>
          </xdr:nvGraphicFramePr>
          <xdr:xfrm>
            <a:off x="0" y="0"/>
            <a:ext cx="0" cy="0"/>
          </xdr:xfrm>
          <a:graphic>
            <a:graphicData uri="http://schemas.microsoft.com/office/drawing/2010/slicer">
              <sle:slicer xmlns:sle="http://schemas.microsoft.com/office/drawing/2010/slicer" name="Ai_chatbot_Platform 1"/>
            </a:graphicData>
          </a:graphic>
        </xdr:graphicFrame>
      </mc:Choice>
      <mc:Fallback xmlns="">
        <xdr:sp macro="" textlink="">
          <xdr:nvSpPr>
            <xdr:cNvPr id="0" name=""/>
            <xdr:cNvSpPr>
              <a:spLocks noTextEdit="1"/>
            </xdr:cNvSpPr>
          </xdr:nvSpPr>
          <xdr:spPr>
            <a:xfrm>
              <a:off x="15240" y="2354580"/>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22</xdr:row>
      <xdr:rowOff>114300</xdr:rowOff>
    </xdr:from>
    <xdr:to>
      <xdr:col>3</xdr:col>
      <xdr:colOff>15240</xdr:colOff>
      <xdr:row>30</xdr:row>
      <xdr:rowOff>144780</xdr:rowOff>
    </xdr:to>
    <mc:AlternateContent xmlns:mc="http://schemas.openxmlformats.org/markup-compatibility/2006" xmlns:a14="http://schemas.microsoft.com/office/drawing/2010/main">
      <mc:Choice Requires="a14">
        <xdr:graphicFrame macro="">
          <xdr:nvGraphicFramePr>
            <xdr:cNvPr id="20" name="Ai_Usage_Category 1">
              <a:extLst>
                <a:ext uri="{FF2B5EF4-FFF2-40B4-BE49-F238E27FC236}">
                  <a16:creationId xmlns:a16="http://schemas.microsoft.com/office/drawing/2014/main" id="{EDA26500-9CBC-49AE-AB49-AAB1C5023D55}"/>
                </a:ext>
              </a:extLst>
            </xdr:cNvPr>
            <xdr:cNvGraphicFramePr/>
          </xdr:nvGraphicFramePr>
          <xdr:xfrm>
            <a:off x="0" y="0"/>
            <a:ext cx="0" cy="0"/>
          </xdr:xfrm>
          <a:graphic>
            <a:graphicData uri="http://schemas.microsoft.com/office/drawing/2010/slicer">
              <sle:slicer xmlns:sle="http://schemas.microsoft.com/office/drawing/2010/slicer" name="Ai_Usage_Category 1"/>
            </a:graphicData>
          </a:graphic>
        </xdr:graphicFrame>
      </mc:Choice>
      <mc:Fallback xmlns="">
        <xdr:sp macro="" textlink="">
          <xdr:nvSpPr>
            <xdr:cNvPr id="0" name=""/>
            <xdr:cNvSpPr>
              <a:spLocks noTextEdit="1"/>
            </xdr:cNvSpPr>
          </xdr:nvSpPr>
          <xdr:spPr>
            <a:xfrm>
              <a:off x="15240" y="4137660"/>
              <a:ext cx="18288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30</xdr:row>
      <xdr:rowOff>167640</xdr:rowOff>
    </xdr:from>
    <xdr:to>
      <xdr:col>3</xdr:col>
      <xdr:colOff>22860</xdr:colOff>
      <xdr:row>37</xdr:row>
      <xdr:rowOff>114300</xdr:rowOff>
    </xdr:to>
    <mc:AlternateContent xmlns:mc="http://schemas.openxmlformats.org/markup-compatibility/2006" xmlns:a14="http://schemas.microsoft.com/office/drawing/2010/main">
      <mc:Choice Requires="a14">
        <xdr:graphicFrame macro="">
          <xdr:nvGraphicFramePr>
            <xdr:cNvPr id="21" name="Dependency_risk_label 1">
              <a:extLst>
                <a:ext uri="{FF2B5EF4-FFF2-40B4-BE49-F238E27FC236}">
                  <a16:creationId xmlns:a16="http://schemas.microsoft.com/office/drawing/2014/main" id="{CAD9A7E6-EEBD-41B3-99C0-1725B4536006}"/>
                </a:ext>
              </a:extLst>
            </xdr:cNvPr>
            <xdr:cNvGraphicFramePr/>
          </xdr:nvGraphicFramePr>
          <xdr:xfrm>
            <a:off x="0" y="0"/>
            <a:ext cx="0" cy="0"/>
          </xdr:xfrm>
          <a:graphic>
            <a:graphicData uri="http://schemas.microsoft.com/office/drawing/2010/slicer">
              <sle:slicer xmlns:sle="http://schemas.microsoft.com/office/drawing/2010/slicer" name="Dependency_risk_label 1"/>
            </a:graphicData>
          </a:graphic>
        </xdr:graphicFrame>
      </mc:Choice>
      <mc:Fallback xmlns="">
        <xdr:sp macro="" textlink="">
          <xdr:nvSpPr>
            <xdr:cNvPr id="0" name=""/>
            <xdr:cNvSpPr>
              <a:spLocks noTextEdit="1"/>
            </xdr:cNvSpPr>
          </xdr:nvSpPr>
          <xdr:spPr>
            <a:xfrm>
              <a:off x="22860" y="5654040"/>
              <a:ext cx="182880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37</xdr:row>
      <xdr:rowOff>144780</xdr:rowOff>
    </xdr:from>
    <xdr:to>
      <xdr:col>3</xdr:col>
      <xdr:colOff>15240</xdr:colOff>
      <xdr:row>44</xdr:row>
      <xdr:rowOff>76200</xdr:rowOff>
    </xdr:to>
    <mc:AlternateContent xmlns:mc="http://schemas.openxmlformats.org/markup-compatibility/2006" xmlns:a14="http://schemas.microsoft.com/office/drawing/2010/main">
      <mc:Choice Requires="a14">
        <xdr:graphicFrame macro="">
          <xdr:nvGraphicFramePr>
            <xdr:cNvPr id="25" name="Loneliness_Category 1">
              <a:extLst>
                <a:ext uri="{FF2B5EF4-FFF2-40B4-BE49-F238E27FC236}">
                  <a16:creationId xmlns:a16="http://schemas.microsoft.com/office/drawing/2014/main" id="{777ECD6C-8DF4-4194-85F7-FB131C6FE14F}"/>
                </a:ext>
              </a:extLst>
            </xdr:cNvPr>
            <xdr:cNvGraphicFramePr/>
          </xdr:nvGraphicFramePr>
          <xdr:xfrm>
            <a:off x="0" y="0"/>
            <a:ext cx="0" cy="0"/>
          </xdr:xfrm>
          <a:graphic>
            <a:graphicData uri="http://schemas.microsoft.com/office/drawing/2010/slicer">
              <sle:slicer xmlns:sle="http://schemas.microsoft.com/office/drawing/2010/slicer" name="Loneliness_Category 1"/>
            </a:graphicData>
          </a:graphic>
        </xdr:graphicFrame>
      </mc:Choice>
      <mc:Fallback xmlns="">
        <xdr:sp macro="" textlink="">
          <xdr:nvSpPr>
            <xdr:cNvPr id="0" name=""/>
            <xdr:cNvSpPr>
              <a:spLocks noTextEdit="1"/>
            </xdr:cNvSpPr>
          </xdr:nvSpPr>
          <xdr:spPr>
            <a:xfrm>
              <a:off x="15240" y="6911340"/>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0.00348</cdr:x>
      <cdr:y>0.00403</cdr:y>
    </cdr:from>
    <cdr:to>
      <cdr:x>1</cdr:x>
      <cdr:y>0.18122</cdr:y>
    </cdr:to>
    <cdr:sp macro="" textlink="">
      <cdr:nvSpPr>
        <cdr:cNvPr id="3" name="Rectangle: Rounded Corners 2">
          <a:extLst xmlns:a="http://schemas.openxmlformats.org/drawingml/2006/main">
            <a:ext uri="{FF2B5EF4-FFF2-40B4-BE49-F238E27FC236}">
              <a16:creationId xmlns:a16="http://schemas.microsoft.com/office/drawing/2014/main" id="{E8543C8A-8FB2-0176-0518-540D2A6BCFB2}"/>
            </a:ext>
          </a:extLst>
        </cdr:cNvPr>
        <cdr:cNvSpPr/>
      </cdr:nvSpPr>
      <cdr:spPr>
        <a:xfrm xmlns:a="http://schemas.openxmlformats.org/drawingml/2006/main">
          <a:off x="14160" y="12700"/>
          <a:ext cx="4053840" cy="558800"/>
        </a:xfrm>
        <a:prstGeom xmlns:a="http://schemas.openxmlformats.org/drawingml/2006/main" prst="roundRect">
          <a:avLst/>
        </a:prstGeom>
        <a:solidFill xmlns:a="http://schemas.openxmlformats.org/drawingml/2006/main">
          <a:srgbClr val="00297A"/>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400">
              <a:solidFill>
                <a:schemeClr val="bg1"/>
              </a:solidFill>
              <a:latin typeface="Cambria" panose="02040503050406030204" pitchFamily="18" charset="0"/>
              <a:ea typeface="Cambria" panose="02040503050406030204" pitchFamily="18" charset="0"/>
            </a:rPr>
            <a:t>PRIMARY</a:t>
          </a:r>
          <a:r>
            <a:rPr lang="en-IN" sz="1400" baseline="0">
              <a:solidFill>
                <a:schemeClr val="bg1"/>
              </a:solidFill>
              <a:latin typeface="Cambria" panose="02040503050406030204" pitchFamily="18" charset="0"/>
              <a:ea typeface="Cambria" panose="02040503050406030204" pitchFamily="18" charset="0"/>
            </a:rPr>
            <a:t> AI USE CASES DISTRIBUTION</a:t>
          </a:r>
          <a:endParaRPr lang="en-IN" sz="1400">
            <a:solidFill>
              <a:schemeClr val="bg1"/>
            </a:solidFill>
            <a:latin typeface="Cambria" panose="02040503050406030204" pitchFamily="18" charset="0"/>
            <a:ea typeface="Cambria" panose="02040503050406030204" pitchFamily="18"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0.00348</cdr:x>
      <cdr:y>0.00403</cdr:y>
    </cdr:from>
    <cdr:to>
      <cdr:x>1</cdr:x>
      <cdr:y>0.18122</cdr:y>
    </cdr:to>
    <cdr:sp macro="" textlink="">
      <cdr:nvSpPr>
        <cdr:cNvPr id="2" name="Rectangle: Rounded Corners 1">
          <a:extLst xmlns:a="http://schemas.openxmlformats.org/drawingml/2006/main">
            <a:ext uri="{FF2B5EF4-FFF2-40B4-BE49-F238E27FC236}">
              <a16:creationId xmlns:a16="http://schemas.microsoft.com/office/drawing/2014/main" id="{2409E418-4219-8E15-33ED-A4B9FFFDF055}"/>
            </a:ext>
          </a:extLst>
        </cdr:cNvPr>
        <cdr:cNvSpPr/>
      </cdr:nvSpPr>
      <cdr:spPr>
        <a:xfrm xmlns:a="http://schemas.openxmlformats.org/drawingml/2006/main">
          <a:off x="14160" y="12700"/>
          <a:ext cx="4053840" cy="558800"/>
        </a:xfrm>
        <a:prstGeom xmlns:a="http://schemas.openxmlformats.org/drawingml/2006/main" prst="roundRect">
          <a:avLst/>
        </a:prstGeom>
        <a:solidFill xmlns:a="http://schemas.openxmlformats.org/drawingml/2006/main">
          <a:srgbClr val="00297A"/>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400">
              <a:solidFill>
                <a:schemeClr val="bg1"/>
              </a:solidFill>
              <a:latin typeface="Cambria" panose="02040503050406030204" pitchFamily="18" charset="0"/>
              <a:ea typeface="Cambria" panose="02040503050406030204" pitchFamily="18" charset="0"/>
            </a:rPr>
            <a:t>DAILY AI CHAT AND SCREEN TIME BY CHATBOT PLATFORM</a:t>
          </a:r>
        </a:p>
      </cdr:txBody>
    </cdr:sp>
  </cdr:relSizeAnchor>
</c:userShapes>
</file>

<file path=xl/drawings/drawing5.xml><?xml version="1.0" encoding="utf-8"?>
<c:userShapes xmlns:c="http://schemas.openxmlformats.org/drawingml/2006/chart">
  <cdr:relSizeAnchor xmlns:cdr="http://schemas.openxmlformats.org/drawingml/2006/chartDrawing">
    <cdr:from>
      <cdr:x>0.00348</cdr:x>
      <cdr:y>0.00403</cdr:y>
    </cdr:from>
    <cdr:to>
      <cdr:x>1</cdr:x>
      <cdr:y>0.18097</cdr:y>
    </cdr:to>
    <cdr:sp macro="" textlink="">
      <cdr:nvSpPr>
        <cdr:cNvPr id="2" name="Rectangle: Rounded Corners 1">
          <a:extLst xmlns:a="http://schemas.openxmlformats.org/drawingml/2006/main">
            <a:ext uri="{FF2B5EF4-FFF2-40B4-BE49-F238E27FC236}">
              <a16:creationId xmlns:a16="http://schemas.microsoft.com/office/drawing/2014/main" id="{44761A20-5227-86DB-CE8A-2E0ADBC963C9}"/>
            </a:ext>
          </a:extLst>
        </cdr:cNvPr>
        <cdr:cNvSpPr/>
      </cdr:nvSpPr>
      <cdr:spPr>
        <a:xfrm xmlns:a="http://schemas.openxmlformats.org/drawingml/2006/main">
          <a:off x="14160" y="12700"/>
          <a:ext cx="4053840" cy="558000"/>
        </a:xfrm>
        <a:prstGeom xmlns:a="http://schemas.openxmlformats.org/drawingml/2006/main" prst="roundRect">
          <a:avLst/>
        </a:prstGeom>
        <a:solidFill xmlns:a="http://schemas.openxmlformats.org/drawingml/2006/main">
          <a:srgbClr val="00297A"/>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400">
              <a:solidFill>
                <a:schemeClr val="bg1"/>
              </a:solidFill>
              <a:latin typeface="Cambria" panose="02040503050406030204" pitchFamily="18" charset="0"/>
              <a:ea typeface="Cambria" panose="02040503050406030204" pitchFamily="18" charset="0"/>
            </a:rPr>
            <a:t>DEPENDENCY RISK DISTRIBUTION BY AGE GROUP</a:t>
          </a:r>
        </a:p>
      </cdr:txBody>
    </cdr:sp>
  </cdr:relSizeAnchor>
</c:userShapes>
</file>

<file path=xl/drawings/drawing6.xml><?xml version="1.0" encoding="utf-8"?>
<c:userShapes xmlns:c="http://schemas.openxmlformats.org/drawingml/2006/chart">
  <cdr:relSizeAnchor xmlns:cdr="http://schemas.openxmlformats.org/drawingml/2006/chartDrawing">
    <cdr:from>
      <cdr:x>0.00348</cdr:x>
      <cdr:y>0.00403</cdr:y>
    </cdr:from>
    <cdr:to>
      <cdr:x>1</cdr:x>
      <cdr:y>0.18097</cdr:y>
    </cdr:to>
    <cdr:sp macro="" textlink="">
      <cdr:nvSpPr>
        <cdr:cNvPr id="2" name="Rectangle: Rounded Corners 1">
          <a:extLst xmlns:a="http://schemas.openxmlformats.org/drawingml/2006/main">
            <a:ext uri="{FF2B5EF4-FFF2-40B4-BE49-F238E27FC236}">
              <a16:creationId xmlns:a16="http://schemas.microsoft.com/office/drawing/2014/main" id="{4150122D-4FC7-404B-575E-2224943D107D}"/>
            </a:ext>
          </a:extLst>
        </cdr:cNvPr>
        <cdr:cNvSpPr/>
      </cdr:nvSpPr>
      <cdr:spPr>
        <a:xfrm xmlns:a="http://schemas.openxmlformats.org/drawingml/2006/main">
          <a:off x="14160" y="12700"/>
          <a:ext cx="4053840" cy="558000"/>
        </a:xfrm>
        <a:prstGeom xmlns:a="http://schemas.openxmlformats.org/drawingml/2006/main" prst="roundRect">
          <a:avLst/>
        </a:prstGeom>
        <a:solidFill xmlns:a="http://schemas.openxmlformats.org/drawingml/2006/main">
          <a:srgbClr val="00297A"/>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400">
              <a:solidFill>
                <a:schemeClr val="bg1"/>
              </a:solidFill>
              <a:latin typeface="Cambria" panose="02040503050406030204" pitchFamily="18" charset="0"/>
              <a:ea typeface="Cambria" panose="02040503050406030204" pitchFamily="18" charset="0"/>
            </a:rPr>
            <a:t>AI USAGE AND</a:t>
          </a:r>
          <a:r>
            <a:rPr lang="en-IN" sz="1400" baseline="0">
              <a:solidFill>
                <a:schemeClr val="bg1"/>
              </a:solidFill>
              <a:latin typeface="Cambria" panose="02040503050406030204" pitchFamily="18" charset="0"/>
              <a:ea typeface="Cambria" panose="02040503050406030204" pitchFamily="18" charset="0"/>
            </a:rPr>
            <a:t> SCREEN TIME BY ACADEMIC/WORK PERFORMANCE CHANGE</a:t>
          </a:r>
          <a:endParaRPr lang="en-IN" sz="1400">
            <a:solidFill>
              <a:schemeClr val="bg1"/>
            </a:solidFill>
            <a:latin typeface="Cambria" panose="02040503050406030204" pitchFamily="18" charset="0"/>
            <a:ea typeface="Cambria" panose="02040503050406030204" pitchFamily="18"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0.00348</cdr:x>
      <cdr:y>0.00403</cdr:y>
    </cdr:from>
    <cdr:to>
      <cdr:x>1</cdr:x>
      <cdr:y>0.18097</cdr:y>
    </cdr:to>
    <cdr:sp macro="" textlink="">
      <cdr:nvSpPr>
        <cdr:cNvPr id="2" name="Rectangle: Rounded Corners 1">
          <a:extLst xmlns:a="http://schemas.openxmlformats.org/drawingml/2006/main">
            <a:ext uri="{FF2B5EF4-FFF2-40B4-BE49-F238E27FC236}">
              <a16:creationId xmlns:a16="http://schemas.microsoft.com/office/drawing/2014/main" id="{B276243C-5B64-0308-6B78-17D94CAC9312}"/>
            </a:ext>
          </a:extLst>
        </cdr:cNvPr>
        <cdr:cNvSpPr/>
      </cdr:nvSpPr>
      <cdr:spPr>
        <a:xfrm xmlns:a="http://schemas.openxmlformats.org/drawingml/2006/main">
          <a:off x="14160" y="12700"/>
          <a:ext cx="4053840" cy="558000"/>
        </a:xfrm>
        <a:prstGeom xmlns:a="http://schemas.openxmlformats.org/drawingml/2006/main" prst="roundRect">
          <a:avLst/>
        </a:prstGeom>
        <a:solidFill xmlns:a="http://schemas.openxmlformats.org/drawingml/2006/main">
          <a:srgbClr val="00297A"/>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400">
              <a:solidFill>
                <a:schemeClr val="bg1"/>
              </a:solidFill>
              <a:latin typeface="Cambria" panose="02040503050406030204" pitchFamily="18" charset="0"/>
              <a:ea typeface="Cambria" panose="02040503050406030204" pitchFamily="18" charset="0"/>
            </a:rPr>
            <a:t>AVG.</a:t>
          </a:r>
          <a:r>
            <a:rPr lang="en-IN" sz="1400" baseline="0">
              <a:solidFill>
                <a:schemeClr val="bg1"/>
              </a:solidFill>
              <a:latin typeface="Cambria" panose="02040503050406030204" pitchFamily="18" charset="0"/>
              <a:ea typeface="Cambria" panose="02040503050406030204" pitchFamily="18" charset="0"/>
            </a:rPr>
            <a:t> </a:t>
          </a:r>
          <a:r>
            <a:rPr lang="en-IN" sz="1400">
              <a:solidFill>
                <a:schemeClr val="bg1"/>
              </a:solidFill>
              <a:latin typeface="Cambria" panose="02040503050406030204" pitchFamily="18" charset="0"/>
              <a:ea typeface="Cambria" panose="02040503050406030204" pitchFamily="18" charset="0"/>
            </a:rPr>
            <a:t> SOCIAL INTERACTION</a:t>
          </a:r>
          <a:r>
            <a:rPr lang="en-IN" sz="1400" baseline="0">
              <a:solidFill>
                <a:schemeClr val="bg1"/>
              </a:solidFill>
              <a:latin typeface="Cambria" panose="02040503050406030204" pitchFamily="18" charset="0"/>
              <a:ea typeface="Cambria" panose="02040503050406030204" pitchFamily="18" charset="0"/>
            </a:rPr>
            <a:t> HOURS BY AGE GROUP</a:t>
          </a:r>
          <a:endParaRPr lang="en-IN" sz="1400">
            <a:solidFill>
              <a:schemeClr val="bg1"/>
            </a:solidFill>
            <a:latin typeface="Cambria" panose="02040503050406030204" pitchFamily="18" charset="0"/>
            <a:ea typeface="Cambria" panose="02040503050406030204" pitchFamily="18" charset="0"/>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RA H" refreshedDate="46281.799087500003" createdVersion="8" refreshedVersion="8" minRefreshableVersion="3" recordCount="1000" xr:uid="{EA3B81DB-5D2C-4496-8A9C-7A17D6AA7FF4}">
  <cacheSource type="worksheet">
    <worksheetSource ref="A1:AG1001" sheet="ai_companion_dependency_dataset"/>
  </cacheSource>
  <cacheFields count="33">
    <cacheField name="User_ID" numFmtId="0">
      <sharedItems count="1000">
        <s v="U0001"/>
        <s v="U0002"/>
        <s v="U0003"/>
        <s v="U0004"/>
        <s v="U0005"/>
        <s v="U0006"/>
        <s v="U0007"/>
        <s v="U0008"/>
        <s v="U0009"/>
        <s v="U0010"/>
        <s v="U0011"/>
        <s v="U0012"/>
        <s v="U0013"/>
        <s v="U0014"/>
        <s v="U0015"/>
        <s v="U0016"/>
        <s v="U0017"/>
        <s v="U0018"/>
        <s v="U0019"/>
        <s v="U0020"/>
        <s v="U0021"/>
        <s v="U0022"/>
        <s v="U0023"/>
        <s v="U0024"/>
        <s v="U0025"/>
        <s v="U0026"/>
        <s v="U0027"/>
        <s v="U0028"/>
        <s v="U0029"/>
        <s v="U0030"/>
        <s v="U0031"/>
        <s v="U0032"/>
        <s v="U0033"/>
        <s v="U0034"/>
        <s v="U0035"/>
        <s v="U0036"/>
        <s v="U0037"/>
        <s v="U0038"/>
        <s v="U0039"/>
        <s v="U0040"/>
        <s v="U0041"/>
        <s v="U0042"/>
        <s v="U0043"/>
        <s v="U0044"/>
        <s v="U0045"/>
        <s v="U0046"/>
        <s v="U0047"/>
        <s v="U0048"/>
        <s v="U0049"/>
        <s v="U0050"/>
        <s v="U0051"/>
        <s v="U0052"/>
        <s v="U0053"/>
        <s v="U0054"/>
        <s v="U0055"/>
        <s v="U0056"/>
        <s v="U0057"/>
        <s v="U0058"/>
        <s v="U0059"/>
        <s v="U0060"/>
        <s v="U0061"/>
        <s v="U0062"/>
        <s v="U0063"/>
        <s v="U0064"/>
        <s v="U0065"/>
        <s v="U0066"/>
        <s v="U0067"/>
        <s v="U0068"/>
        <s v="U0069"/>
        <s v="U0070"/>
        <s v="U0071"/>
        <s v="U0072"/>
        <s v="U0073"/>
        <s v="U0074"/>
        <s v="U0075"/>
        <s v="U0076"/>
        <s v="U0077"/>
        <s v="U0078"/>
        <s v="U0079"/>
        <s v="U0080"/>
        <s v="U0081"/>
        <s v="U0082"/>
        <s v="U0083"/>
        <s v="U0084"/>
        <s v="U0085"/>
        <s v="U0086"/>
        <s v="U0087"/>
        <s v="U0088"/>
        <s v="U0089"/>
        <s v="U0090"/>
        <s v="U0091"/>
        <s v="U0092"/>
        <s v="U0093"/>
        <s v="U0094"/>
        <s v="U0095"/>
        <s v="U0096"/>
        <s v="U0097"/>
        <s v="U0098"/>
        <s v="U0099"/>
        <s v="U0100"/>
        <s v="U0101"/>
        <s v="U0102"/>
        <s v="U0103"/>
        <s v="U0104"/>
        <s v="U0105"/>
        <s v="U0106"/>
        <s v="U0107"/>
        <s v="U0108"/>
        <s v="U0109"/>
        <s v="U0110"/>
        <s v="U0111"/>
        <s v="U0112"/>
        <s v="U0113"/>
        <s v="U0114"/>
        <s v="U0115"/>
        <s v="U0116"/>
        <s v="U0117"/>
        <s v="U0118"/>
        <s v="U0119"/>
        <s v="U0120"/>
        <s v="U0121"/>
        <s v="U0122"/>
        <s v="U0123"/>
        <s v="U0124"/>
        <s v="U0125"/>
        <s v="U0126"/>
        <s v="U0127"/>
        <s v="U0128"/>
        <s v="U0129"/>
        <s v="U0130"/>
        <s v="U0131"/>
        <s v="U0132"/>
        <s v="U0133"/>
        <s v="U0134"/>
        <s v="U0135"/>
        <s v="U0136"/>
        <s v="U0137"/>
        <s v="U0138"/>
        <s v="U0139"/>
        <s v="U0140"/>
        <s v="U0141"/>
        <s v="U0142"/>
        <s v="U0143"/>
        <s v="U0144"/>
        <s v="U0145"/>
        <s v="U0146"/>
        <s v="U0147"/>
        <s v="U0148"/>
        <s v="U0149"/>
        <s v="U0150"/>
        <s v="U0151"/>
        <s v="U0152"/>
        <s v="U0153"/>
        <s v="U0154"/>
        <s v="U0155"/>
        <s v="U0156"/>
        <s v="U0157"/>
        <s v="U0158"/>
        <s v="U0159"/>
        <s v="U0160"/>
        <s v="U0161"/>
        <s v="U0162"/>
        <s v="U0163"/>
        <s v="U0164"/>
        <s v="U0165"/>
        <s v="U0166"/>
        <s v="U0167"/>
        <s v="U0168"/>
        <s v="U0169"/>
        <s v="U0170"/>
        <s v="U0171"/>
        <s v="U0172"/>
        <s v="U0173"/>
        <s v="U0174"/>
        <s v="U0175"/>
        <s v="U0176"/>
        <s v="U0177"/>
        <s v="U0178"/>
        <s v="U0179"/>
        <s v="U0180"/>
        <s v="U0181"/>
        <s v="U0182"/>
        <s v="U0183"/>
        <s v="U0184"/>
        <s v="U0185"/>
        <s v="U0186"/>
        <s v="U0187"/>
        <s v="U0188"/>
        <s v="U0189"/>
        <s v="U0190"/>
        <s v="U0191"/>
        <s v="U0192"/>
        <s v="U0193"/>
        <s v="U0194"/>
        <s v="U0195"/>
        <s v="U0196"/>
        <s v="U0197"/>
        <s v="U0198"/>
        <s v="U0199"/>
        <s v="U0200"/>
        <s v="U0201"/>
        <s v="U0202"/>
        <s v="U0203"/>
        <s v="U0204"/>
        <s v="U0205"/>
        <s v="U0206"/>
        <s v="U0207"/>
        <s v="U0208"/>
        <s v="U0209"/>
        <s v="U0210"/>
        <s v="U0211"/>
        <s v="U0212"/>
        <s v="U0213"/>
        <s v="U0214"/>
        <s v="U0215"/>
        <s v="U0216"/>
        <s v="U0217"/>
        <s v="U0218"/>
        <s v="U0219"/>
        <s v="U0220"/>
        <s v="U0221"/>
        <s v="U0222"/>
        <s v="U0223"/>
        <s v="U0224"/>
        <s v="U0225"/>
        <s v="U0226"/>
        <s v="U0227"/>
        <s v="U0228"/>
        <s v="U0229"/>
        <s v="U0230"/>
        <s v="U0231"/>
        <s v="U0232"/>
        <s v="U0233"/>
        <s v="U0234"/>
        <s v="U0235"/>
        <s v="U0236"/>
        <s v="U0237"/>
        <s v="U0238"/>
        <s v="U0239"/>
        <s v="U0240"/>
        <s v="U0241"/>
        <s v="U0242"/>
        <s v="U0243"/>
        <s v="U0244"/>
        <s v="U0245"/>
        <s v="U0246"/>
        <s v="U0247"/>
        <s v="U0248"/>
        <s v="U0249"/>
        <s v="U0250"/>
        <s v="U0251"/>
        <s v="U0252"/>
        <s v="U0253"/>
        <s v="U0254"/>
        <s v="U0255"/>
        <s v="U0256"/>
        <s v="U0257"/>
        <s v="U0258"/>
        <s v="U0259"/>
        <s v="U0260"/>
        <s v="U0261"/>
        <s v="U0262"/>
        <s v="U0263"/>
        <s v="U0264"/>
        <s v="U0265"/>
        <s v="U0266"/>
        <s v="U0267"/>
        <s v="U0268"/>
        <s v="U0269"/>
        <s v="U0270"/>
        <s v="U0271"/>
        <s v="U0272"/>
        <s v="U0273"/>
        <s v="U0274"/>
        <s v="U0275"/>
        <s v="U0276"/>
        <s v="U0277"/>
        <s v="U0278"/>
        <s v="U0279"/>
        <s v="U0280"/>
        <s v="U0281"/>
        <s v="U0282"/>
        <s v="U0283"/>
        <s v="U0284"/>
        <s v="U0285"/>
        <s v="U0286"/>
        <s v="U0287"/>
        <s v="U0288"/>
        <s v="U0289"/>
        <s v="U0290"/>
        <s v="U0291"/>
        <s v="U0292"/>
        <s v="U0293"/>
        <s v="U0294"/>
        <s v="U0295"/>
        <s v="U0296"/>
        <s v="U0297"/>
        <s v="U0298"/>
        <s v="U0299"/>
        <s v="U0300"/>
        <s v="U0301"/>
        <s v="U0302"/>
        <s v="U0303"/>
        <s v="U0304"/>
        <s v="U0305"/>
        <s v="U0306"/>
        <s v="U0307"/>
        <s v="U0308"/>
        <s v="U0309"/>
        <s v="U0310"/>
        <s v="U0311"/>
        <s v="U0312"/>
        <s v="U0313"/>
        <s v="U0314"/>
        <s v="U0315"/>
        <s v="U0316"/>
        <s v="U0317"/>
        <s v="U0318"/>
        <s v="U0319"/>
        <s v="U0320"/>
        <s v="U0321"/>
        <s v="U0322"/>
        <s v="U0323"/>
        <s v="U0324"/>
        <s v="U0325"/>
        <s v="U0326"/>
        <s v="U0327"/>
        <s v="U0328"/>
        <s v="U0329"/>
        <s v="U0330"/>
        <s v="U0331"/>
        <s v="U0332"/>
        <s v="U0333"/>
        <s v="U0334"/>
        <s v="U0335"/>
        <s v="U0336"/>
        <s v="U0337"/>
        <s v="U0338"/>
        <s v="U0339"/>
        <s v="U0340"/>
        <s v="U0341"/>
        <s v="U0342"/>
        <s v="U0343"/>
        <s v="U0344"/>
        <s v="U0345"/>
        <s v="U0346"/>
        <s v="U0347"/>
        <s v="U0348"/>
        <s v="U0349"/>
        <s v="U0350"/>
        <s v="U0351"/>
        <s v="U0352"/>
        <s v="U0353"/>
        <s v="U0354"/>
        <s v="U0355"/>
        <s v="U0356"/>
        <s v="U0357"/>
        <s v="U0358"/>
        <s v="U0359"/>
        <s v="U0360"/>
        <s v="U0361"/>
        <s v="U0362"/>
        <s v="U0363"/>
        <s v="U0364"/>
        <s v="U0365"/>
        <s v="U0366"/>
        <s v="U0367"/>
        <s v="U0368"/>
        <s v="U0369"/>
        <s v="U0370"/>
        <s v="U0371"/>
        <s v="U0372"/>
        <s v="U0373"/>
        <s v="U0374"/>
        <s v="U0375"/>
        <s v="U0376"/>
        <s v="U0377"/>
        <s v="U0378"/>
        <s v="U0379"/>
        <s v="U0380"/>
        <s v="U0381"/>
        <s v="U0382"/>
        <s v="U0383"/>
        <s v="U0384"/>
        <s v="U0385"/>
        <s v="U0386"/>
        <s v="U0387"/>
        <s v="U0388"/>
        <s v="U0389"/>
        <s v="U0390"/>
        <s v="U0391"/>
        <s v="U0392"/>
        <s v="U0393"/>
        <s v="U0394"/>
        <s v="U0395"/>
        <s v="U0396"/>
        <s v="U0397"/>
        <s v="U0398"/>
        <s v="U0399"/>
        <s v="U0400"/>
        <s v="U0401"/>
        <s v="U0402"/>
        <s v="U0403"/>
        <s v="U0404"/>
        <s v="U0405"/>
        <s v="U0406"/>
        <s v="U0407"/>
        <s v="U0408"/>
        <s v="U0409"/>
        <s v="U0410"/>
        <s v="U0411"/>
        <s v="U0412"/>
        <s v="U0413"/>
        <s v="U0414"/>
        <s v="U0415"/>
        <s v="U0416"/>
        <s v="U0417"/>
        <s v="U0418"/>
        <s v="U0419"/>
        <s v="U0420"/>
        <s v="U0421"/>
        <s v="U0422"/>
        <s v="U0423"/>
        <s v="U0424"/>
        <s v="U0425"/>
        <s v="U0426"/>
        <s v="U0427"/>
        <s v="U0428"/>
        <s v="U0429"/>
        <s v="U0430"/>
        <s v="U0431"/>
        <s v="U0432"/>
        <s v="U0433"/>
        <s v="U0434"/>
        <s v="U0435"/>
        <s v="U0436"/>
        <s v="U0437"/>
        <s v="U0438"/>
        <s v="U0439"/>
        <s v="U0440"/>
        <s v="U0441"/>
        <s v="U0442"/>
        <s v="U0443"/>
        <s v="U0444"/>
        <s v="U0445"/>
        <s v="U0446"/>
        <s v="U0447"/>
        <s v="U0448"/>
        <s v="U0449"/>
        <s v="U0450"/>
        <s v="U0451"/>
        <s v="U0452"/>
        <s v="U0453"/>
        <s v="U0454"/>
        <s v="U0455"/>
        <s v="U0456"/>
        <s v="U0457"/>
        <s v="U0458"/>
        <s v="U0459"/>
        <s v="U0460"/>
        <s v="U0461"/>
        <s v="U0462"/>
        <s v="U0463"/>
        <s v="U0464"/>
        <s v="U0465"/>
        <s v="U0466"/>
        <s v="U0467"/>
        <s v="U0468"/>
        <s v="U0469"/>
        <s v="U0470"/>
        <s v="U0471"/>
        <s v="U0472"/>
        <s v="U0473"/>
        <s v="U0474"/>
        <s v="U0475"/>
        <s v="U0476"/>
        <s v="U0477"/>
        <s v="U0478"/>
        <s v="U0479"/>
        <s v="U0480"/>
        <s v="U0481"/>
        <s v="U0482"/>
        <s v="U0483"/>
        <s v="U0484"/>
        <s v="U0485"/>
        <s v="U0486"/>
        <s v="U0487"/>
        <s v="U0488"/>
        <s v="U0489"/>
        <s v="U0490"/>
        <s v="U0491"/>
        <s v="U0492"/>
        <s v="U0493"/>
        <s v="U0494"/>
        <s v="U0495"/>
        <s v="U0496"/>
        <s v="U0497"/>
        <s v="U0498"/>
        <s v="U0499"/>
        <s v="U0500"/>
        <s v="U0501"/>
        <s v="U0502"/>
        <s v="U0503"/>
        <s v="U0504"/>
        <s v="U0505"/>
        <s v="U0506"/>
        <s v="U0507"/>
        <s v="U0508"/>
        <s v="U0509"/>
        <s v="U0510"/>
        <s v="U0511"/>
        <s v="U0512"/>
        <s v="U0513"/>
        <s v="U0514"/>
        <s v="U0515"/>
        <s v="U0516"/>
        <s v="U0517"/>
        <s v="U0518"/>
        <s v="U0519"/>
        <s v="U0520"/>
        <s v="U0521"/>
        <s v="U0522"/>
        <s v="U0523"/>
        <s v="U0524"/>
        <s v="U0525"/>
        <s v="U0526"/>
        <s v="U0527"/>
        <s v="U0528"/>
        <s v="U0529"/>
        <s v="U0530"/>
        <s v="U0531"/>
        <s v="U0532"/>
        <s v="U0533"/>
        <s v="U0534"/>
        <s v="U0535"/>
        <s v="U0536"/>
        <s v="U0537"/>
        <s v="U0538"/>
        <s v="U0539"/>
        <s v="U0540"/>
        <s v="U0541"/>
        <s v="U0542"/>
        <s v="U0543"/>
        <s v="U0544"/>
        <s v="U0545"/>
        <s v="U0546"/>
        <s v="U0547"/>
        <s v="U0548"/>
        <s v="U0549"/>
        <s v="U0550"/>
        <s v="U0551"/>
        <s v="U0552"/>
        <s v="U0553"/>
        <s v="U0554"/>
        <s v="U0555"/>
        <s v="U0556"/>
        <s v="U0557"/>
        <s v="U0558"/>
        <s v="U0559"/>
        <s v="U0560"/>
        <s v="U0561"/>
        <s v="U0562"/>
        <s v="U0563"/>
        <s v="U0564"/>
        <s v="U0565"/>
        <s v="U0566"/>
        <s v="U0567"/>
        <s v="U0568"/>
        <s v="U0569"/>
        <s v="U0570"/>
        <s v="U0571"/>
        <s v="U0572"/>
        <s v="U0573"/>
        <s v="U0574"/>
        <s v="U0575"/>
        <s v="U0576"/>
        <s v="U0577"/>
        <s v="U0578"/>
        <s v="U0579"/>
        <s v="U0580"/>
        <s v="U0581"/>
        <s v="U0582"/>
        <s v="U0583"/>
        <s v="U0584"/>
        <s v="U0585"/>
        <s v="U0586"/>
        <s v="U0587"/>
        <s v="U0588"/>
        <s v="U0589"/>
        <s v="U0590"/>
        <s v="U0591"/>
        <s v="U0592"/>
        <s v="U0593"/>
        <s v="U0594"/>
        <s v="U0595"/>
        <s v="U0596"/>
        <s v="U0597"/>
        <s v="U0598"/>
        <s v="U0599"/>
        <s v="U0600"/>
        <s v="U0601"/>
        <s v="U0602"/>
        <s v="U0603"/>
        <s v="U0604"/>
        <s v="U0605"/>
        <s v="U0606"/>
        <s v="U0607"/>
        <s v="U0608"/>
        <s v="U0609"/>
        <s v="U0610"/>
        <s v="U0611"/>
        <s v="U0612"/>
        <s v="U0613"/>
        <s v="U0614"/>
        <s v="U0615"/>
        <s v="U0616"/>
        <s v="U0617"/>
        <s v="U0618"/>
        <s v="U0619"/>
        <s v="U0620"/>
        <s v="U0621"/>
        <s v="U0622"/>
        <s v="U0623"/>
        <s v="U0624"/>
        <s v="U0625"/>
        <s v="U0626"/>
        <s v="U0627"/>
        <s v="U0628"/>
        <s v="U0629"/>
        <s v="U0630"/>
        <s v="U0631"/>
        <s v="U0632"/>
        <s v="U0633"/>
        <s v="U0634"/>
        <s v="U0635"/>
        <s v="U0636"/>
        <s v="U0637"/>
        <s v="U0638"/>
        <s v="U0639"/>
        <s v="U0640"/>
        <s v="U0641"/>
        <s v="U0642"/>
        <s v="U0643"/>
        <s v="U0644"/>
        <s v="U0645"/>
        <s v="U0646"/>
        <s v="U0647"/>
        <s v="U0648"/>
        <s v="U0649"/>
        <s v="U0650"/>
        <s v="U0651"/>
        <s v="U0652"/>
        <s v="U0653"/>
        <s v="U0654"/>
        <s v="U0655"/>
        <s v="U0656"/>
        <s v="U0657"/>
        <s v="U0658"/>
        <s v="U0659"/>
        <s v="U0660"/>
        <s v="U0661"/>
        <s v="U0662"/>
        <s v="U0663"/>
        <s v="U0664"/>
        <s v="U0665"/>
        <s v="U0666"/>
        <s v="U0667"/>
        <s v="U0668"/>
        <s v="U0669"/>
        <s v="U0670"/>
        <s v="U0671"/>
        <s v="U0672"/>
        <s v="U0673"/>
        <s v="U0674"/>
        <s v="U0675"/>
        <s v="U0676"/>
        <s v="U0677"/>
        <s v="U0678"/>
        <s v="U0679"/>
        <s v="U0680"/>
        <s v="U0681"/>
        <s v="U0682"/>
        <s v="U0683"/>
        <s v="U0684"/>
        <s v="U0685"/>
        <s v="U0686"/>
        <s v="U0687"/>
        <s v="U0688"/>
        <s v="U0689"/>
        <s v="U0690"/>
        <s v="U0691"/>
        <s v="U0692"/>
        <s v="U0693"/>
        <s v="U0694"/>
        <s v="U0695"/>
        <s v="U0696"/>
        <s v="U0697"/>
        <s v="U0698"/>
        <s v="U0699"/>
        <s v="U0700"/>
        <s v="U0701"/>
        <s v="U0702"/>
        <s v="U0703"/>
        <s v="U0704"/>
        <s v="U0705"/>
        <s v="U0706"/>
        <s v="U0707"/>
        <s v="U0708"/>
        <s v="U0709"/>
        <s v="U0710"/>
        <s v="U0711"/>
        <s v="U0712"/>
        <s v="U0713"/>
        <s v="U0714"/>
        <s v="U0715"/>
        <s v="U0716"/>
        <s v="U0717"/>
        <s v="U0718"/>
        <s v="U0719"/>
        <s v="U0720"/>
        <s v="U0721"/>
        <s v="U0722"/>
        <s v="U0723"/>
        <s v="U0724"/>
        <s v="U0725"/>
        <s v="U0726"/>
        <s v="U0727"/>
        <s v="U0728"/>
        <s v="U0729"/>
        <s v="U0730"/>
        <s v="U0731"/>
        <s v="U0732"/>
        <s v="U0733"/>
        <s v="U0734"/>
        <s v="U0735"/>
        <s v="U0736"/>
        <s v="U0737"/>
        <s v="U0738"/>
        <s v="U0739"/>
        <s v="U0740"/>
        <s v="U0741"/>
        <s v="U0742"/>
        <s v="U0743"/>
        <s v="U0744"/>
        <s v="U0745"/>
        <s v="U0746"/>
        <s v="U0747"/>
        <s v="U0748"/>
        <s v="U0749"/>
        <s v="U0750"/>
        <s v="U0751"/>
        <s v="U0752"/>
        <s v="U0753"/>
        <s v="U0754"/>
        <s v="U0755"/>
        <s v="U0756"/>
        <s v="U0757"/>
        <s v="U0758"/>
        <s v="U0759"/>
        <s v="U0760"/>
        <s v="U0761"/>
        <s v="U0762"/>
        <s v="U0763"/>
        <s v="U0764"/>
        <s v="U0765"/>
        <s v="U0766"/>
        <s v="U0767"/>
        <s v="U0768"/>
        <s v="U0769"/>
        <s v="U0770"/>
        <s v="U0771"/>
        <s v="U0772"/>
        <s v="U0773"/>
        <s v="U0774"/>
        <s v="U0775"/>
        <s v="U0776"/>
        <s v="U0777"/>
        <s v="U0778"/>
        <s v="U0779"/>
        <s v="U0780"/>
        <s v="U0781"/>
        <s v="U0782"/>
        <s v="U0783"/>
        <s v="U0784"/>
        <s v="U0785"/>
        <s v="U0786"/>
        <s v="U0787"/>
        <s v="U0788"/>
        <s v="U0789"/>
        <s v="U0790"/>
        <s v="U0791"/>
        <s v="U0792"/>
        <s v="U0793"/>
        <s v="U0794"/>
        <s v="U0795"/>
        <s v="U0796"/>
        <s v="U0797"/>
        <s v="U0798"/>
        <s v="U0799"/>
        <s v="U0800"/>
        <s v="U0801"/>
        <s v="U0802"/>
        <s v="U0803"/>
        <s v="U0804"/>
        <s v="U0805"/>
        <s v="U0806"/>
        <s v="U0807"/>
        <s v="U0808"/>
        <s v="U0809"/>
        <s v="U0810"/>
        <s v="U0811"/>
        <s v="U0812"/>
        <s v="U0813"/>
        <s v="U0814"/>
        <s v="U0815"/>
        <s v="U0816"/>
        <s v="U0817"/>
        <s v="U0818"/>
        <s v="U0819"/>
        <s v="U0820"/>
        <s v="U0821"/>
        <s v="U0822"/>
        <s v="U0823"/>
        <s v="U0824"/>
        <s v="U0825"/>
        <s v="U0826"/>
        <s v="U0827"/>
        <s v="U0828"/>
        <s v="U0829"/>
        <s v="U0830"/>
        <s v="U0831"/>
        <s v="U0832"/>
        <s v="U0833"/>
        <s v="U0834"/>
        <s v="U0835"/>
        <s v="U0836"/>
        <s v="U0837"/>
        <s v="U0838"/>
        <s v="U0839"/>
        <s v="U0840"/>
        <s v="U0841"/>
        <s v="U0842"/>
        <s v="U0843"/>
        <s v="U0844"/>
        <s v="U0845"/>
        <s v="U0846"/>
        <s v="U0847"/>
        <s v="U0848"/>
        <s v="U0849"/>
        <s v="U0850"/>
        <s v="U0851"/>
        <s v="U0852"/>
        <s v="U0853"/>
        <s v="U0854"/>
        <s v="U0855"/>
        <s v="U0856"/>
        <s v="U0857"/>
        <s v="U0858"/>
        <s v="U0859"/>
        <s v="U0860"/>
        <s v="U0861"/>
        <s v="U0862"/>
        <s v="U0863"/>
        <s v="U0864"/>
        <s v="U0865"/>
        <s v="U0866"/>
        <s v="U0867"/>
        <s v="U0868"/>
        <s v="U0869"/>
        <s v="U0870"/>
        <s v="U0871"/>
        <s v="U0872"/>
        <s v="U0873"/>
        <s v="U0874"/>
        <s v="U0875"/>
        <s v="U0876"/>
        <s v="U0877"/>
        <s v="U0878"/>
        <s v="U0879"/>
        <s v="U0880"/>
        <s v="U0881"/>
        <s v="U0882"/>
        <s v="U0883"/>
        <s v="U0884"/>
        <s v="U0885"/>
        <s v="U0886"/>
        <s v="U0887"/>
        <s v="U0888"/>
        <s v="U0889"/>
        <s v="U0890"/>
        <s v="U0891"/>
        <s v="U0892"/>
        <s v="U0893"/>
        <s v="U0894"/>
        <s v="U0895"/>
        <s v="U0896"/>
        <s v="U0897"/>
        <s v="U0898"/>
        <s v="U0899"/>
        <s v="U0900"/>
        <s v="U0901"/>
        <s v="U0902"/>
        <s v="U0903"/>
        <s v="U0904"/>
        <s v="U0905"/>
        <s v="U0906"/>
        <s v="U0907"/>
        <s v="U0908"/>
        <s v="U0909"/>
        <s v="U0910"/>
        <s v="U0911"/>
        <s v="U0912"/>
        <s v="U0913"/>
        <s v="U0914"/>
        <s v="U0915"/>
        <s v="U0916"/>
        <s v="U0917"/>
        <s v="U0918"/>
        <s v="U0919"/>
        <s v="U0920"/>
        <s v="U0921"/>
        <s v="U0922"/>
        <s v="U0923"/>
        <s v="U0924"/>
        <s v="U0925"/>
        <s v="U0926"/>
        <s v="U0927"/>
        <s v="U0928"/>
        <s v="U0929"/>
        <s v="U0930"/>
        <s v="U0931"/>
        <s v="U0932"/>
        <s v="U0933"/>
        <s v="U0934"/>
        <s v="U0935"/>
        <s v="U0936"/>
        <s v="U0937"/>
        <s v="U0938"/>
        <s v="U0939"/>
        <s v="U0940"/>
        <s v="U0941"/>
        <s v="U0942"/>
        <s v="U0943"/>
        <s v="U0944"/>
        <s v="U0945"/>
        <s v="U0946"/>
        <s v="U0947"/>
        <s v="U0948"/>
        <s v="U0949"/>
        <s v="U0950"/>
        <s v="U0951"/>
        <s v="U0952"/>
        <s v="U0953"/>
        <s v="U0954"/>
        <s v="U0955"/>
        <s v="U0956"/>
        <s v="U0957"/>
        <s v="U0958"/>
        <s v="U0959"/>
        <s v="U0960"/>
        <s v="U0961"/>
        <s v="U0962"/>
        <s v="U0963"/>
        <s v="U0964"/>
        <s v="U0965"/>
        <s v="U0966"/>
        <s v="U0967"/>
        <s v="U0968"/>
        <s v="U0969"/>
        <s v="U0970"/>
        <s v="U0971"/>
        <s v="U0972"/>
        <s v="U0973"/>
        <s v="U0974"/>
        <s v="U0975"/>
        <s v="U0976"/>
        <s v="U0977"/>
        <s v="U0978"/>
        <s v="U0979"/>
        <s v="U0980"/>
        <s v="U0981"/>
        <s v="U0982"/>
        <s v="U0983"/>
        <s v="U0984"/>
        <s v="U0985"/>
        <s v="U0986"/>
        <s v="U0987"/>
        <s v="U0988"/>
        <s v="U0989"/>
        <s v="U0990"/>
        <s v="U0991"/>
        <s v="U0992"/>
        <s v="U0993"/>
        <s v="U0994"/>
        <s v="U0995"/>
        <s v="U0996"/>
        <s v="U0997"/>
        <s v="U0998"/>
        <s v="U0999"/>
        <s v="U1000"/>
      </sharedItems>
    </cacheField>
    <cacheField name="Age" numFmtId="0">
      <sharedItems containsSemiMixedTypes="0" containsString="0" containsNumber="1" containsInteger="1" minValue="15" maxValue="44" count="30">
        <n v="21"/>
        <n v="34"/>
        <n v="43"/>
        <n v="29"/>
        <n v="25"/>
        <n v="22"/>
        <n v="35"/>
        <n v="40"/>
        <n v="33"/>
        <n v="37"/>
        <n v="38"/>
        <n v="18"/>
        <n v="17"/>
        <n v="36"/>
        <n v="16"/>
        <n v="26"/>
        <n v="44"/>
        <n v="20"/>
        <n v="42"/>
        <n v="15"/>
        <n v="39"/>
        <n v="31"/>
        <n v="41"/>
        <n v="24"/>
        <n v="30"/>
        <n v="19"/>
        <n v="23"/>
        <n v="32"/>
        <n v="28"/>
        <n v="27"/>
      </sharedItems>
    </cacheField>
    <cacheField name="Gender" numFmtId="0">
      <sharedItems/>
    </cacheField>
    <cacheField name="Occupation_Status" numFmtId="0">
      <sharedItems count="5">
        <s v="Employed Full-Time"/>
        <s v="Student"/>
        <s v="Freelancer"/>
        <s v="Employed Part-Time"/>
        <s v="Unemployed"/>
      </sharedItems>
    </cacheField>
    <cacheField name="Education_Level" numFmtId="0">
      <sharedItems count="4">
        <s v="High School"/>
        <s v="Graduate"/>
        <s v="Undergraduate"/>
        <s v="Postgraduate"/>
      </sharedItems>
    </cacheField>
    <cacheField name="Income_Level" numFmtId="0">
      <sharedItems/>
    </cacheField>
    <cacheField name="Relationship_Status" numFmtId="0">
      <sharedItems/>
    </cacheField>
    <cacheField name="Living_Situation" numFmtId="0">
      <sharedItems/>
    </cacheField>
    <cacheField name="Country_Region" numFmtId="0">
      <sharedItems count="6">
        <s v="South America"/>
        <s v="North America"/>
        <s v="Europe"/>
        <s v="Asia"/>
        <s v="Africa"/>
        <s v="Oceania"/>
      </sharedItems>
    </cacheField>
    <cacheField name="Ai_chatbot_Platform" numFmtId="0">
      <sharedItems count="5">
        <s v="ChatGPT"/>
        <s v="Character.AI"/>
        <s v="Other/Multiple"/>
        <s v="Replika"/>
        <s v="Claude"/>
      </sharedItems>
    </cacheField>
    <cacheField name="Primary_use_case" numFmtId="0">
      <sharedItems count="5">
        <s v="Learning"/>
        <s v="Work"/>
        <s v="Entertainment"/>
        <s v="Therapy-Substitute"/>
        <s v="Companionship"/>
      </sharedItems>
    </cacheField>
    <cacheField name="Daily_ai_chat_hours" numFmtId="0">
      <sharedItems containsSemiMixedTypes="0" containsString="0" containsNumber="1" minValue="0" maxValue="6.52"/>
    </cacheField>
    <cacheField name="Human_social_interaction_hours" numFmtId="0">
      <sharedItems containsSemiMixedTypes="0" containsString="0" containsNumber="1" minValue="0" maxValue="9.75"/>
    </cacheField>
    <cacheField name="Social_media_hours_daily" numFmtId="0">
      <sharedItems containsSemiMixedTypes="0" containsString="0" containsNumber="1" minValue="0" maxValue="6.7"/>
    </cacheField>
    <cacheField name="Screen_time_total_hours" numFmtId="0">
      <sharedItems containsSemiMixedTypes="0" containsString="0" containsNumber="1" minValue="1" maxValue="14.3"/>
    </cacheField>
    <cacheField name="Number_of_close_friends" numFmtId="0">
      <sharedItems containsSemiMixedTypes="0" containsString="0" containsNumber="1" containsInteger="1" minValue="0" maxValue="11"/>
    </cacheField>
    <cacheField name="Loneliness_score" numFmtId="0">
      <sharedItems containsSemiMixedTypes="0" containsString="0" containsNumber="1" minValue="1" maxValue="10"/>
    </cacheField>
    <cacheField name="Emotional_attachment_score" numFmtId="0">
      <sharedItems containsSemiMixedTypes="0" containsString="0" containsNumber="1" minValue="1" maxValue="10"/>
    </cacheField>
    <cacheField name="Real_relationship_satisfaction" numFmtId="0">
      <sharedItems containsSemiMixedTypes="0" containsString="0" containsNumber="1" minValue="1" maxValue="10"/>
    </cacheField>
    <cacheField name="Prefers_ai_over_humans" numFmtId="0">
      <sharedItems/>
    </cacheField>
    <cacheField name="Sleep_hours" numFmtId="0">
      <sharedItems containsSemiMixedTypes="0" containsString="0" containsNumber="1" minValue="3" maxValue="10"/>
    </cacheField>
    <cacheField name="Sleep_quality_score" numFmtId="0">
      <sharedItems containsSemiMixedTypes="0" containsString="0" containsNumber="1" minValue="1" maxValue="10"/>
    </cacheField>
    <cacheField name="Exercise_hours_weekly" numFmtId="0">
      <sharedItems containsSemiMixedTypes="0" containsString="0" containsNumber="1" minValue="0" maxValue="9.8000000000000007"/>
    </cacheField>
    <cacheField name="Anxiety_score" numFmtId="0">
      <sharedItems containsSemiMixedTypes="0" containsString="0" containsNumber="1" minValue="1" maxValue="10"/>
    </cacheField>
    <cacheField name="Depression_score" numFmtId="0">
      <sharedItems containsSemiMixedTypes="0" containsString="0" containsNumber="1" minValue="1" maxValue="10"/>
    </cacheField>
    <cacheField name="Stress_score" numFmtId="0">
      <sharedItems containsSemiMixedTypes="0" containsString="0" containsNumber="1" minValue="1" maxValue="10"/>
    </cacheField>
    <cacheField name="Self_esteem_score" numFmtId="0">
      <sharedItems containsSemiMixedTypes="0" containsString="0" containsNumber="1" minValue="1" maxValue="10"/>
    </cacheField>
    <cacheField name="Academic_or_work_performance_change" numFmtId="0">
      <sharedItems count="3">
        <s v="Improved"/>
        <s v="Same"/>
        <s v="Declined"/>
      </sharedItems>
    </cacheField>
    <cacheField name="Therapy_attendance" numFmtId="0">
      <sharedItems/>
    </cacheField>
    <cacheField name="Dependency_risk_label" numFmtId="0">
      <sharedItems count="3">
        <s v="Low"/>
        <s v="Moderate"/>
        <s v="High"/>
      </sharedItems>
    </cacheField>
    <cacheField name="Age_Group" numFmtId="0">
      <sharedItems count="4">
        <s v="20-24"/>
        <s v="25-34"/>
        <s v="35-44"/>
        <s v="15-19"/>
      </sharedItems>
    </cacheField>
    <cacheField name="Ai_Usage_Category" numFmtId="0">
      <sharedItems count="4">
        <s v="Very Low Usage"/>
        <s v="Low Usage"/>
        <s v="Moderate Usage"/>
        <s v="High Usage"/>
      </sharedItems>
    </cacheField>
    <cacheField name="Loneliness_Category" numFmtId="0">
      <sharedItems count="3">
        <s v="Moderate Loneliness"/>
        <s v="Low Loneliness"/>
        <s v="High Loneliness"/>
      </sharedItems>
    </cacheField>
  </cacheFields>
  <extLst>
    <ext xmlns:x14="http://schemas.microsoft.com/office/spreadsheetml/2009/9/main" uri="{725AE2AE-9491-48be-B2B4-4EB974FC3084}">
      <x14:pivotCacheDefinition pivotCacheId="18748032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Male"/>
    <x v="0"/>
    <x v="0"/>
    <s v="Lower-Middle"/>
    <s v="In a Relationship"/>
    <s v="With Partner"/>
    <x v="0"/>
    <x v="0"/>
    <x v="0"/>
    <n v="0"/>
    <n v="6.6"/>
    <n v="0.51"/>
    <n v="3.28"/>
    <n v="1"/>
    <n v="4.5"/>
    <n v="2"/>
    <n v="8.1"/>
    <s v="No"/>
    <n v="7.3"/>
    <n v="9.1"/>
    <n v="3.3"/>
    <n v="3.5"/>
    <n v="3"/>
    <n v="1"/>
    <n v="9.5"/>
    <x v="0"/>
    <s v="No"/>
    <x v="0"/>
    <x v="0"/>
    <x v="0"/>
    <x v="0"/>
  </r>
  <r>
    <x v="1"/>
    <x v="1"/>
    <s v="Male"/>
    <x v="1"/>
    <x v="1"/>
    <s v="Upper-Middle"/>
    <s v="Single"/>
    <s v="Alone"/>
    <x v="1"/>
    <x v="1"/>
    <x v="1"/>
    <n v="2.36"/>
    <n v="2.88"/>
    <n v="3.73"/>
    <n v="8.1199999999999992"/>
    <n v="5"/>
    <n v="5.9"/>
    <n v="2.2999999999999998"/>
    <n v="5.4"/>
    <s v="No"/>
    <n v="7.5"/>
    <n v="3.5"/>
    <n v="0.9"/>
    <n v="4.5999999999999996"/>
    <n v="2.4"/>
    <n v="5.2"/>
    <n v="4.7"/>
    <x v="1"/>
    <s v="No"/>
    <x v="1"/>
    <x v="1"/>
    <x v="1"/>
    <x v="0"/>
  </r>
  <r>
    <x v="2"/>
    <x v="2"/>
    <s v="Male"/>
    <x v="0"/>
    <x v="1"/>
    <s v="Low"/>
    <s v="Single"/>
    <s v="Alone"/>
    <x v="2"/>
    <x v="1"/>
    <x v="2"/>
    <n v="7.0000000000000007E-2"/>
    <n v="4.5599999999999996"/>
    <n v="0.49"/>
    <n v="3.02"/>
    <n v="4"/>
    <n v="1.1000000000000001"/>
    <n v="1"/>
    <n v="8.3000000000000007"/>
    <s v="No"/>
    <n v="6.8"/>
    <n v="8.3000000000000007"/>
    <n v="7.6"/>
    <n v="1"/>
    <n v="1"/>
    <n v="3.2"/>
    <n v="7.2"/>
    <x v="0"/>
    <s v="No"/>
    <x v="0"/>
    <x v="2"/>
    <x v="0"/>
    <x v="1"/>
  </r>
  <r>
    <x v="3"/>
    <x v="3"/>
    <s v="Non-binary"/>
    <x v="0"/>
    <x v="1"/>
    <s v="Low"/>
    <s v="Single"/>
    <s v="With Family"/>
    <x v="3"/>
    <x v="0"/>
    <x v="3"/>
    <n v="0.44"/>
    <n v="5.66"/>
    <n v="0.88"/>
    <n v="5.28"/>
    <n v="7"/>
    <n v="3.2"/>
    <n v="1.8"/>
    <n v="6.7"/>
    <s v="No"/>
    <n v="9.5"/>
    <n v="8.9"/>
    <n v="7.4"/>
    <n v="2.7"/>
    <n v="1.5"/>
    <n v="2.6"/>
    <n v="9"/>
    <x v="0"/>
    <s v="No"/>
    <x v="0"/>
    <x v="1"/>
    <x v="0"/>
    <x v="0"/>
  </r>
  <r>
    <x v="4"/>
    <x v="4"/>
    <s v="Female"/>
    <x v="1"/>
    <x v="1"/>
    <s v="Upper-Middle"/>
    <s v="In a Relationship"/>
    <s v="With Roommates"/>
    <x v="0"/>
    <x v="0"/>
    <x v="3"/>
    <n v="0"/>
    <n v="6.56"/>
    <n v="0.28999999999999998"/>
    <n v="3.09"/>
    <n v="8"/>
    <n v="1"/>
    <n v="1"/>
    <n v="10"/>
    <s v="No"/>
    <n v="8.5"/>
    <n v="10"/>
    <n v="6.5"/>
    <n v="1"/>
    <n v="1"/>
    <n v="1"/>
    <n v="9.9"/>
    <x v="0"/>
    <s v="No"/>
    <x v="0"/>
    <x v="1"/>
    <x v="0"/>
    <x v="1"/>
  </r>
  <r>
    <x v="5"/>
    <x v="5"/>
    <s v="Male"/>
    <x v="0"/>
    <x v="1"/>
    <s v="Low"/>
    <s v="Single"/>
    <s v="With Partner"/>
    <x v="4"/>
    <x v="1"/>
    <x v="2"/>
    <n v="0.94"/>
    <n v="5.49"/>
    <n v="2.46"/>
    <n v="5.0999999999999996"/>
    <n v="4"/>
    <n v="5.4"/>
    <n v="2"/>
    <n v="5.5"/>
    <s v="No"/>
    <n v="5.8"/>
    <n v="7.1"/>
    <n v="2.6"/>
    <n v="4.0999999999999996"/>
    <n v="3.5"/>
    <n v="2.2999999999999998"/>
    <n v="8.5"/>
    <x v="1"/>
    <s v="No"/>
    <x v="0"/>
    <x v="0"/>
    <x v="0"/>
    <x v="0"/>
  </r>
  <r>
    <x v="6"/>
    <x v="2"/>
    <s v="Female"/>
    <x v="1"/>
    <x v="2"/>
    <s v="Lower-Middle"/>
    <s v="Single"/>
    <s v="With Partner"/>
    <x v="3"/>
    <x v="2"/>
    <x v="3"/>
    <n v="2.33"/>
    <n v="4.13"/>
    <n v="0.05"/>
    <n v="5.66"/>
    <n v="5"/>
    <n v="5.4"/>
    <n v="2.9"/>
    <n v="4.5"/>
    <s v="No"/>
    <n v="7.5"/>
    <n v="6.9"/>
    <n v="3.6"/>
    <n v="4.5"/>
    <n v="3.8"/>
    <n v="4.0999999999999996"/>
    <n v="3.4"/>
    <x v="0"/>
    <s v="Yes"/>
    <x v="0"/>
    <x v="2"/>
    <x v="1"/>
    <x v="0"/>
  </r>
  <r>
    <x v="7"/>
    <x v="6"/>
    <s v="Female"/>
    <x v="2"/>
    <x v="0"/>
    <s v="Upper-Middle"/>
    <s v="Single"/>
    <s v="With Roommates"/>
    <x v="1"/>
    <x v="0"/>
    <x v="1"/>
    <n v="0.76"/>
    <n v="4.82"/>
    <n v="2.44"/>
    <n v="5.59"/>
    <n v="6"/>
    <n v="3.5"/>
    <n v="1.3"/>
    <n v="7.1"/>
    <s v="No"/>
    <n v="7.8"/>
    <n v="8"/>
    <n v="6.8"/>
    <n v="4.9000000000000004"/>
    <n v="1"/>
    <n v="3.8"/>
    <n v="7.2"/>
    <x v="1"/>
    <s v="No"/>
    <x v="0"/>
    <x v="2"/>
    <x v="0"/>
    <x v="0"/>
  </r>
  <r>
    <x v="8"/>
    <x v="0"/>
    <s v="Male"/>
    <x v="0"/>
    <x v="2"/>
    <s v="Low"/>
    <s v="Married"/>
    <s v="With Family"/>
    <x v="3"/>
    <x v="0"/>
    <x v="1"/>
    <n v="2.75"/>
    <n v="2.37"/>
    <n v="3.79"/>
    <n v="7.57"/>
    <n v="2"/>
    <n v="9.9"/>
    <n v="7.1"/>
    <n v="2.8"/>
    <s v="Yes"/>
    <n v="5.6"/>
    <n v="4.3"/>
    <n v="1.6"/>
    <n v="7.2"/>
    <n v="7.7"/>
    <n v="6.8"/>
    <n v="2.9"/>
    <x v="2"/>
    <s v="No"/>
    <x v="2"/>
    <x v="0"/>
    <x v="2"/>
    <x v="2"/>
  </r>
  <r>
    <x v="9"/>
    <x v="7"/>
    <s v="Male"/>
    <x v="3"/>
    <x v="0"/>
    <s v="Low"/>
    <s v="Single"/>
    <s v="With Family"/>
    <x v="1"/>
    <x v="3"/>
    <x v="2"/>
    <n v="2.9"/>
    <n v="1.25"/>
    <n v="4.0999999999999996"/>
    <n v="8.82"/>
    <n v="0"/>
    <n v="7.3"/>
    <n v="8.9"/>
    <n v="4.2"/>
    <s v="No"/>
    <n v="6.9"/>
    <n v="5.3"/>
    <n v="1.1000000000000001"/>
    <n v="9.6999999999999993"/>
    <n v="5.2"/>
    <n v="6.6"/>
    <n v="4.5"/>
    <x v="2"/>
    <s v="Yes"/>
    <x v="1"/>
    <x v="2"/>
    <x v="2"/>
    <x v="2"/>
  </r>
  <r>
    <x v="10"/>
    <x v="8"/>
    <s v="Female"/>
    <x v="0"/>
    <x v="2"/>
    <s v="Lower-Middle"/>
    <s v="In a Relationship"/>
    <s v="With Family"/>
    <x v="1"/>
    <x v="0"/>
    <x v="1"/>
    <n v="4.22"/>
    <n v="1.68"/>
    <n v="4.93"/>
    <n v="9.68"/>
    <n v="1"/>
    <n v="6.6"/>
    <n v="10"/>
    <n v="3.3"/>
    <s v="Yes"/>
    <n v="5.0999999999999996"/>
    <n v="1.2"/>
    <n v="1.1000000000000001"/>
    <n v="9.1999999999999993"/>
    <n v="8.3000000000000007"/>
    <n v="7.3"/>
    <n v="2"/>
    <x v="2"/>
    <s v="No"/>
    <x v="2"/>
    <x v="1"/>
    <x v="3"/>
    <x v="2"/>
  </r>
  <r>
    <x v="11"/>
    <x v="9"/>
    <s v="Female"/>
    <x v="1"/>
    <x v="2"/>
    <s v="Lower-Middle"/>
    <s v="In a Relationship"/>
    <s v="With Family"/>
    <x v="3"/>
    <x v="4"/>
    <x v="1"/>
    <n v="2.4300000000000002"/>
    <n v="4.01"/>
    <n v="2.94"/>
    <n v="5.08"/>
    <n v="2"/>
    <n v="6.2"/>
    <n v="4.7"/>
    <n v="6.8"/>
    <s v="No"/>
    <n v="7.5"/>
    <n v="6.1"/>
    <n v="3.5"/>
    <n v="5.8"/>
    <n v="3.6"/>
    <n v="7.1"/>
    <n v="5.2"/>
    <x v="0"/>
    <s v="No"/>
    <x v="0"/>
    <x v="2"/>
    <x v="1"/>
    <x v="2"/>
  </r>
  <r>
    <x v="12"/>
    <x v="4"/>
    <s v="Female"/>
    <x v="0"/>
    <x v="0"/>
    <s v="Lower-Middle"/>
    <s v="Married"/>
    <s v="With Family"/>
    <x v="1"/>
    <x v="3"/>
    <x v="4"/>
    <n v="3.04"/>
    <n v="2.25"/>
    <n v="1.68"/>
    <n v="5.77"/>
    <n v="1"/>
    <n v="8"/>
    <n v="8.3000000000000007"/>
    <n v="3.6"/>
    <s v="Yes"/>
    <n v="6.1"/>
    <n v="4.9000000000000004"/>
    <n v="3.7"/>
    <n v="6.9"/>
    <n v="9.4"/>
    <n v="7.9"/>
    <n v="4.9000000000000004"/>
    <x v="2"/>
    <s v="No"/>
    <x v="2"/>
    <x v="1"/>
    <x v="2"/>
    <x v="2"/>
  </r>
  <r>
    <x v="13"/>
    <x v="4"/>
    <s v="Female"/>
    <x v="2"/>
    <x v="2"/>
    <s v="Upper-Middle"/>
    <s v="Married"/>
    <s v="With Family"/>
    <x v="3"/>
    <x v="2"/>
    <x v="0"/>
    <n v="1.36"/>
    <n v="2.1"/>
    <n v="1.75"/>
    <n v="5.23"/>
    <n v="3"/>
    <n v="7.2"/>
    <n v="4.0999999999999996"/>
    <n v="6.1"/>
    <s v="No"/>
    <n v="6.5"/>
    <n v="6.3"/>
    <n v="0.3"/>
    <n v="5.5"/>
    <n v="4.5"/>
    <n v="6.7"/>
    <n v="6.9"/>
    <x v="0"/>
    <s v="No"/>
    <x v="2"/>
    <x v="1"/>
    <x v="1"/>
    <x v="2"/>
  </r>
  <r>
    <x v="14"/>
    <x v="10"/>
    <s v="Female"/>
    <x v="0"/>
    <x v="0"/>
    <s v="Low"/>
    <s v="Single"/>
    <s v="With Family"/>
    <x v="1"/>
    <x v="1"/>
    <x v="4"/>
    <n v="2.93"/>
    <n v="2.64"/>
    <n v="3.04"/>
    <n v="8.09"/>
    <n v="6"/>
    <n v="4.4000000000000004"/>
    <n v="2.5"/>
    <n v="3.6"/>
    <s v="No"/>
    <n v="8.1"/>
    <n v="5.3"/>
    <n v="4"/>
    <n v="2.9"/>
    <n v="4.9000000000000004"/>
    <n v="5.7"/>
    <n v="5.5"/>
    <x v="1"/>
    <s v="No"/>
    <x v="1"/>
    <x v="2"/>
    <x v="2"/>
    <x v="0"/>
  </r>
  <r>
    <x v="15"/>
    <x v="6"/>
    <s v="Female"/>
    <x v="3"/>
    <x v="1"/>
    <s v="Lower-Middle"/>
    <s v="Single"/>
    <s v="With Partner"/>
    <x v="2"/>
    <x v="3"/>
    <x v="3"/>
    <n v="0"/>
    <n v="4.47"/>
    <n v="2.23"/>
    <n v="2.82"/>
    <n v="5"/>
    <n v="3.7"/>
    <n v="5.6"/>
    <n v="8.4"/>
    <s v="No"/>
    <n v="8.1999999999999993"/>
    <n v="6.7"/>
    <n v="3.5"/>
    <n v="2.9"/>
    <n v="3.7"/>
    <n v="2.6"/>
    <n v="6.8"/>
    <x v="0"/>
    <s v="No"/>
    <x v="0"/>
    <x v="2"/>
    <x v="0"/>
    <x v="0"/>
  </r>
  <r>
    <x v="16"/>
    <x v="11"/>
    <s v="Female"/>
    <x v="4"/>
    <x v="3"/>
    <s v="Lower-Middle"/>
    <s v="Married"/>
    <s v="Alone"/>
    <x v="3"/>
    <x v="1"/>
    <x v="1"/>
    <n v="0"/>
    <n v="7.42"/>
    <n v="0"/>
    <n v="1"/>
    <n v="8"/>
    <n v="1"/>
    <n v="1"/>
    <n v="10"/>
    <s v="No"/>
    <n v="7.6"/>
    <n v="9.6"/>
    <n v="5.9"/>
    <n v="1.3"/>
    <n v="1"/>
    <n v="2"/>
    <n v="10"/>
    <x v="0"/>
    <s v="No"/>
    <x v="0"/>
    <x v="3"/>
    <x v="0"/>
    <x v="1"/>
  </r>
  <r>
    <x v="17"/>
    <x v="5"/>
    <s v="Female"/>
    <x v="1"/>
    <x v="0"/>
    <s v="Low"/>
    <s v="In a Relationship"/>
    <s v="With Partner"/>
    <x v="2"/>
    <x v="3"/>
    <x v="1"/>
    <n v="3.04"/>
    <n v="4.9800000000000004"/>
    <n v="3.87"/>
    <n v="10.39"/>
    <n v="4"/>
    <n v="7.5"/>
    <n v="6.9"/>
    <n v="7.3"/>
    <s v="No"/>
    <n v="6.9"/>
    <n v="6.5"/>
    <n v="4.4000000000000004"/>
    <n v="5.7"/>
    <n v="5.3"/>
    <n v="7.7"/>
    <n v="6.2"/>
    <x v="1"/>
    <s v="No"/>
    <x v="2"/>
    <x v="0"/>
    <x v="2"/>
    <x v="2"/>
  </r>
  <r>
    <x v="18"/>
    <x v="10"/>
    <s v="Male"/>
    <x v="1"/>
    <x v="3"/>
    <s v="Upper-Middle"/>
    <s v="In a Relationship"/>
    <s v="With Roommates"/>
    <x v="2"/>
    <x v="1"/>
    <x v="3"/>
    <n v="4.41"/>
    <n v="2.5499999999999998"/>
    <n v="3.4"/>
    <n v="9.91"/>
    <n v="1"/>
    <n v="8.3000000000000007"/>
    <n v="7.5"/>
    <n v="5.2"/>
    <s v="Yes"/>
    <n v="7.9"/>
    <n v="2.2000000000000002"/>
    <n v="0.7"/>
    <n v="5.5"/>
    <n v="5.2"/>
    <n v="8.8000000000000007"/>
    <n v="5"/>
    <x v="2"/>
    <s v="No"/>
    <x v="2"/>
    <x v="2"/>
    <x v="3"/>
    <x v="2"/>
  </r>
  <r>
    <x v="19"/>
    <x v="12"/>
    <s v="Male"/>
    <x v="0"/>
    <x v="2"/>
    <s v="Lower-Middle"/>
    <s v="In a Relationship"/>
    <s v="With Family"/>
    <x v="1"/>
    <x v="0"/>
    <x v="4"/>
    <n v="0"/>
    <n v="4.96"/>
    <n v="1.86"/>
    <n v="5.42"/>
    <n v="4"/>
    <n v="1.9"/>
    <n v="2"/>
    <n v="8.8000000000000007"/>
    <s v="No"/>
    <n v="9.3000000000000007"/>
    <n v="7.7"/>
    <n v="6.1"/>
    <n v="1"/>
    <n v="1"/>
    <n v="3.2"/>
    <n v="8.4"/>
    <x v="0"/>
    <s v="No"/>
    <x v="0"/>
    <x v="3"/>
    <x v="0"/>
    <x v="1"/>
  </r>
  <r>
    <x v="20"/>
    <x v="13"/>
    <s v="Male"/>
    <x v="1"/>
    <x v="2"/>
    <s v="Lower-Middle"/>
    <s v="In a Relationship"/>
    <s v="With Roommates"/>
    <x v="3"/>
    <x v="1"/>
    <x v="3"/>
    <n v="1.69"/>
    <n v="3.64"/>
    <n v="3.7"/>
    <n v="8.89"/>
    <n v="1"/>
    <n v="5.2"/>
    <n v="5.6"/>
    <n v="6"/>
    <s v="No"/>
    <n v="6.2"/>
    <n v="7"/>
    <n v="4.7"/>
    <n v="3.6"/>
    <n v="1.7"/>
    <n v="5"/>
    <n v="5.2"/>
    <x v="1"/>
    <s v="No"/>
    <x v="0"/>
    <x v="2"/>
    <x v="1"/>
    <x v="0"/>
  </r>
  <r>
    <x v="21"/>
    <x v="6"/>
    <s v="Female"/>
    <x v="3"/>
    <x v="0"/>
    <s v="Low"/>
    <s v="Married"/>
    <s v="With Family"/>
    <x v="2"/>
    <x v="1"/>
    <x v="2"/>
    <n v="2.56"/>
    <n v="1.86"/>
    <n v="3.77"/>
    <n v="9.06"/>
    <n v="3"/>
    <n v="5.8"/>
    <n v="7.2"/>
    <n v="5.6"/>
    <s v="Yes"/>
    <n v="7.7"/>
    <n v="5.4"/>
    <n v="3.7"/>
    <n v="6.4"/>
    <n v="6.7"/>
    <n v="6.7"/>
    <n v="6.1"/>
    <x v="1"/>
    <s v="No"/>
    <x v="2"/>
    <x v="2"/>
    <x v="2"/>
    <x v="0"/>
  </r>
  <r>
    <x v="22"/>
    <x v="14"/>
    <s v="Female"/>
    <x v="4"/>
    <x v="2"/>
    <s v="Lower-Middle"/>
    <s v="Divorced/Separated"/>
    <s v="With Roommates"/>
    <x v="4"/>
    <x v="4"/>
    <x v="2"/>
    <n v="1.47"/>
    <n v="5.18"/>
    <n v="2.7"/>
    <n v="6.23"/>
    <n v="6"/>
    <n v="5.0999999999999996"/>
    <n v="4.0999999999999996"/>
    <n v="3.8"/>
    <s v="No"/>
    <n v="8.1"/>
    <n v="5.2"/>
    <n v="5.5"/>
    <n v="2.8"/>
    <n v="6.7"/>
    <n v="5"/>
    <n v="7.4"/>
    <x v="1"/>
    <s v="Yes"/>
    <x v="1"/>
    <x v="3"/>
    <x v="1"/>
    <x v="0"/>
  </r>
  <r>
    <x v="23"/>
    <x v="10"/>
    <s v="Female"/>
    <x v="1"/>
    <x v="1"/>
    <s v="Lower-Middle"/>
    <s v="In a Relationship"/>
    <s v="With Family"/>
    <x v="3"/>
    <x v="3"/>
    <x v="4"/>
    <n v="3.15"/>
    <n v="4.83"/>
    <n v="3.08"/>
    <n v="7.84"/>
    <n v="4"/>
    <n v="8.6"/>
    <n v="8.8000000000000007"/>
    <n v="3.4"/>
    <s v="Yes"/>
    <n v="5.2"/>
    <n v="5.0999999999999996"/>
    <n v="3.4"/>
    <n v="8.6"/>
    <n v="6.7"/>
    <n v="5.0999999999999996"/>
    <n v="2.8"/>
    <x v="2"/>
    <s v="No"/>
    <x v="2"/>
    <x v="2"/>
    <x v="2"/>
    <x v="2"/>
  </r>
  <r>
    <x v="24"/>
    <x v="15"/>
    <s v="Male"/>
    <x v="1"/>
    <x v="1"/>
    <s v="Upper-Middle"/>
    <s v="Single"/>
    <s v="With Partner"/>
    <x v="3"/>
    <x v="3"/>
    <x v="0"/>
    <n v="0.71"/>
    <n v="3.46"/>
    <n v="3.25"/>
    <n v="6.68"/>
    <n v="3"/>
    <n v="7.4"/>
    <n v="3.7"/>
    <n v="8.5"/>
    <s v="No"/>
    <n v="7.3"/>
    <n v="7"/>
    <n v="5.2"/>
    <n v="4.5"/>
    <n v="4.0999999999999996"/>
    <n v="5.5"/>
    <n v="6.1"/>
    <x v="1"/>
    <s v="No"/>
    <x v="0"/>
    <x v="1"/>
    <x v="0"/>
    <x v="2"/>
  </r>
  <r>
    <x v="25"/>
    <x v="16"/>
    <s v="Male"/>
    <x v="3"/>
    <x v="0"/>
    <s v="Low"/>
    <s v="Married"/>
    <s v="With Family"/>
    <x v="3"/>
    <x v="0"/>
    <x v="3"/>
    <n v="0.56999999999999995"/>
    <n v="3.39"/>
    <n v="2.19"/>
    <n v="4.5999999999999996"/>
    <n v="7"/>
    <n v="4.4000000000000004"/>
    <n v="5.0999999999999996"/>
    <n v="8.1"/>
    <s v="No"/>
    <n v="7.8"/>
    <n v="8.1"/>
    <n v="3.3"/>
    <n v="1.8"/>
    <n v="1"/>
    <n v="3.5"/>
    <n v="7.1"/>
    <x v="1"/>
    <s v="No"/>
    <x v="0"/>
    <x v="2"/>
    <x v="0"/>
    <x v="0"/>
  </r>
  <r>
    <x v="26"/>
    <x v="17"/>
    <s v="Male"/>
    <x v="1"/>
    <x v="0"/>
    <s v="Lower-Middle"/>
    <s v="Single"/>
    <s v="With Family"/>
    <x v="2"/>
    <x v="3"/>
    <x v="0"/>
    <n v="2.4300000000000002"/>
    <n v="3.63"/>
    <n v="3.46"/>
    <n v="7.3"/>
    <n v="5"/>
    <n v="8.5"/>
    <n v="6.7"/>
    <n v="2.4"/>
    <s v="Yes"/>
    <n v="5.2"/>
    <n v="4.3"/>
    <n v="4.5"/>
    <n v="8.8000000000000007"/>
    <n v="5.6"/>
    <n v="9.8000000000000007"/>
    <n v="3.5"/>
    <x v="2"/>
    <s v="Yes"/>
    <x v="2"/>
    <x v="0"/>
    <x v="1"/>
    <x v="2"/>
  </r>
  <r>
    <x v="27"/>
    <x v="14"/>
    <s v="Male"/>
    <x v="3"/>
    <x v="2"/>
    <s v="Lower-Middle"/>
    <s v="Single"/>
    <s v="With Partner"/>
    <x v="3"/>
    <x v="1"/>
    <x v="1"/>
    <n v="0.3"/>
    <n v="5.35"/>
    <n v="0.35"/>
    <n v="1"/>
    <n v="6"/>
    <n v="3.5"/>
    <n v="2.4"/>
    <n v="8.3000000000000007"/>
    <s v="No"/>
    <n v="8.3000000000000007"/>
    <n v="8.6999999999999993"/>
    <n v="3.3"/>
    <n v="2.6"/>
    <n v="3.1"/>
    <n v="3.1"/>
    <n v="7.4"/>
    <x v="0"/>
    <s v="Yes"/>
    <x v="0"/>
    <x v="3"/>
    <x v="0"/>
    <x v="0"/>
  </r>
  <r>
    <x v="28"/>
    <x v="18"/>
    <s v="Female"/>
    <x v="0"/>
    <x v="2"/>
    <s v="Upper-Middle"/>
    <s v="Married"/>
    <s v="With Family"/>
    <x v="1"/>
    <x v="4"/>
    <x v="1"/>
    <n v="0.69"/>
    <n v="5.13"/>
    <n v="1.29"/>
    <n v="3.89"/>
    <n v="7"/>
    <n v="2.6"/>
    <n v="3.5"/>
    <n v="6.2"/>
    <s v="No"/>
    <n v="9.6999999999999993"/>
    <n v="8.4"/>
    <n v="5.4"/>
    <n v="3.7"/>
    <n v="1"/>
    <n v="4"/>
    <n v="8.9"/>
    <x v="0"/>
    <s v="No"/>
    <x v="0"/>
    <x v="2"/>
    <x v="0"/>
    <x v="1"/>
  </r>
  <r>
    <x v="29"/>
    <x v="6"/>
    <s v="Male"/>
    <x v="0"/>
    <x v="0"/>
    <s v="Lower-Middle"/>
    <s v="Single"/>
    <s v="With Roommates"/>
    <x v="2"/>
    <x v="2"/>
    <x v="0"/>
    <n v="1.64"/>
    <n v="6.57"/>
    <n v="0.49"/>
    <n v="5.23"/>
    <n v="7"/>
    <n v="4.5"/>
    <n v="1"/>
    <n v="7.3"/>
    <s v="No"/>
    <n v="8.9"/>
    <n v="8.6999999999999993"/>
    <n v="4.0999999999999996"/>
    <n v="3.1"/>
    <n v="1.2"/>
    <n v="3.7"/>
    <n v="8.3000000000000007"/>
    <x v="1"/>
    <s v="No"/>
    <x v="0"/>
    <x v="2"/>
    <x v="1"/>
    <x v="0"/>
  </r>
  <r>
    <x v="30"/>
    <x v="19"/>
    <s v="Male"/>
    <x v="1"/>
    <x v="2"/>
    <s v="Upper-Middle"/>
    <s v="Single"/>
    <s v="With Roommates"/>
    <x v="1"/>
    <x v="0"/>
    <x v="0"/>
    <n v="0"/>
    <n v="3.89"/>
    <n v="2.12"/>
    <n v="5.38"/>
    <n v="5"/>
    <n v="2.4"/>
    <n v="3.4"/>
    <n v="8.6999999999999993"/>
    <s v="No"/>
    <n v="7.9"/>
    <n v="8.8000000000000007"/>
    <n v="2.8"/>
    <n v="2.7"/>
    <n v="2.2999999999999998"/>
    <n v="2.2000000000000002"/>
    <n v="10"/>
    <x v="0"/>
    <s v="No"/>
    <x v="0"/>
    <x v="3"/>
    <x v="0"/>
    <x v="1"/>
  </r>
  <r>
    <x v="31"/>
    <x v="15"/>
    <s v="Female"/>
    <x v="0"/>
    <x v="1"/>
    <s v="Upper-Middle"/>
    <s v="Single"/>
    <s v="With Partner"/>
    <x v="1"/>
    <x v="4"/>
    <x v="1"/>
    <n v="1.55"/>
    <n v="2.44"/>
    <n v="3.87"/>
    <n v="7.48"/>
    <n v="3"/>
    <n v="5.0999999999999996"/>
    <n v="5.4"/>
    <n v="6.4"/>
    <s v="No"/>
    <n v="6.6"/>
    <n v="6.1"/>
    <n v="3"/>
    <n v="4.4000000000000004"/>
    <n v="5.3"/>
    <n v="5.8"/>
    <n v="7.3"/>
    <x v="1"/>
    <s v="No"/>
    <x v="1"/>
    <x v="1"/>
    <x v="1"/>
    <x v="0"/>
  </r>
  <r>
    <x v="32"/>
    <x v="7"/>
    <s v="Male"/>
    <x v="0"/>
    <x v="3"/>
    <s v="Upper-Middle"/>
    <s v="Married"/>
    <s v="With Partner"/>
    <x v="1"/>
    <x v="0"/>
    <x v="4"/>
    <n v="1.84"/>
    <n v="4.4000000000000004"/>
    <n v="2.9"/>
    <n v="5.86"/>
    <n v="2"/>
    <n v="3.7"/>
    <n v="7.2"/>
    <n v="8"/>
    <s v="No"/>
    <n v="7.7"/>
    <n v="7.3"/>
    <n v="4.4000000000000004"/>
    <n v="3.9"/>
    <n v="2.8"/>
    <n v="4.5"/>
    <n v="7.1"/>
    <x v="1"/>
    <s v="No"/>
    <x v="0"/>
    <x v="2"/>
    <x v="1"/>
    <x v="0"/>
  </r>
  <r>
    <x v="33"/>
    <x v="13"/>
    <s v="Female"/>
    <x v="0"/>
    <x v="2"/>
    <s v="Lower-Middle"/>
    <s v="In a Relationship"/>
    <s v="With Partner"/>
    <x v="1"/>
    <x v="0"/>
    <x v="1"/>
    <n v="3.58"/>
    <n v="3.53"/>
    <n v="5.47"/>
    <n v="11.96"/>
    <n v="3"/>
    <n v="6"/>
    <n v="8.1999999999999993"/>
    <n v="6.6"/>
    <s v="Yes"/>
    <n v="5.8"/>
    <n v="5.9"/>
    <n v="5.5"/>
    <n v="5.3"/>
    <n v="5.2"/>
    <n v="7.1"/>
    <n v="6.8"/>
    <x v="1"/>
    <s v="No"/>
    <x v="1"/>
    <x v="2"/>
    <x v="2"/>
    <x v="0"/>
  </r>
  <r>
    <x v="34"/>
    <x v="2"/>
    <s v="Female"/>
    <x v="1"/>
    <x v="3"/>
    <s v="Lower-Middle"/>
    <s v="In a Relationship"/>
    <s v="With Family"/>
    <x v="3"/>
    <x v="1"/>
    <x v="1"/>
    <n v="0"/>
    <n v="5.55"/>
    <n v="0.3"/>
    <n v="2.29"/>
    <n v="6"/>
    <n v="1"/>
    <n v="1"/>
    <n v="7.9"/>
    <s v="No"/>
    <n v="7.8"/>
    <n v="10"/>
    <n v="8.8000000000000007"/>
    <n v="1.5"/>
    <n v="1"/>
    <n v="2.9"/>
    <n v="9.6999999999999993"/>
    <x v="0"/>
    <s v="No"/>
    <x v="0"/>
    <x v="2"/>
    <x v="0"/>
    <x v="1"/>
  </r>
  <r>
    <x v="35"/>
    <x v="15"/>
    <s v="Male"/>
    <x v="3"/>
    <x v="2"/>
    <s v="Upper-Middle"/>
    <s v="Single"/>
    <s v="With Partner"/>
    <x v="3"/>
    <x v="0"/>
    <x v="1"/>
    <n v="0"/>
    <n v="7.7"/>
    <n v="1.97"/>
    <n v="3.61"/>
    <n v="5"/>
    <n v="2.8"/>
    <n v="3.9"/>
    <n v="8.3000000000000007"/>
    <s v="No"/>
    <n v="6"/>
    <n v="10"/>
    <n v="5.2"/>
    <n v="2"/>
    <n v="1"/>
    <n v="3.3"/>
    <n v="10"/>
    <x v="0"/>
    <s v="Yes"/>
    <x v="0"/>
    <x v="1"/>
    <x v="0"/>
    <x v="1"/>
  </r>
  <r>
    <x v="36"/>
    <x v="20"/>
    <s v="Female"/>
    <x v="4"/>
    <x v="2"/>
    <s v="High"/>
    <s v="Married"/>
    <s v="With Roommates"/>
    <x v="0"/>
    <x v="3"/>
    <x v="4"/>
    <n v="1.19"/>
    <n v="3.63"/>
    <n v="1.37"/>
    <n v="3.1"/>
    <n v="4"/>
    <n v="5"/>
    <n v="5.6"/>
    <n v="4.8"/>
    <s v="No"/>
    <n v="7.4"/>
    <n v="7"/>
    <n v="1.9"/>
    <n v="4.3"/>
    <n v="4"/>
    <n v="4.0999999999999996"/>
    <n v="5.5"/>
    <x v="0"/>
    <s v="No"/>
    <x v="0"/>
    <x v="2"/>
    <x v="1"/>
    <x v="0"/>
  </r>
  <r>
    <x v="37"/>
    <x v="21"/>
    <s v="Female"/>
    <x v="1"/>
    <x v="0"/>
    <s v="High"/>
    <s v="Married"/>
    <s v="With Roommates"/>
    <x v="3"/>
    <x v="0"/>
    <x v="2"/>
    <n v="1.94"/>
    <n v="1.83"/>
    <n v="3.77"/>
    <n v="9.81"/>
    <n v="0"/>
    <n v="8"/>
    <n v="8.3000000000000007"/>
    <n v="2.5"/>
    <s v="No"/>
    <n v="5.7"/>
    <n v="4.3"/>
    <n v="0.3"/>
    <n v="5.7"/>
    <n v="7.4"/>
    <n v="6.6"/>
    <n v="3.8"/>
    <x v="1"/>
    <s v="Yes"/>
    <x v="2"/>
    <x v="1"/>
    <x v="1"/>
    <x v="2"/>
  </r>
  <r>
    <x v="38"/>
    <x v="22"/>
    <s v="Non-binary"/>
    <x v="1"/>
    <x v="2"/>
    <s v="Lower-Middle"/>
    <s v="Single"/>
    <s v="With Family"/>
    <x v="2"/>
    <x v="0"/>
    <x v="4"/>
    <n v="1.25"/>
    <n v="3.71"/>
    <n v="1.4"/>
    <n v="5.39"/>
    <n v="5"/>
    <n v="6.4"/>
    <n v="3.4"/>
    <n v="4.3"/>
    <s v="No"/>
    <n v="7.3"/>
    <n v="7.3"/>
    <n v="4.7"/>
    <n v="5.3"/>
    <n v="4.7"/>
    <n v="7.6"/>
    <n v="4.5999999999999996"/>
    <x v="2"/>
    <s v="No"/>
    <x v="1"/>
    <x v="2"/>
    <x v="1"/>
    <x v="2"/>
  </r>
  <r>
    <x v="39"/>
    <x v="22"/>
    <s v="Male"/>
    <x v="1"/>
    <x v="3"/>
    <s v="Low"/>
    <s v="Single"/>
    <s v="With Roommates"/>
    <x v="4"/>
    <x v="1"/>
    <x v="3"/>
    <n v="0.82"/>
    <n v="5.62"/>
    <n v="2.48"/>
    <n v="6.14"/>
    <n v="6"/>
    <n v="3.8"/>
    <n v="1.4"/>
    <n v="7.8"/>
    <s v="No"/>
    <n v="7.5"/>
    <n v="8"/>
    <n v="5.8"/>
    <n v="3.6"/>
    <n v="1"/>
    <n v="4.0999999999999996"/>
    <n v="6.7"/>
    <x v="1"/>
    <s v="No"/>
    <x v="0"/>
    <x v="2"/>
    <x v="0"/>
    <x v="0"/>
  </r>
  <r>
    <x v="40"/>
    <x v="23"/>
    <s v="Non-binary"/>
    <x v="0"/>
    <x v="2"/>
    <s v="Lower-Middle"/>
    <s v="Single"/>
    <s v="With Partner"/>
    <x v="3"/>
    <x v="3"/>
    <x v="4"/>
    <n v="0"/>
    <n v="4.91"/>
    <n v="0.65"/>
    <n v="1.79"/>
    <n v="7"/>
    <n v="1.1000000000000001"/>
    <n v="1"/>
    <n v="10"/>
    <s v="No"/>
    <n v="7.1"/>
    <n v="7.9"/>
    <n v="4.9000000000000004"/>
    <n v="3.7"/>
    <n v="2.7"/>
    <n v="5"/>
    <n v="8.4"/>
    <x v="0"/>
    <s v="No"/>
    <x v="0"/>
    <x v="0"/>
    <x v="0"/>
    <x v="1"/>
  </r>
  <r>
    <x v="41"/>
    <x v="18"/>
    <s v="Female"/>
    <x v="0"/>
    <x v="2"/>
    <s v="Upper-Middle"/>
    <s v="Divorced/Separated"/>
    <s v="With Partner"/>
    <x v="1"/>
    <x v="2"/>
    <x v="1"/>
    <n v="1.1599999999999999"/>
    <n v="4.57"/>
    <n v="0"/>
    <n v="3.24"/>
    <n v="3"/>
    <n v="2.7"/>
    <n v="2.4"/>
    <n v="8.6999999999999993"/>
    <s v="No"/>
    <n v="7.6"/>
    <n v="6.8"/>
    <n v="3"/>
    <n v="3.8"/>
    <n v="1.3"/>
    <n v="2.9"/>
    <n v="8.6999999999999993"/>
    <x v="0"/>
    <s v="No"/>
    <x v="0"/>
    <x v="2"/>
    <x v="1"/>
    <x v="1"/>
  </r>
  <r>
    <x v="42"/>
    <x v="18"/>
    <s v="Male"/>
    <x v="0"/>
    <x v="2"/>
    <s v="Lower-Middle"/>
    <s v="In a Relationship"/>
    <s v="Alone"/>
    <x v="1"/>
    <x v="3"/>
    <x v="4"/>
    <n v="1.29"/>
    <n v="5.05"/>
    <n v="1.77"/>
    <n v="4.9800000000000004"/>
    <n v="5"/>
    <n v="5"/>
    <n v="4.7"/>
    <n v="4.5999999999999996"/>
    <s v="Yes"/>
    <n v="6.4"/>
    <n v="8.8000000000000007"/>
    <n v="5.5"/>
    <n v="3.5"/>
    <n v="4"/>
    <n v="7.6"/>
    <n v="6.3"/>
    <x v="1"/>
    <s v="No"/>
    <x v="0"/>
    <x v="2"/>
    <x v="1"/>
    <x v="0"/>
  </r>
  <r>
    <x v="43"/>
    <x v="24"/>
    <s v="Male"/>
    <x v="1"/>
    <x v="0"/>
    <s v="Lower-Middle"/>
    <s v="Married"/>
    <s v="With Family"/>
    <x v="0"/>
    <x v="3"/>
    <x v="4"/>
    <n v="0"/>
    <n v="7.65"/>
    <n v="1.94"/>
    <n v="4.72"/>
    <n v="8"/>
    <n v="1"/>
    <n v="1"/>
    <n v="10"/>
    <s v="No"/>
    <n v="10"/>
    <n v="9.9"/>
    <n v="5"/>
    <n v="1"/>
    <n v="1"/>
    <n v="1"/>
    <n v="7.5"/>
    <x v="0"/>
    <s v="No"/>
    <x v="0"/>
    <x v="1"/>
    <x v="0"/>
    <x v="1"/>
  </r>
  <r>
    <x v="44"/>
    <x v="3"/>
    <s v="Prefer not to say"/>
    <x v="1"/>
    <x v="1"/>
    <s v="Upper-Middle"/>
    <s v="Single"/>
    <s v="With Family"/>
    <x v="4"/>
    <x v="1"/>
    <x v="2"/>
    <n v="0.2"/>
    <n v="5.55"/>
    <n v="1.7"/>
    <n v="5.25"/>
    <n v="7"/>
    <n v="1.3"/>
    <n v="2.6"/>
    <n v="7"/>
    <s v="No"/>
    <n v="7.1"/>
    <n v="9.4"/>
    <n v="4.8"/>
    <n v="2.4"/>
    <n v="1"/>
    <n v="2.4"/>
    <n v="8.4"/>
    <x v="1"/>
    <s v="No"/>
    <x v="0"/>
    <x v="1"/>
    <x v="0"/>
    <x v="1"/>
  </r>
  <r>
    <x v="45"/>
    <x v="16"/>
    <s v="Female"/>
    <x v="0"/>
    <x v="2"/>
    <s v="Lower-Middle"/>
    <s v="Married"/>
    <s v="With Partner"/>
    <x v="2"/>
    <x v="0"/>
    <x v="0"/>
    <n v="2.5499999999999998"/>
    <n v="7.23"/>
    <n v="2.5299999999999998"/>
    <n v="5.64"/>
    <n v="7"/>
    <n v="2.4"/>
    <n v="1.9"/>
    <n v="6"/>
    <s v="No"/>
    <n v="7.1"/>
    <n v="6.6"/>
    <n v="5.6"/>
    <n v="2.1"/>
    <n v="2.7"/>
    <n v="4.3"/>
    <n v="6.2"/>
    <x v="0"/>
    <s v="No"/>
    <x v="0"/>
    <x v="2"/>
    <x v="2"/>
    <x v="1"/>
  </r>
  <r>
    <x v="46"/>
    <x v="16"/>
    <s v="Male"/>
    <x v="0"/>
    <x v="2"/>
    <s v="Upper-Middle"/>
    <s v="Married"/>
    <s v="With Roommates"/>
    <x v="3"/>
    <x v="0"/>
    <x v="4"/>
    <n v="0.91"/>
    <n v="6.26"/>
    <n v="2.37"/>
    <n v="4.2"/>
    <n v="4"/>
    <n v="4.7"/>
    <n v="5"/>
    <n v="5.7"/>
    <s v="Yes"/>
    <n v="6.3"/>
    <n v="8.5"/>
    <n v="1.3"/>
    <n v="3.3"/>
    <n v="2.5"/>
    <n v="5.8"/>
    <n v="6"/>
    <x v="1"/>
    <s v="No"/>
    <x v="0"/>
    <x v="2"/>
    <x v="0"/>
    <x v="0"/>
  </r>
  <r>
    <x v="47"/>
    <x v="3"/>
    <s v="Female"/>
    <x v="2"/>
    <x v="2"/>
    <s v="Lower-Middle"/>
    <s v="In a Relationship"/>
    <s v="Alone"/>
    <x v="2"/>
    <x v="1"/>
    <x v="1"/>
    <n v="1.54"/>
    <n v="2.65"/>
    <n v="2.2599999999999998"/>
    <n v="6.45"/>
    <n v="4"/>
    <n v="6.3"/>
    <n v="3.3"/>
    <n v="6.6"/>
    <s v="No"/>
    <n v="6"/>
    <n v="6"/>
    <n v="5.5"/>
    <n v="3.5"/>
    <n v="6.5"/>
    <n v="5.7"/>
    <n v="7.5"/>
    <x v="0"/>
    <s v="No"/>
    <x v="0"/>
    <x v="1"/>
    <x v="1"/>
    <x v="2"/>
  </r>
  <r>
    <x v="48"/>
    <x v="16"/>
    <s v="Male"/>
    <x v="1"/>
    <x v="2"/>
    <s v="Lower-Middle"/>
    <s v="Divorced/Separated"/>
    <s v="With Family"/>
    <x v="1"/>
    <x v="3"/>
    <x v="1"/>
    <n v="1.38"/>
    <n v="2.98"/>
    <n v="1.9"/>
    <n v="4.78"/>
    <n v="4"/>
    <n v="4.0999999999999996"/>
    <n v="1.7"/>
    <n v="7.9"/>
    <s v="No"/>
    <n v="7.5"/>
    <n v="7.7"/>
    <n v="8.3000000000000007"/>
    <n v="2.9"/>
    <n v="2.4"/>
    <n v="1.7"/>
    <n v="5.5"/>
    <x v="1"/>
    <s v="No"/>
    <x v="0"/>
    <x v="2"/>
    <x v="1"/>
    <x v="0"/>
  </r>
  <r>
    <x v="49"/>
    <x v="8"/>
    <s v="Male"/>
    <x v="0"/>
    <x v="0"/>
    <s v="Lower-Middle"/>
    <s v="Single"/>
    <s v="Alone"/>
    <x v="1"/>
    <x v="1"/>
    <x v="2"/>
    <n v="1.7"/>
    <n v="4.24"/>
    <n v="3.25"/>
    <n v="7.77"/>
    <n v="5"/>
    <n v="7.2"/>
    <n v="6.2"/>
    <n v="5.8"/>
    <s v="Yes"/>
    <n v="5.5"/>
    <n v="5.3"/>
    <n v="3.6"/>
    <n v="6.4"/>
    <n v="6.1"/>
    <n v="5.2"/>
    <n v="3.6"/>
    <x v="1"/>
    <s v="No"/>
    <x v="1"/>
    <x v="1"/>
    <x v="1"/>
    <x v="2"/>
  </r>
  <r>
    <x v="50"/>
    <x v="15"/>
    <s v="Male"/>
    <x v="1"/>
    <x v="1"/>
    <s v="Upper-Middle"/>
    <s v="Single"/>
    <s v="Alone"/>
    <x v="3"/>
    <x v="3"/>
    <x v="2"/>
    <n v="2.68"/>
    <n v="5.23"/>
    <n v="1.53"/>
    <n v="5.84"/>
    <n v="5"/>
    <n v="5.2"/>
    <n v="3.8"/>
    <n v="6.5"/>
    <s v="No"/>
    <n v="6.7"/>
    <n v="6.9"/>
    <n v="3.8"/>
    <n v="2.4"/>
    <n v="3"/>
    <n v="3.8"/>
    <n v="3.8"/>
    <x v="1"/>
    <s v="No"/>
    <x v="1"/>
    <x v="1"/>
    <x v="2"/>
    <x v="0"/>
  </r>
  <r>
    <x v="51"/>
    <x v="9"/>
    <s v="Male"/>
    <x v="0"/>
    <x v="0"/>
    <s v="Low"/>
    <s v="In a Relationship"/>
    <s v="With Partner"/>
    <x v="3"/>
    <x v="1"/>
    <x v="1"/>
    <n v="0"/>
    <n v="4.18"/>
    <n v="2.89"/>
    <n v="3.64"/>
    <n v="5"/>
    <n v="4.4000000000000004"/>
    <n v="2.8"/>
    <n v="5.6"/>
    <s v="No"/>
    <n v="7.6"/>
    <n v="7.4"/>
    <n v="4.5"/>
    <n v="5.3"/>
    <n v="4.0999999999999996"/>
    <n v="2.7"/>
    <n v="6.2"/>
    <x v="1"/>
    <s v="No"/>
    <x v="0"/>
    <x v="2"/>
    <x v="0"/>
    <x v="0"/>
  </r>
  <r>
    <x v="52"/>
    <x v="1"/>
    <s v="Male"/>
    <x v="0"/>
    <x v="1"/>
    <s v="Low"/>
    <s v="In a Relationship"/>
    <s v="With Roommates"/>
    <x v="0"/>
    <x v="0"/>
    <x v="3"/>
    <n v="2.0099999999999998"/>
    <n v="2.79"/>
    <n v="4.2699999999999996"/>
    <n v="6.52"/>
    <n v="1"/>
    <n v="8.4"/>
    <n v="7.2"/>
    <n v="6.3"/>
    <s v="No"/>
    <n v="6.2"/>
    <n v="6.4"/>
    <n v="3.6"/>
    <n v="5.5"/>
    <n v="4.5"/>
    <n v="6.1"/>
    <n v="2.7"/>
    <x v="1"/>
    <s v="Yes"/>
    <x v="1"/>
    <x v="1"/>
    <x v="1"/>
    <x v="2"/>
  </r>
  <r>
    <x v="53"/>
    <x v="20"/>
    <s v="Male"/>
    <x v="0"/>
    <x v="1"/>
    <s v="High"/>
    <s v="In a Relationship"/>
    <s v="With Family"/>
    <x v="1"/>
    <x v="0"/>
    <x v="2"/>
    <n v="1.98"/>
    <n v="2.56"/>
    <n v="2.87"/>
    <n v="7.33"/>
    <n v="2"/>
    <n v="7.2"/>
    <n v="6.6"/>
    <n v="5.9"/>
    <s v="No"/>
    <n v="4.5999999999999996"/>
    <n v="6.3"/>
    <n v="2.2000000000000002"/>
    <n v="4.9000000000000004"/>
    <n v="3.5"/>
    <n v="3.4"/>
    <n v="3"/>
    <x v="1"/>
    <s v="No"/>
    <x v="0"/>
    <x v="2"/>
    <x v="1"/>
    <x v="2"/>
  </r>
  <r>
    <x v="54"/>
    <x v="12"/>
    <s v="Female"/>
    <x v="2"/>
    <x v="1"/>
    <s v="Low"/>
    <s v="Single"/>
    <s v="Alone"/>
    <x v="3"/>
    <x v="4"/>
    <x v="4"/>
    <n v="0"/>
    <n v="4.43"/>
    <n v="0.52"/>
    <n v="3.03"/>
    <n v="3"/>
    <n v="2.9"/>
    <n v="1"/>
    <n v="8.4"/>
    <s v="No"/>
    <n v="9.1999999999999993"/>
    <n v="9.5"/>
    <n v="4.0999999999999996"/>
    <n v="2.7"/>
    <n v="1"/>
    <n v="3.7"/>
    <n v="8.5"/>
    <x v="0"/>
    <s v="No"/>
    <x v="0"/>
    <x v="3"/>
    <x v="0"/>
    <x v="1"/>
  </r>
  <r>
    <x v="55"/>
    <x v="25"/>
    <s v="Male"/>
    <x v="1"/>
    <x v="2"/>
    <s v="Lower-Middle"/>
    <s v="In a Relationship"/>
    <s v="With Family"/>
    <x v="1"/>
    <x v="3"/>
    <x v="1"/>
    <n v="0"/>
    <n v="5.17"/>
    <n v="1.73"/>
    <n v="4.7"/>
    <n v="3"/>
    <n v="4.5999999999999996"/>
    <n v="2.5"/>
    <n v="5.6"/>
    <s v="No"/>
    <n v="7.3"/>
    <n v="7.3"/>
    <n v="3.5"/>
    <n v="4.2"/>
    <n v="2.9"/>
    <n v="5.8"/>
    <n v="6.4"/>
    <x v="1"/>
    <s v="No"/>
    <x v="0"/>
    <x v="3"/>
    <x v="0"/>
    <x v="0"/>
  </r>
  <r>
    <x v="56"/>
    <x v="8"/>
    <s v="Male"/>
    <x v="1"/>
    <x v="2"/>
    <s v="Lower-Middle"/>
    <s v="Single"/>
    <s v="With Partner"/>
    <x v="0"/>
    <x v="4"/>
    <x v="0"/>
    <n v="3.74"/>
    <n v="2.64"/>
    <n v="5.15"/>
    <n v="11.22"/>
    <n v="4"/>
    <n v="7"/>
    <n v="5.8"/>
    <n v="3.4"/>
    <s v="Yes"/>
    <n v="6.6"/>
    <n v="5.7"/>
    <n v="3.2"/>
    <n v="5"/>
    <n v="6"/>
    <n v="8.5"/>
    <n v="3.2"/>
    <x v="1"/>
    <s v="Yes"/>
    <x v="2"/>
    <x v="1"/>
    <x v="2"/>
    <x v="2"/>
  </r>
  <r>
    <x v="57"/>
    <x v="0"/>
    <s v="Female"/>
    <x v="3"/>
    <x v="0"/>
    <s v="Lower-Middle"/>
    <s v="Single"/>
    <s v="With Family"/>
    <x v="2"/>
    <x v="0"/>
    <x v="2"/>
    <n v="3.21"/>
    <n v="3.14"/>
    <n v="3.11"/>
    <n v="4.55"/>
    <n v="3"/>
    <n v="7.8"/>
    <n v="9.4"/>
    <n v="2.2000000000000002"/>
    <s v="No"/>
    <n v="6.1"/>
    <n v="4.0999999999999996"/>
    <n v="1.2"/>
    <n v="4.8"/>
    <n v="9.6999999999999993"/>
    <n v="5.5"/>
    <n v="4.4000000000000004"/>
    <x v="2"/>
    <s v="No"/>
    <x v="2"/>
    <x v="0"/>
    <x v="2"/>
    <x v="2"/>
  </r>
  <r>
    <x v="58"/>
    <x v="6"/>
    <s v="Female"/>
    <x v="0"/>
    <x v="1"/>
    <s v="Upper-Middle"/>
    <s v="In a Relationship"/>
    <s v="Alone"/>
    <x v="3"/>
    <x v="2"/>
    <x v="1"/>
    <n v="2.88"/>
    <n v="1.77"/>
    <n v="3.52"/>
    <n v="8.91"/>
    <n v="4"/>
    <n v="5.0999999999999996"/>
    <n v="6.6"/>
    <n v="6.1"/>
    <s v="No"/>
    <n v="7.5"/>
    <n v="5.3"/>
    <n v="1.5"/>
    <n v="6.1"/>
    <n v="8.1"/>
    <n v="4.5"/>
    <n v="5.4"/>
    <x v="2"/>
    <s v="Yes"/>
    <x v="1"/>
    <x v="2"/>
    <x v="2"/>
    <x v="0"/>
  </r>
  <r>
    <x v="59"/>
    <x v="26"/>
    <s v="Female"/>
    <x v="1"/>
    <x v="2"/>
    <s v="Low"/>
    <s v="In a Relationship"/>
    <s v="With Family"/>
    <x v="3"/>
    <x v="0"/>
    <x v="1"/>
    <n v="2.4900000000000002"/>
    <n v="5.26"/>
    <n v="2.08"/>
    <n v="5.1100000000000003"/>
    <n v="7"/>
    <n v="1.7"/>
    <n v="5.6"/>
    <n v="7.5"/>
    <s v="Yes"/>
    <n v="8"/>
    <n v="8.8000000000000007"/>
    <n v="3.6"/>
    <n v="4.9000000000000004"/>
    <n v="3.1"/>
    <n v="5.9"/>
    <n v="7.1"/>
    <x v="0"/>
    <s v="No"/>
    <x v="0"/>
    <x v="0"/>
    <x v="1"/>
    <x v="1"/>
  </r>
  <r>
    <x v="60"/>
    <x v="0"/>
    <s v="Male"/>
    <x v="1"/>
    <x v="2"/>
    <s v="Lower-Middle"/>
    <s v="Single"/>
    <s v="With Roommates"/>
    <x v="3"/>
    <x v="0"/>
    <x v="1"/>
    <n v="1.46"/>
    <n v="4.12"/>
    <n v="2.68"/>
    <n v="4.2699999999999996"/>
    <n v="4"/>
    <n v="6.4"/>
    <n v="5.8"/>
    <n v="4"/>
    <s v="No"/>
    <n v="7.6"/>
    <n v="6.6"/>
    <n v="1.5"/>
    <n v="4.8"/>
    <n v="6"/>
    <n v="7.1"/>
    <n v="4"/>
    <x v="1"/>
    <s v="No"/>
    <x v="1"/>
    <x v="0"/>
    <x v="1"/>
    <x v="2"/>
  </r>
  <r>
    <x v="61"/>
    <x v="27"/>
    <s v="Male"/>
    <x v="1"/>
    <x v="2"/>
    <s v="Lower-Middle"/>
    <s v="Single"/>
    <s v="With Roommates"/>
    <x v="4"/>
    <x v="2"/>
    <x v="1"/>
    <n v="0.55000000000000004"/>
    <n v="1.77"/>
    <n v="2.54"/>
    <n v="3.11"/>
    <n v="2"/>
    <n v="7.9"/>
    <n v="6"/>
    <n v="2.8"/>
    <s v="Yes"/>
    <n v="6.7"/>
    <n v="5.5"/>
    <n v="4"/>
    <n v="7.7"/>
    <n v="4.2"/>
    <n v="8"/>
    <n v="6.8"/>
    <x v="2"/>
    <s v="Yes"/>
    <x v="2"/>
    <x v="1"/>
    <x v="0"/>
    <x v="2"/>
  </r>
  <r>
    <x v="62"/>
    <x v="11"/>
    <s v="Male"/>
    <x v="4"/>
    <x v="0"/>
    <s v="Upper-Middle"/>
    <s v="Single"/>
    <s v="With Roommates"/>
    <x v="2"/>
    <x v="0"/>
    <x v="3"/>
    <n v="2.57"/>
    <n v="4.13"/>
    <n v="1.65"/>
    <n v="4.13"/>
    <n v="3"/>
    <n v="5.3"/>
    <n v="5.9"/>
    <n v="4.5999999999999996"/>
    <s v="No"/>
    <n v="5.7"/>
    <n v="5.3"/>
    <n v="0"/>
    <n v="4.8"/>
    <n v="1.7"/>
    <n v="6.6"/>
    <n v="4.4000000000000004"/>
    <x v="2"/>
    <s v="No"/>
    <x v="2"/>
    <x v="3"/>
    <x v="2"/>
    <x v="0"/>
  </r>
  <r>
    <x v="63"/>
    <x v="20"/>
    <s v="Male"/>
    <x v="1"/>
    <x v="2"/>
    <s v="Low"/>
    <s v="Single"/>
    <s v="With Family"/>
    <x v="1"/>
    <x v="3"/>
    <x v="1"/>
    <n v="1.57"/>
    <n v="3.75"/>
    <n v="3.47"/>
    <n v="7.32"/>
    <n v="3"/>
    <n v="4.8"/>
    <n v="6.6"/>
    <n v="5.7"/>
    <s v="No"/>
    <n v="7.2"/>
    <n v="3.9"/>
    <n v="2"/>
    <n v="6.6"/>
    <n v="4.5"/>
    <n v="5.7"/>
    <n v="4.8"/>
    <x v="2"/>
    <s v="No"/>
    <x v="0"/>
    <x v="2"/>
    <x v="1"/>
    <x v="0"/>
  </r>
  <r>
    <x v="64"/>
    <x v="18"/>
    <s v="Male"/>
    <x v="1"/>
    <x v="0"/>
    <s v="Lower-Middle"/>
    <s v="Married"/>
    <s v="With Family"/>
    <x v="2"/>
    <x v="0"/>
    <x v="2"/>
    <n v="0.27"/>
    <n v="3.82"/>
    <n v="1.26"/>
    <n v="2.79"/>
    <n v="4"/>
    <n v="4.0999999999999996"/>
    <n v="3.3"/>
    <n v="4.7"/>
    <s v="No"/>
    <n v="7.4"/>
    <n v="6.6"/>
    <n v="6.4"/>
    <n v="2.9"/>
    <n v="4.0999999999999996"/>
    <n v="4"/>
    <n v="7.1"/>
    <x v="1"/>
    <s v="No"/>
    <x v="1"/>
    <x v="2"/>
    <x v="0"/>
    <x v="0"/>
  </r>
  <r>
    <x v="65"/>
    <x v="28"/>
    <s v="Male"/>
    <x v="1"/>
    <x v="1"/>
    <s v="Low"/>
    <s v="Married"/>
    <s v="With Family"/>
    <x v="1"/>
    <x v="1"/>
    <x v="2"/>
    <n v="0.22"/>
    <n v="2.57"/>
    <n v="1.63"/>
    <n v="2.33"/>
    <n v="7"/>
    <n v="1"/>
    <n v="1"/>
    <n v="10"/>
    <s v="No"/>
    <n v="7.4"/>
    <n v="8.4"/>
    <n v="5.3"/>
    <n v="1"/>
    <n v="2.1"/>
    <n v="3.6"/>
    <n v="8.6999999999999993"/>
    <x v="1"/>
    <s v="No"/>
    <x v="0"/>
    <x v="1"/>
    <x v="0"/>
    <x v="1"/>
  </r>
  <r>
    <x v="66"/>
    <x v="27"/>
    <s v="Male"/>
    <x v="1"/>
    <x v="2"/>
    <s v="Lower-Middle"/>
    <s v="Single"/>
    <s v="With Roommates"/>
    <x v="0"/>
    <x v="2"/>
    <x v="4"/>
    <n v="3.24"/>
    <n v="3.53"/>
    <n v="2.42"/>
    <n v="7.68"/>
    <n v="5"/>
    <n v="4.2"/>
    <n v="2.2999999999999998"/>
    <n v="7.7"/>
    <s v="No"/>
    <n v="6.4"/>
    <n v="6.4"/>
    <n v="4.5"/>
    <n v="3.5"/>
    <n v="4.9000000000000004"/>
    <n v="4.2"/>
    <n v="7.3"/>
    <x v="0"/>
    <s v="No"/>
    <x v="0"/>
    <x v="1"/>
    <x v="2"/>
    <x v="0"/>
  </r>
  <r>
    <x v="67"/>
    <x v="7"/>
    <s v="Male"/>
    <x v="1"/>
    <x v="0"/>
    <s v="Low"/>
    <s v="Married"/>
    <s v="With Family"/>
    <x v="1"/>
    <x v="0"/>
    <x v="1"/>
    <n v="0.53"/>
    <n v="5.05"/>
    <n v="2.58"/>
    <n v="4"/>
    <n v="5"/>
    <n v="2.2000000000000002"/>
    <n v="2"/>
    <n v="7.9"/>
    <s v="No"/>
    <n v="8"/>
    <n v="8.6999999999999993"/>
    <n v="4.5999999999999996"/>
    <n v="2.7"/>
    <n v="2.2000000000000002"/>
    <n v="4"/>
    <n v="6.9"/>
    <x v="1"/>
    <s v="No"/>
    <x v="0"/>
    <x v="2"/>
    <x v="0"/>
    <x v="1"/>
  </r>
  <r>
    <x v="68"/>
    <x v="26"/>
    <s v="Female"/>
    <x v="0"/>
    <x v="2"/>
    <s v="Low"/>
    <s v="Married"/>
    <s v="Alone"/>
    <x v="3"/>
    <x v="3"/>
    <x v="1"/>
    <n v="1.38"/>
    <n v="4.1900000000000004"/>
    <n v="1.22"/>
    <n v="5.58"/>
    <n v="5"/>
    <n v="2.7"/>
    <n v="3.7"/>
    <n v="8.4"/>
    <s v="No"/>
    <n v="7.4"/>
    <n v="9.5"/>
    <n v="3.9"/>
    <n v="4.5"/>
    <n v="2.7"/>
    <n v="3.4"/>
    <n v="5.8"/>
    <x v="0"/>
    <s v="Yes"/>
    <x v="0"/>
    <x v="0"/>
    <x v="1"/>
    <x v="1"/>
  </r>
  <r>
    <x v="69"/>
    <x v="7"/>
    <s v="Male"/>
    <x v="1"/>
    <x v="0"/>
    <s v="Upper-Middle"/>
    <s v="Married"/>
    <s v="With Partner"/>
    <x v="3"/>
    <x v="0"/>
    <x v="3"/>
    <n v="2.57"/>
    <n v="2.2000000000000002"/>
    <n v="5.01"/>
    <n v="11.04"/>
    <n v="3"/>
    <n v="6.8"/>
    <n v="7.2"/>
    <n v="3.2"/>
    <s v="Yes"/>
    <n v="5.6"/>
    <n v="5.3"/>
    <n v="3.9"/>
    <n v="7.7"/>
    <n v="8"/>
    <n v="7.8"/>
    <n v="1.4"/>
    <x v="2"/>
    <s v="Yes"/>
    <x v="2"/>
    <x v="2"/>
    <x v="2"/>
    <x v="2"/>
  </r>
  <r>
    <x v="70"/>
    <x v="6"/>
    <s v="Male"/>
    <x v="3"/>
    <x v="2"/>
    <s v="Lower-Middle"/>
    <s v="Single"/>
    <s v="With Partner"/>
    <x v="1"/>
    <x v="1"/>
    <x v="4"/>
    <n v="1.39"/>
    <n v="4.45"/>
    <n v="3.31"/>
    <n v="6.48"/>
    <n v="4"/>
    <n v="5.6"/>
    <n v="7.9"/>
    <n v="4.7"/>
    <s v="Yes"/>
    <n v="7.8"/>
    <n v="4.0999999999999996"/>
    <n v="2"/>
    <n v="5.5"/>
    <n v="7.4"/>
    <n v="8.1"/>
    <n v="6.3"/>
    <x v="1"/>
    <s v="Yes"/>
    <x v="2"/>
    <x v="2"/>
    <x v="1"/>
    <x v="0"/>
  </r>
  <r>
    <x v="71"/>
    <x v="14"/>
    <s v="Female"/>
    <x v="1"/>
    <x v="1"/>
    <s v="High"/>
    <s v="Divorced/Separated"/>
    <s v="Alone"/>
    <x v="4"/>
    <x v="0"/>
    <x v="3"/>
    <n v="0.03"/>
    <n v="5.79"/>
    <n v="3.4"/>
    <n v="6.81"/>
    <n v="4"/>
    <n v="1"/>
    <n v="2.8"/>
    <n v="7.7"/>
    <s v="No"/>
    <n v="8.8000000000000007"/>
    <n v="10"/>
    <n v="4.8"/>
    <n v="1.1000000000000001"/>
    <n v="1"/>
    <n v="1.7"/>
    <n v="8.9"/>
    <x v="0"/>
    <s v="No"/>
    <x v="0"/>
    <x v="3"/>
    <x v="0"/>
    <x v="1"/>
  </r>
  <r>
    <x v="72"/>
    <x v="1"/>
    <s v="Female"/>
    <x v="0"/>
    <x v="0"/>
    <s v="High"/>
    <s v="Single"/>
    <s v="Alone"/>
    <x v="3"/>
    <x v="0"/>
    <x v="2"/>
    <n v="0.53"/>
    <n v="3.1"/>
    <n v="0"/>
    <n v="3.9"/>
    <n v="5"/>
    <n v="3.4"/>
    <n v="1.9"/>
    <n v="10"/>
    <s v="No"/>
    <n v="8.1999999999999993"/>
    <n v="7.9"/>
    <n v="6.3"/>
    <n v="1.8"/>
    <n v="2"/>
    <n v="2.6"/>
    <n v="7.9"/>
    <x v="0"/>
    <s v="No"/>
    <x v="0"/>
    <x v="1"/>
    <x v="0"/>
    <x v="0"/>
  </r>
  <r>
    <x v="73"/>
    <x v="18"/>
    <s v="Male"/>
    <x v="4"/>
    <x v="1"/>
    <s v="Lower-Middle"/>
    <s v="Single"/>
    <s v="With Family"/>
    <x v="0"/>
    <x v="0"/>
    <x v="1"/>
    <n v="0.65"/>
    <n v="4.22"/>
    <n v="4.57"/>
    <n v="7.3"/>
    <n v="5"/>
    <n v="3.6"/>
    <n v="3.6"/>
    <n v="6.1"/>
    <s v="No"/>
    <n v="8.4"/>
    <n v="4.9000000000000004"/>
    <n v="1.5"/>
    <n v="2.8"/>
    <n v="4"/>
    <n v="4.3"/>
    <n v="8.9"/>
    <x v="0"/>
    <s v="No"/>
    <x v="0"/>
    <x v="2"/>
    <x v="0"/>
    <x v="0"/>
  </r>
  <r>
    <x v="74"/>
    <x v="3"/>
    <s v="Female"/>
    <x v="0"/>
    <x v="0"/>
    <s v="Low"/>
    <s v="Single"/>
    <s v="With Roommates"/>
    <x v="2"/>
    <x v="0"/>
    <x v="0"/>
    <n v="2.0299999999999998"/>
    <n v="4.8"/>
    <n v="1.73"/>
    <n v="7.5"/>
    <n v="6"/>
    <n v="2.2999999999999998"/>
    <n v="3.6"/>
    <n v="7.1"/>
    <s v="No"/>
    <n v="7.7"/>
    <n v="7.6"/>
    <n v="4.3"/>
    <n v="3.1"/>
    <n v="2.8"/>
    <n v="2.5"/>
    <n v="6.6"/>
    <x v="0"/>
    <s v="No"/>
    <x v="0"/>
    <x v="1"/>
    <x v="1"/>
    <x v="1"/>
  </r>
  <r>
    <x v="75"/>
    <x v="18"/>
    <s v="Female"/>
    <x v="0"/>
    <x v="0"/>
    <s v="Lower-Middle"/>
    <s v="In a Relationship"/>
    <s v="With Partner"/>
    <x v="3"/>
    <x v="2"/>
    <x v="0"/>
    <n v="0.5"/>
    <n v="2.83"/>
    <n v="3.04"/>
    <n v="4.92"/>
    <n v="4"/>
    <n v="6.6"/>
    <n v="4.5999999999999996"/>
    <n v="8.6"/>
    <s v="Yes"/>
    <n v="6.1"/>
    <n v="7.4"/>
    <n v="2.8"/>
    <n v="4.9000000000000004"/>
    <n v="3.9"/>
    <n v="6.3"/>
    <n v="5.4"/>
    <x v="1"/>
    <s v="Yes"/>
    <x v="1"/>
    <x v="2"/>
    <x v="0"/>
    <x v="2"/>
  </r>
  <r>
    <x v="76"/>
    <x v="0"/>
    <s v="Male"/>
    <x v="1"/>
    <x v="1"/>
    <s v="Upper-Middle"/>
    <s v="Single"/>
    <s v="With Family"/>
    <x v="3"/>
    <x v="1"/>
    <x v="4"/>
    <n v="0"/>
    <n v="6.1"/>
    <n v="0.65"/>
    <n v="1"/>
    <n v="6"/>
    <n v="2.4"/>
    <n v="1"/>
    <n v="8.1999999999999993"/>
    <s v="No"/>
    <n v="7.5"/>
    <n v="8.3000000000000007"/>
    <n v="5"/>
    <n v="1.1000000000000001"/>
    <n v="1.4"/>
    <n v="3"/>
    <n v="7.1"/>
    <x v="0"/>
    <s v="No"/>
    <x v="0"/>
    <x v="0"/>
    <x v="0"/>
    <x v="1"/>
  </r>
  <r>
    <x v="77"/>
    <x v="15"/>
    <s v="Female"/>
    <x v="1"/>
    <x v="2"/>
    <s v="Lower-Middle"/>
    <s v="Single"/>
    <s v="Alone"/>
    <x v="3"/>
    <x v="0"/>
    <x v="4"/>
    <n v="2.31"/>
    <n v="1.48"/>
    <n v="1.89"/>
    <n v="4.6500000000000004"/>
    <n v="2"/>
    <n v="4.3"/>
    <n v="6.1"/>
    <n v="5"/>
    <s v="No"/>
    <n v="7"/>
    <n v="5.8"/>
    <n v="2.1"/>
    <n v="5.5"/>
    <n v="6.6"/>
    <n v="6.6"/>
    <n v="2.6"/>
    <x v="2"/>
    <s v="No"/>
    <x v="1"/>
    <x v="1"/>
    <x v="1"/>
    <x v="0"/>
  </r>
  <r>
    <x v="78"/>
    <x v="2"/>
    <s v="Non-binary"/>
    <x v="0"/>
    <x v="0"/>
    <s v="Low"/>
    <s v="Single"/>
    <s v="With Partner"/>
    <x v="2"/>
    <x v="1"/>
    <x v="0"/>
    <n v="1.1599999999999999"/>
    <n v="3.91"/>
    <n v="1.93"/>
    <n v="4.42"/>
    <n v="3"/>
    <n v="6.1"/>
    <n v="3"/>
    <n v="6.8"/>
    <s v="No"/>
    <n v="7.6"/>
    <n v="5.8"/>
    <n v="4.5999999999999996"/>
    <n v="5.4"/>
    <n v="3"/>
    <n v="5.3"/>
    <n v="8.4"/>
    <x v="1"/>
    <s v="No"/>
    <x v="0"/>
    <x v="2"/>
    <x v="1"/>
    <x v="2"/>
  </r>
  <r>
    <x v="79"/>
    <x v="5"/>
    <s v="Male"/>
    <x v="2"/>
    <x v="2"/>
    <s v="Lower-Middle"/>
    <s v="Married"/>
    <s v="With Partner"/>
    <x v="3"/>
    <x v="0"/>
    <x v="0"/>
    <n v="2.23"/>
    <n v="2.9"/>
    <n v="1.79"/>
    <n v="6.56"/>
    <n v="6"/>
    <n v="4.3"/>
    <n v="4.8"/>
    <n v="4.9000000000000004"/>
    <s v="No"/>
    <n v="7.6"/>
    <n v="7.9"/>
    <n v="6.1"/>
    <n v="4.3"/>
    <n v="1.8"/>
    <n v="2.7"/>
    <n v="8.9"/>
    <x v="1"/>
    <s v="Yes"/>
    <x v="1"/>
    <x v="0"/>
    <x v="1"/>
    <x v="0"/>
  </r>
  <r>
    <x v="80"/>
    <x v="3"/>
    <s v="Male"/>
    <x v="0"/>
    <x v="2"/>
    <s v="Upper-Middle"/>
    <s v="Married"/>
    <s v="With Family"/>
    <x v="1"/>
    <x v="3"/>
    <x v="4"/>
    <n v="1.52"/>
    <n v="3.72"/>
    <n v="2.67"/>
    <n v="5.03"/>
    <n v="5"/>
    <n v="5.9"/>
    <n v="3.9"/>
    <n v="4.7"/>
    <s v="No"/>
    <n v="6"/>
    <n v="6.2"/>
    <n v="4.7"/>
    <n v="5.6"/>
    <n v="6.4"/>
    <n v="6.7"/>
    <n v="7.3"/>
    <x v="0"/>
    <s v="No"/>
    <x v="1"/>
    <x v="1"/>
    <x v="1"/>
    <x v="0"/>
  </r>
  <r>
    <x v="81"/>
    <x v="12"/>
    <s v="Female"/>
    <x v="0"/>
    <x v="1"/>
    <s v="Upper-Middle"/>
    <s v="Single"/>
    <s v="Alone"/>
    <x v="1"/>
    <x v="2"/>
    <x v="4"/>
    <n v="0.8"/>
    <n v="5.17"/>
    <n v="3.2"/>
    <n v="5.33"/>
    <n v="6"/>
    <n v="3.8"/>
    <n v="4.8"/>
    <n v="9.5"/>
    <s v="No"/>
    <n v="8"/>
    <n v="9.1"/>
    <n v="4"/>
    <n v="3.3"/>
    <n v="3.3"/>
    <n v="3.7"/>
    <n v="8"/>
    <x v="0"/>
    <s v="No"/>
    <x v="0"/>
    <x v="3"/>
    <x v="0"/>
    <x v="0"/>
  </r>
  <r>
    <x v="82"/>
    <x v="28"/>
    <s v="Female"/>
    <x v="3"/>
    <x v="2"/>
    <s v="Low"/>
    <s v="Married"/>
    <s v="With Family"/>
    <x v="2"/>
    <x v="1"/>
    <x v="4"/>
    <n v="0"/>
    <n v="6.07"/>
    <n v="0.66"/>
    <n v="1.41"/>
    <n v="8"/>
    <n v="2.5"/>
    <n v="1"/>
    <n v="10"/>
    <s v="No"/>
    <n v="8.4"/>
    <n v="9.8000000000000007"/>
    <n v="7.4"/>
    <n v="1"/>
    <n v="1"/>
    <n v="1.1000000000000001"/>
    <n v="10"/>
    <x v="1"/>
    <s v="No"/>
    <x v="0"/>
    <x v="1"/>
    <x v="0"/>
    <x v="1"/>
  </r>
  <r>
    <x v="83"/>
    <x v="21"/>
    <s v="Male"/>
    <x v="0"/>
    <x v="1"/>
    <s v="Upper-Middle"/>
    <s v="Married"/>
    <s v="With Family"/>
    <x v="3"/>
    <x v="4"/>
    <x v="0"/>
    <n v="2.38"/>
    <n v="3.77"/>
    <n v="2.72"/>
    <n v="6.45"/>
    <n v="3"/>
    <n v="4.5999999999999996"/>
    <n v="4.5"/>
    <n v="6"/>
    <s v="No"/>
    <n v="7.5"/>
    <n v="5.8"/>
    <n v="5.0999999999999996"/>
    <n v="3.8"/>
    <n v="4.3"/>
    <n v="6.1"/>
    <n v="5.0999999999999996"/>
    <x v="0"/>
    <s v="No"/>
    <x v="0"/>
    <x v="1"/>
    <x v="1"/>
    <x v="0"/>
  </r>
  <r>
    <x v="84"/>
    <x v="11"/>
    <s v="Male"/>
    <x v="1"/>
    <x v="1"/>
    <s v="Low"/>
    <s v="Married"/>
    <s v="With Partner"/>
    <x v="1"/>
    <x v="1"/>
    <x v="4"/>
    <n v="0.17"/>
    <n v="4.38"/>
    <n v="2.56"/>
    <n v="6.08"/>
    <n v="4"/>
    <n v="1.1000000000000001"/>
    <n v="4.7"/>
    <n v="5.9"/>
    <s v="No"/>
    <n v="6.5"/>
    <n v="8.8000000000000007"/>
    <n v="4.9000000000000004"/>
    <n v="5.0999999999999996"/>
    <n v="4.5999999999999996"/>
    <n v="5.2"/>
    <n v="7"/>
    <x v="1"/>
    <s v="No"/>
    <x v="0"/>
    <x v="3"/>
    <x v="0"/>
    <x v="1"/>
  </r>
  <r>
    <x v="85"/>
    <x v="27"/>
    <s v="Male"/>
    <x v="0"/>
    <x v="2"/>
    <s v="Low"/>
    <s v="Single"/>
    <s v="With Partner"/>
    <x v="1"/>
    <x v="0"/>
    <x v="1"/>
    <n v="0"/>
    <n v="5.13"/>
    <n v="0"/>
    <n v="2.36"/>
    <n v="7"/>
    <n v="1.8"/>
    <n v="1.1000000000000001"/>
    <n v="8.3000000000000007"/>
    <s v="Yes"/>
    <n v="9.4"/>
    <n v="7.5"/>
    <n v="6.7"/>
    <n v="1"/>
    <n v="2.1"/>
    <n v="5.8"/>
    <n v="7.2"/>
    <x v="0"/>
    <s v="No"/>
    <x v="0"/>
    <x v="1"/>
    <x v="0"/>
    <x v="1"/>
  </r>
  <r>
    <x v="86"/>
    <x v="5"/>
    <s v="Female"/>
    <x v="2"/>
    <x v="3"/>
    <s v="Upper-Middle"/>
    <s v="In a Relationship"/>
    <s v="With Roommates"/>
    <x v="1"/>
    <x v="3"/>
    <x v="2"/>
    <n v="2.61"/>
    <n v="3.49"/>
    <n v="1.93"/>
    <n v="5.96"/>
    <n v="3"/>
    <n v="8"/>
    <n v="6.2"/>
    <n v="4.3"/>
    <s v="Yes"/>
    <n v="6.5"/>
    <n v="4.8"/>
    <n v="0"/>
    <n v="8.4"/>
    <n v="7"/>
    <n v="5.7"/>
    <n v="1"/>
    <x v="1"/>
    <s v="No"/>
    <x v="2"/>
    <x v="0"/>
    <x v="2"/>
    <x v="2"/>
  </r>
  <r>
    <x v="87"/>
    <x v="11"/>
    <s v="Female"/>
    <x v="1"/>
    <x v="2"/>
    <s v="Low"/>
    <s v="Married"/>
    <s v="With Family"/>
    <x v="0"/>
    <x v="1"/>
    <x v="4"/>
    <n v="2.5"/>
    <n v="3.96"/>
    <n v="1.67"/>
    <n v="7.39"/>
    <n v="3"/>
    <n v="6.7"/>
    <n v="7"/>
    <n v="5"/>
    <s v="Yes"/>
    <n v="6.2"/>
    <n v="4.5999999999999996"/>
    <n v="3.2"/>
    <n v="4.5"/>
    <n v="4.0999999999999996"/>
    <n v="5"/>
    <n v="6.1"/>
    <x v="2"/>
    <s v="No"/>
    <x v="2"/>
    <x v="3"/>
    <x v="1"/>
    <x v="2"/>
  </r>
  <r>
    <x v="88"/>
    <x v="14"/>
    <s v="Male"/>
    <x v="0"/>
    <x v="3"/>
    <s v="Lower-Middle"/>
    <s v="In a Relationship"/>
    <s v="With Partner"/>
    <x v="3"/>
    <x v="3"/>
    <x v="3"/>
    <n v="4.09"/>
    <n v="2.74"/>
    <n v="4.57"/>
    <n v="10.69"/>
    <n v="0"/>
    <n v="10"/>
    <n v="7.7"/>
    <n v="2.5"/>
    <s v="Yes"/>
    <n v="5.9"/>
    <n v="3.2"/>
    <n v="1.5"/>
    <n v="10"/>
    <n v="7"/>
    <n v="7.7"/>
    <n v="2"/>
    <x v="2"/>
    <s v="Yes"/>
    <x v="2"/>
    <x v="3"/>
    <x v="3"/>
    <x v="2"/>
  </r>
  <r>
    <x v="89"/>
    <x v="16"/>
    <s v="Female"/>
    <x v="1"/>
    <x v="0"/>
    <s v="Low"/>
    <s v="Single"/>
    <s v="Alone"/>
    <x v="0"/>
    <x v="4"/>
    <x v="4"/>
    <n v="3.15"/>
    <n v="3.25"/>
    <n v="1.46"/>
    <n v="6.75"/>
    <n v="5"/>
    <n v="5.7"/>
    <n v="6.5"/>
    <n v="3.2"/>
    <s v="Yes"/>
    <n v="7.2"/>
    <n v="6.6"/>
    <n v="0.8"/>
    <n v="4.9000000000000004"/>
    <n v="5.2"/>
    <n v="6.6"/>
    <n v="2.8"/>
    <x v="1"/>
    <s v="No"/>
    <x v="2"/>
    <x v="2"/>
    <x v="2"/>
    <x v="0"/>
  </r>
  <r>
    <x v="90"/>
    <x v="17"/>
    <s v="Female"/>
    <x v="0"/>
    <x v="1"/>
    <s v="Upper-Middle"/>
    <s v="In a Relationship"/>
    <s v="With Family"/>
    <x v="2"/>
    <x v="1"/>
    <x v="2"/>
    <n v="0.44"/>
    <n v="3.05"/>
    <n v="1.17"/>
    <n v="4.75"/>
    <n v="2"/>
    <n v="3.6"/>
    <n v="3.7"/>
    <n v="6"/>
    <s v="No"/>
    <n v="8"/>
    <n v="6.8"/>
    <n v="5.0999999999999996"/>
    <n v="2.5"/>
    <n v="1"/>
    <n v="3.6"/>
    <n v="6.8"/>
    <x v="0"/>
    <s v="No"/>
    <x v="0"/>
    <x v="0"/>
    <x v="0"/>
    <x v="0"/>
  </r>
  <r>
    <x v="91"/>
    <x v="13"/>
    <s v="Male"/>
    <x v="1"/>
    <x v="2"/>
    <s v="Upper-Middle"/>
    <s v="In a Relationship"/>
    <s v="Alone"/>
    <x v="1"/>
    <x v="2"/>
    <x v="1"/>
    <n v="1.1599999999999999"/>
    <n v="5.85"/>
    <n v="0.23"/>
    <n v="3.05"/>
    <n v="6"/>
    <n v="3"/>
    <n v="3.9"/>
    <n v="9.1999999999999993"/>
    <s v="No"/>
    <n v="6.7"/>
    <n v="8.8000000000000007"/>
    <n v="6.5"/>
    <n v="1"/>
    <n v="1"/>
    <n v="2.6"/>
    <n v="9"/>
    <x v="1"/>
    <s v="No"/>
    <x v="0"/>
    <x v="2"/>
    <x v="1"/>
    <x v="1"/>
  </r>
  <r>
    <x v="92"/>
    <x v="23"/>
    <s v="Male"/>
    <x v="0"/>
    <x v="2"/>
    <s v="Upper-Middle"/>
    <s v="In a Relationship"/>
    <s v="With Family"/>
    <x v="2"/>
    <x v="3"/>
    <x v="3"/>
    <n v="1.26"/>
    <n v="5.89"/>
    <n v="2.4900000000000002"/>
    <n v="6.67"/>
    <n v="5"/>
    <n v="3.9"/>
    <n v="5.0999999999999996"/>
    <n v="9.6999999999999993"/>
    <s v="No"/>
    <n v="8.4"/>
    <n v="8.1999999999999993"/>
    <n v="4.3"/>
    <n v="5.7"/>
    <n v="3.3"/>
    <n v="4.0999999999999996"/>
    <n v="7.1"/>
    <x v="1"/>
    <s v="No"/>
    <x v="0"/>
    <x v="0"/>
    <x v="1"/>
    <x v="0"/>
  </r>
  <r>
    <x v="93"/>
    <x v="11"/>
    <s v="Female"/>
    <x v="3"/>
    <x v="2"/>
    <s v="Upper-Middle"/>
    <s v="Single"/>
    <s v="With Roommates"/>
    <x v="1"/>
    <x v="1"/>
    <x v="3"/>
    <n v="2.0699999999999998"/>
    <n v="7.19"/>
    <n v="2.27"/>
    <n v="7.18"/>
    <n v="3"/>
    <n v="4.2"/>
    <n v="2.7"/>
    <n v="8.4"/>
    <s v="No"/>
    <n v="7.2"/>
    <n v="7.9"/>
    <n v="5.8"/>
    <n v="3.9"/>
    <n v="1"/>
    <n v="2.6"/>
    <n v="5.2"/>
    <x v="0"/>
    <s v="No"/>
    <x v="0"/>
    <x v="3"/>
    <x v="1"/>
    <x v="0"/>
  </r>
  <r>
    <x v="94"/>
    <x v="13"/>
    <s v="Female"/>
    <x v="1"/>
    <x v="1"/>
    <s v="Low"/>
    <s v="Single"/>
    <s v="Alone"/>
    <x v="3"/>
    <x v="1"/>
    <x v="4"/>
    <n v="1.29"/>
    <n v="5.33"/>
    <n v="2.31"/>
    <n v="5.45"/>
    <n v="6"/>
    <n v="5.5"/>
    <n v="5.7"/>
    <n v="7.5"/>
    <s v="No"/>
    <n v="6.9"/>
    <n v="8.1"/>
    <n v="5.4"/>
    <n v="5.5"/>
    <n v="5.4"/>
    <n v="7"/>
    <n v="4.3"/>
    <x v="2"/>
    <s v="No"/>
    <x v="1"/>
    <x v="2"/>
    <x v="1"/>
    <x v="0"/>
  </r>
  <r>
    <x v="95"/>
    <x v="2"/>
    <s v="Female"/>
    <x v="0"/>
    <x v="0"/>
    <s v="Lower-Middle"/>
    <s v="Married"/>
    <s v="With Family"/>
    <x v="2"/>
    <x v="0"/>
    <x v="4"/>
    <n v="0.17"/>
    <n v="5.2"/>
    <n v="0"/>
    <n v="1"/>
    <n v="2"/>
    <n v="1.3"/>
    <n v="1"/>
    <n v="9"/>
    <s v="No"/>
    <n v="6.1"/>
    <n v="10"/>
    <n v="7.9"/>
    <n v="1"/>
    <n v="2.5"/>
    <n v="1.5"/>
    <n v="10"/>
    <x v="0"/>
    <s v="No"/>
    <x v="0"/>
    <x v="2"/>
    <x v="0"/>
    <x v="1"/>
  </r>
  <r>
    <x v="96"/>
    <x v="27"/>
    <s v="Female"/>
    <x v="3"/>
    <x v="0"/>
    <s v="Lower-Middle"/>
    <s v="Married"/>
    <s v="With Family"/>
    <x v="1"/>
    <x v="2"/>
    <x v="1"/>
    <n v="0.91"/>
    <n v="3.48"/>
    <n v="2.91"/>
    <n v="5.83"/>
    <n v="3"/>
    <n v="5.2"/>
    <n v="5.5"/>
    <n v="5.0999999999999996"/>
    <s v="No"/>
    <n v="6.1"/>
    <n v="4.3"/>
    <n v="5"/>
    <n v="4.7"/>
    <n v="3.6"/>
    <n v="5.4"/>
    <n v="4.8"/>
    <x v="0"/>
    <s v="No"/>
    <x v="1"/>
    <x v="1"/>
    <x v="0"/>
    <x v="0"/>
  </r>
  <r>
    <x v="97"/>
    <x v="7"/>
    <s v="Male"/>
    <x v="4"/>
    <x v="1"/>
    <s v="Low"/>
    <s v="Single"/>
    <s v="With Family"/>
    <x v="2"/>
    <x v="3"/>
    <x v="1"/>
    <n v="3.93"/>
    <n v="3.63"/>
    <n v="2.92"/>
    <n v="9.99"/>
    <n v="5"/>
    <n v="6.8"/>
    <n v="6.4"/>
    <n v="6.1"/>
    <s v="No"/>
    <n v="6.5"/>
    <n v="7.8"/>
    <n v="5.9"/>
    <n v="5.6"/>
    <n v="4.5"/>
    <n v="2.2999999999999998"/>
    <n v="7.1"/>
    <x v="1"/>
    <s v="No"/>
    <x v="2"/>
    <x v="2"/>
    <x v="2"/>
    <x v="2"/>
  </r>
  <r>
    <x v="98"/>
    <x v="15"/>
    <s v="Male"/>
    <x v="1"/>
    <x v="1"/>
    <s v="Lower-Middle"/>
    <s v="Divorced/Separated"/>
    <s v="With Family"/>
    <x v="3"/>
    <x v="0"/>
    <x v="2"/>
    <n v="2.83"/>
    <n v="3.01"/>
    <n v="3.84"/>
    <n v="9.49"/>
    <n v="2"/>
    <n v="8.5"/>
    <n v="5.7"/>
    <n v="4.9000000000000004"/>
    <s v="Yes"/>
    <n v="7"/>
    <n v="6.1"/>
    <n v="2.6"/>
    <n v="4.0999999999999996"/>
    <n v="7.3"/>
    <n v="3.9"/>
    <n v="7.2"/>
    <x v="1"/>
    <s v="Yes"/>
    <x v="2"/>
    <x v="1"/>
    <x v="2"/>
    <x v="2"/>
  </r>
  <r>
    <x v="99"/>
    <x v="14"/>
    <s v="Female"/>
    <x v="1"/>
    <x v="3"/>
    <s v="High"/>
    <s v="Single"/>
    <s v="Alone"/>
    <x v="4"/>
    <x v="0"/>
    <x v="2"/>
    <n v="0"/>
    <n v="5.15"/>
    <n v="3.11"/>
    <n v="6.82"/>
    <n v="6"/>
    <n v="4.5999999999999996"/>
    <n v="1.9"/>
    <n v="10"/>
    <s v="No"/>
    <n v="7.3"/>
    <n v="8.9"/>
    <n v="4.8"/>
    <n v="2"/>
    <n v="1"/>
    <n v="2.2999999999999998"/>
    <n v="7.6"/>
    <x v="0"/>
    <s v="No"/>
    <x v="0"/>
    <x v="3"/>
    <x v="0"/>
    <x v="0"/>
  </r>
  <r>
    <x v="100"/>
    <x v="23"/>
    <s v="Male"/>
    <x v="1"/>
    <x v="1"/>
    <s v="Low"/>
    <s v="In a Relationship"/>
    <s v="With Partner"/>
    <x v="2"/>
    <x v="1"/>
    <x v="1"/>
    <n v="1.61"/>
    <n v="5.01"/>
    <n v="3.87"/>
    <n v="6.99"/>
    <n v="3"/>
    <n v="6.4"/>
    <n v="3.9"/>
    <n v="7"/>
    <s v="No"/>
    <n v="5.4"/>
    <n v="5.8"/>
    <n v="0"/>
    <n v="3.5"/>
    <n v="5.3"/>
    <n v="5.0999999999999996"/>
    <n v="6"/>
    <x v="1"/>
    <s v="No"/>
    <x v="1"/>
    <x v="0"/>
    <x v="1"/>
    <x v="2"/>
  </r>
  <r>
    <x v="101"/>
    <x v="16"/>
    <s v="Male"/>
    <x v="2"/>
    <x v="3"/>
    <s v="Lower-Middle"/>
    <s v="Married"/>
    <s v="With Family"/>
    <x v="3"/>
    <x v="0"/>
    <x v="3"/>
    <n v="2.99"/>
    <n v="0.98"/>
    <n v="3.96"/>
    <n v="9.73"/>
    <n v="4"/>
    <n v="5.8"/>
    <n v="8.1"/>
    <n v="2.9"/>
    <s v="Yes"/>
    <n v="6.3"/>
    <n v="2.4"/>
    <n v="0.8"/>
    <n v="7.2"/>
    <n v="9.6"/>
    <n v="8.1"/>
    <n v="1.2"/>
    <x v="1"/>
    <s v="No"/>
    <x v="2"/>
    <x v="2"/>
    <x v="2"/>
    <x v="0"/>
  </r>
  <r>
    <x v="102"/>
    <x v="11"/>
    <s v="Male"/>
    <x v="4"/>
    <x v="1"/>
    <s v="Low"/>
    <s v="Married"/>
    <s v="With Family"/>
    <x v="1"/>
    <x v="0"/>
    <x v="3"/>
    <n v="1.85"/>
    <n v="3.94"/>
    <n v="1.35"/>
    <n v="4.2"/>
    <n v="11"/>
    <n v="1"/>
    <n v="3.3"/>
    <n v="5.6"/>
    <s v="No"/>
    <n v="7.4"/>
    <n v="8.4"/>
    <n v="6.9"/>
    <n v="1"/>
    <n v="1"/>
    <n v="1.7"/>
    <n v="6.9"/>
    <x v="1"/>
    <s v="No"/>
    <x v="0"/>
    <x v="3"/>
    <x v="1"/>
    <x v="1"/>
  </r>
  <r>
    <x v="103"/>
    <x v="28"/>
    <s v="Male"/>
    <x v="0"/>
    <x v="2"/>
    <s v="Low"/>
    <s v="Married"/>
    <s v="Alone"/>
    <x v="2"/>
    <x v="1"/>
    <x v="2"/>
    <n v="1.06"/>
    <n v="6.2"/>
    <n v="0.87"/>
    <n v="4.1399999999999997"/>
    <n v="6"/>
    <n v="2.4"/>
    <n v="3.2"/>
    <n v="7.7"/>
    <s v="No"/>
    <n v="7"/>
    <n v="8.5"/>
    <n v="4.2"/>
    <n v="1"/>
    <n v="1"/>
    <n v="4"/>
    <n v="8.4"/>
    <x v="1"/>
    <s v="No"/>
    <x v="0"/>
    <x v="1"/>
    <x v="1"/>
    <x v="1"/>
  </r>
  <r>
    <x v="104"/>
    <x v="24"/>
    <s v="Male"/>
    <x v="4"/>
    <x v="0"/>
    <s v="High"/>
    <s v="Single"/>
    <s v="With Roommates"/>
    <x v="0"/>
    <x v="0"/>
    <x v="1"/>
    <n v="2.0699999999999998"/>
    <n v="4.67"/>
    <n v="4.57"/>
    <n v="9.74"/>
    <n v="4"/>
    <n v="6.5"/>
    <n v="4.8"/>
    <n v="3.1"/>
    <s v="No"/>
    <n v="6.6"/>
    <n v="7.6"/>
    <n v="3.7"/>
    <n v="4.9000000000000004"/>
    <n v="6.2"/>
    <n v="7"/>
    <n v="4.4000000000000004"/>
    <x v="1"/>
    <s v="No"/>
    <x v="1"/>
    <x v="1"/>
    <x v="1"/>
    <x v="2"/>
  </r>
  <r>
    <x v="105"/>
    <x v="3"/>
    <s v="Male"/>
    <x v="0"/>
    <x v="1"/>
    <s v="Lower-Middle"/>
    <s v="Married"/>
    <s v="With Family"/>
    <x v="1"/>
    <x v="1"/>
    <x v="4"/>
    <n v="0"/>
    <n v="4.41"/>
    <n v="1.7"/>
    <n v="4.5999999999999996"/>
    <n v="4"/>
    <n v="2.8"/>
    <n v="3.4"/>
    <n v="8"/>
    <s v="No"/>
    <n v="6.1"/>
    <n v="7.4"/>
    <n v="5.5"/>
    <n v="3.3"/>
    <n v="4.5999999999999996"/>
    <n v="4.2"/>
    <n v="8.4"/>
    <x v="0"/>
    <s v="No"/>
    <x v="0"/>
    <x v="1"/>
    <x v="0"/>
    <x v="1"/>
  </r>
  <r>
    <x v="106"/>
    <x v="5"/>
    <s v="Male"/>
    <x v="0"/>
    <x v="2"/>
    <s v="Lower-Middle"/>
    <s v="Single"/>
    <s v="With Family"/>
    <x v="4"/>
    <x v="0"/>
    <x v="4"/>
    <n v="2.15"/>
    <n v="5.91"/>
    <n v="2.9"/>
    <n v="7.15"/>
    <n v="5"/>
    <n v="4.7"/>
    <n v="2.7"/>
    <n v="5.0999999999999996"/>
    <s v="No"/>
    <n v="7.7"/>
    <n v="5"/>
    <n v="6.1"/>
    <n v="3.4"/>
    <n v="2.7"/>
    <n v="5.8"/>
    <n v="7.6"/>
    <x v="0"/>
    <s v="No"/>
    <x v="2"/>
    <x v="0"/>
    <x v="1"/>
    <x v="0"/>
  </r>
  <r>
    <x v="107"/>
    <x v="28"/>
    <s v="Male"/>
    <x v="1"/>
    <x v="0"/>
    <s v="Upper-Middle"/>
    <s v="In a Relationship"/>
    <s v="Alone"/>
    <x v="3"/>
    <x v="0"/>
    <x v="1"/>
    <n v="4.09"/>
    <n v="3.35"/>
    <n v="3.39"/>
    <n v="9.2100000000000009"/>
    <n v="1"/>
    <n v="6.6"/>
    <n v="8"/>
    <n v="4.7"/>
    <s v="No"/>
    <n v="5.8"/>
    <n v="2.4"/>
    <n v="0"/>
    <n v="8.6"/>
    <n v="10"/>
    <n v="6.1"/>
    <n v="3.9"/>
    <x v="1"/>
    <s v="Yes"/>
    <x v="2"/>
    <x v="1"/>
    <x v="3"/>
    <x v="2"/>
  </r>
  <r>
    <x v="108"/>
    <x v="9"/>
    <s v="Female"/>
    <x v="3"/>
    <x v="2"/>
    <s v="Low"/>
    <s v="In a Relationship"/>
    <s v="With Family"/>
    <x v="1"/>
    <x v="3"/>
    <x v="1"/>
    <n v="0.93"/>
    <n v="4.6900000000000004"/>
    <n v="0.39"/>
    <n v="2.3199999999999998"/>
    <n v="6"/>
    <n v="5"/>
    <n v="1"/>
    <n v="8.6"/>
    <s v="Yes"/>
    <n v="7.4"/>
    <n v="10"/>
    <n v="5.6"/>
    <n v="4.5999999999999996"/>
    <n v="2.2999999999999998"/>
    <n v="4.2"/>
    <n v="8.1"/>
    <x v="1"/>
    <s v="No"/>
    <x v="0"/>
    <x v="2"/>
    <x v="0"/>
    <x v="0"/>
  </r>
  <r>
    <x v="109"/>
    <x v="18"/>
    <s v="Female"/>
    <x v="1"/>
    <x v="3"/>
    <s v="Lower-Middle"/>
    <s v="In a Relationship"/>
    <s v="With Family"/>
    <x v="4"/>
    <x v="1"/>
    <x v="1"/>
    <n v="3.44"/>
    <n v="0"/>
    <n v="3.64"/>
    <n v="8.86"/>
    <n v="0"/>
    <n v="10"/>
    <n v="8"/>
    <n v="3.8"/>
    <s v="Yes"/>
    <n v="6.8"/>
    <n v="3.2"/>
    <n v="2.7"/>
    <n v="7.2"/>
    <n v="4.9000000000000004"/>
    <n v="9.6999999999999993"/>
    <n v="3.3"/>
    <x v="1"/>
    <s v="No"/>
    <x v="2"/>
    <x v="2"/>
    <x v="2"/>
    <x v="2"/>
  </r>
  <r>
    <x v="110"/>
    <x v="20"/>
    <s v="Female"/>
    <x v="3"/>
    <x v="2"/>
    <s v="Lower-Middle"/>
    <s v="Single"/>
    <s v="With Roommates"/>
    <x v="4"/>
    <x v="0"/>
    <x v="4"/>
    <n v="0.82"/>
    <n v="2.7"/>
    <n v="1.86"/>
    <n v="3.37"/>
    <n v="3"/>
    <n v="2.7"/>
    <n v="2.5"/>
    <n v="8.1"/>
    <s v="No"/>
    <n v="6.8"/>
    <n v="8.6999999999999993"/>
    <n v="3.1"/>
    <n v="2.1"/>
    <n v="5.2"/>
    <n v="6.1"/>
    <n v="6"/>
    <x v="1"/>
    <s v="No"/>
    <x v="0"/>
    <x v="2"/>
    <x v="0"/>
    <x v="1"/>
  </r>
  <r>
    <x v="111"/>
    <x v="16"/>
    <s v="Female"/>
    <x v="3"/>
    <x v="2"/>
    <s v="Lower-Middle"/>
    <s v="Married"/>
    <s v="With Roommates"/>
    <x v="2"/>
    <x v="0"/>
    <x v="2"/>
    <n v="1.39"/>
    <n v="4.58"/>
    <n v="1.57"/>
    <n v="4.62"/>
    <n v="7"/>
    <n v="1"/>
    <n v="1.3"/>
    <n v="8.8000000000000007"/>
    <s v="Yes"/>
    <n v="8"/>
    <n v="8.5"/>
    <n v="6.8"/>
    <n v="3.4"/>
    <n v="1.1000000000000001"/>
    <n v="5.4"/>
    <n v="7"/>
    <x v="0"/>
    <s v="Yes"/>
    <x v="0"/>
    <x v="2"/>
    <x v="1"/>
    <x v="1"/>
  </r>
  <r>
    <x v="112"/>
    <x v="5"/>
    <s v="Female"/>
    <x v="0"/>
    <x v="2"/>
    <s v="High"/>
    <s v="Single"/>
    <s v="Alone"/>
    <x v="0"/>
    <x v="1"/>
    <x v="4"/>
    <n v="3.71"/>
    <n v="4.0999999999999996"/>
    <n v="2.37"/>
    <n v="6.27"/>
    <n v="3"/>
    <n v="6.2"/>
    <n v="6"/>
    <n v="5.5"/>
    <s v="No"/>
    <n v="6.5"/>
    <n v="4.2"/>
    <n v="1.2"/>
    <n v="3.9"/>
    <n v="5.8"/>
    <n v="6.3"/>
    <n v="6.5"/>
    <x v="2"/>
    <s v="Yes"/>
    <x v="1"/>
    <x v="0"/>
    <x v="2"/>
    <x v="2"/>
  </r>
  <r>
    <x v="113"/>
    <x v="6"/>
    <s v="Male"/>
    <x v="1"/>
    <x v="0"/>
    <s v="Upper-Middle"/>
    <s v="Single"/>
    <s v="With Roommates"/>
    <x v="3"/>
    <x v="0"/>
    <x v="4"/>
    <n v="2.15"/>
    <n v="4.6399999999999997"/>
    <n v="2.63"/>
    <n v="5.47"/>
    <n v="6"/>
    <n v="6.8"/>
    <n v="5.8"/>
    <n v="7.6"/>
    <s v="No"/>
    <n v="9.8000000000000007"/>
    <n v="8.6999999999999993"/>
    <n v="5.5"/>
    <n v="3.6"/>
    <n v="2.2000000000000002"/>
    <n v="4.5"/>
    <n v="6.7"/>
    <x v="2"/>
    <s v="No"/>
    <x v="1"/>
    <x v="2"/>
    <x v="1"/>
    <x v="2"/>
  </r>
  <r>
    <x v="114"/>
    <x v="24"/>
    <s v="Female"/>
    <x v="1"/>
    <x v="2"/>
    <s v="Lower-Middle"/>
    <s v="In a Relationship"/>
    <s v="With Roommates"/>
    <x v="0"/>
    <x v="0"/>
    <x v="1"/>
    <n v="2.29"/>
    <n v="3.52"/>
    <n v="3.69"/>
    <n v="8.84"/>
    <n v="5"/>
    <n v="5"/>
    <n v="5.5"/>
    <n v="5.8"/>
    <s v="No"/>
    <n v="7.4"/>
    <n v="8.1"/>
    <n v="0.8"/>
    <n v="2.5"/>
    <n v="3.1"/>
    <n v="2"/>
    <n v="5"/>
    <x v="1"/>
    <s v="No"/>
    <x v="0"/>
    <x v="1"/>
    <x v="1"/>
    <x v="0"/>
  </r>
  <r>
    <x v="115"/>
    <x v="29"/>
    <s v="Female"/>
    <x v="1"/>
    <x v="2"/>
    <s v="Upper-Middle"/>
    <s v="In a Relationship"/>
    <s v="With Family"/>
    <x v="3"/>
    <x v="0"/>
    <x v="4"/>
    <n v="0.69"/>
    <n v="4.6100000000000003"/>
    <n v="0.06"/>
    <n v="3.49"/>
    <n v="6"/>
    <n v="3.6"/>
    <n v="1"/>
    <n v="8.3000000000000007"/>
    <s v="No"/>
    <n v="6.5"/>
    <n v="7.7"/>
    <n v="3.6"/>
    <n v="4.0999999999999996"/>
    <n v="1"/>
    <n v="2.2000000000000002"/>
    <n v="7.5"/>
    <x v="0"/>
    <s v="Yes"/>
    <x v="0"/>
    <x v="1"/>
    <x v="0"/>
    <x v="0"/>
  </r>
  <r>
    <x v="116"/>
    <x v="27"/>
    <s v="Female"/>
    <x v="1"/>
    <x v="0"/>
    <s v="Low"/>
    <s v="Married"/>
    <s v="With Family"/>
    <x v="3"/>
    <x v="4"/>
    <x v="3"/>
    <n v="0.53"/>
    <n v="3.86"/>
    <n v="0.48"/>
    <n v="2.73"/>
    <n v="3"/>
    <n v="4.7"/>
    <n v="5.6"/>
    <n v="4.4000000000000004"/>
    <s v="No"/>
    <n v="8.5"/>
    <n v="7.5"/>
    <n v="3.7"/>
    <n v="5.4"/>
    <n v="2.2999999999999998"/>
    <n v="4.5"/>
    <n v="4.0999999999999996"/>
    <x v="0"/>
    <s v="No"/>
    <x v="0"/>
    <x v="1"/>
    <x v="0"/>
    <x v="0"/>
  </r>
  <r>
    <x v="117"/>
    <x v="3"/>
    <s v="Male"/>
    <x v="1"/>
    <x v="1"/>
    <s v="Low"/>
    <s v="Single"/>
    <s v="With Family"/>
    <x v="3"/>
    <x v="3"/>
    <x v="1"/>
    <n v="0"/>
    <n v="6.06"/>
    <n v="1.68"/>
    <n v="3.74"/>
    <n v="7"/>
    <n v="1"/>
    <n v="1"/>
    <n v="10"/>
    <s v="No"/>
    <n v="9.4"/>
    <n v="10"/>
    <n v="6.8"/>
    <n v="2.2999999999999998"/>
    <n v="1"/>
    <n v="1.1000000000000001"/>
    <n v="9.4"/>
    <x v="0"/>
    <s v="No"/>
    <x v="0"/>
    <x v="1"/>
    <x v="0"/>
    <x v="1"/>
  </r>
  <r>
    <x v="118"/>
    <x v="6"/>
    <s v="Male"/>
    <x v="2"/>
    <x v="2"/>
    <s v="Low"/>
    <s v="Single"/>
    <s v="With Family"/>
    <x v="1"/>
    <x v="3"/>
    <x v="1"/>
    <n v="2.7"/>
    <n v="3.92"/>
    <n v="1.26"/>
    <n v="6.16"/>
    <n v="5"/>
    <n v="6.6"/>
    <n v="4.4000000000000004"/>
    <n v="8.5"/>
    <s v="No"/>
    <n v="6.9"/>
    <n v="6.6"/>
    <n v="0.9"/>
    <n v="4.4000000000000004"/>
    <n v="5.0999999999999996"/>
    <n v="4.4000000000000004"/>
    <n v="6.2"/>
    <x v="2"/>
    <s v="No"/>
    <x v="0"/>
    <x v="2"/>
    <x v="2"/>
    <x v="2"/>
  </r>
  <r>
    <x v="119"/>
    <x v="10"/>
    <s v="Male"/>
    <x v="0"/>
    <x v="1"/>
    <s v="Lower-Middle"/>
    <s v="Married"/>
    <s v="With Roommates"/>
    <x v="3"/>
    <x v="3"/>
    <x v="1"/>
    <n v="4.21"/>
    <n v="2.54"/>
    <n v="3.42"/>
    <n v="10.08"/>
    <n v="2"/>
    <n v="8.3000000000000007"/>
    <n v="6.6"/>
    <n v="4.5"/>
    <s v="Yes"/>
    <n v="5.7"/>
    <n v="6.3"/>
    <n v="4"/>
    <n v="6.1"/>
    <n v="6.1"/>
    <n v="7.6"/>
    <n v="3.8"/>
    <x v="2"/>
    <s v="Yes"/>
    <x v="2"/>
    <x v="2"/>
    <x v="3"/>
    <x v="2"/>
  </r>
  <r>
    <x v="120"/>
    <x v="7"/>
    <s v="Male"/>
    <x v="1"/>
    <x v="1"/>
    <s v="Lower-Middle"/>
    <s v="In a Relationship"/>
    <s v="With Partner"/>
    <x v="3"/>
    <x v="3"/>
    <x v="4"/>
    <n v="0.05"/>
    <n v="4.2699999999999996"/>
    <n v="1.34"/>
    <n v="3.74"/>
    <n v="8"/>
    <n v="1.8"/>
    <n v="1"/>
    <n v="9.4"/>
    <s v="No"/>
    <n v="7"/>
    <n v="7.9"/>
    <n v="7.2"/>
    <n v="1"/>
    <n v="1"/>
    <n v="2.2000000000000002"/>
    <n v="9.5"/>
    <x v="0"/>
    <s v="No"/>
    <x v="0"/>
    <x v="2"/>
    <x v="0"/>
    <x v="1"/>
  </r>
  <r>
    <x v="121"/>
    <x v="20"/>
    <s v="Female"/>
    <x v="1"/>
    <x v="0"/>
    <s v="Upper-Middle"/>
    <s v="Single"/>
    <s v="With Partner"/>
    <x v="3"/>
    <x v="1"/>
    <x v="4"/>
    <n v="1.25"/>
    <n v="4.24"/>
    <n v="2.0299999999999998"/>
    <n v="3.95"/>
    <n v="4"/>
    <n v="2.1"/>
    <n v="3.8"/>
    <n v="7.2"/>
    <s v="No"/>
    <n v="7.7"/>
    <n v="6.8"/>
    <n v="7.3"/>
    <n v="2.1"/>
    <n v="1.6"/>
    <n v="4.4000000000000004"/>
    <n v="5.7"/>
    <x v="1"/>
    <s v="No"/>
    <x v="0"/>
    <x v="2"/>
    <x v="1"/>
    <x v="1"/>
  </r>
  <r>
    <x v="122"/>
    <x v="18"/>
    <s v="Female"/>
    <x v="0"/>
    <x v="1"/>
    <s v="High"/>
    <s v="In a Relationship"/>
    <s v="With Roommates"/>
    <x v="3"/>
    <x v="3"/>
    <x v="0"/>
    <n v="1.24"/>
    <n v="4.9400000000000004"/>
    <n v="1.55"/>
    <n v="2.34"/>
    <n v="4"/>
    <n v="5.6"/>
    <n v="2.9"/>
    <n v="7.7"/>
    <s v="Yes"/>
    <n v="7"/>
    <n v="8.1"/>
    <n v="6.1"/>
    <n v="4.5"/>
    <n v="2.6"/>
    <n v="4.5"/>
    <n v="6.4"/>
    <x v="0"/>
    <s v="No"/>
    <x v="0"/>
    <x v="2"/>
    <x v="1"/>
    <x v="0"/>
  </r>
  <r>
    <x v="123"/>
    <x v="18"/>
    <s v="Male"/>
    <x v="0"/>
    <x v="2"/>
    <s v="Lower-Middle"/>
    <s v="In a Relationship"/>
    <s v="With Family"/>
    <x v="2"/>
    <x v="0"/>
    <x v="1"/>
    <n v="0"/>
    <n v="6.65"/>
    <n v="1.06"/>
    <n v="2.04"/>
    <n v="4"/>
    <n v="1"/>
    <n v="1"/>
    <n v="9.3000000000000007"/>
    <s v="No"/>
    <n v="7.3"/>
    <n v="9.6"/>
    <n v="4.7"/>
    <n v="5.5"/>
    <n v="1"/>
    <n v="1.9"/>
    <n v="10"/>
    <x v="0"/>
    <s v="Yes"/>
    <x v="0"/>
    <x v="2"/>
    <x v="0"/>
    <x v="1"/>
  </r>
  <r>
    <x v="124"/>
    <x v="18"/>
    <s v="Prefer not to say"/>
    <x v="0"/>
    <x v="1"/>
    <s v="Lower-Middle"/>
    <s v="In a Relationship"/>
    <s v="With Family"/>
    <x v="1"/>
    <x v="1"/>
    <x v="1"/>
    <n v="0"/>
    <n v="5.43"/>
    <n v="2.97"/>
    <n v="4.8099999999999996"/>
    <n v="7"/>
    <n v="1"/>
    <n v="1"/>
    <n v="9.6"/>
    <s v="No"/>
    <n v="9.1"/>
    <n v="8.6999999999999993"/>
    <n v="4.9000000000000004"/>
    <n v="1"/>
    <n v="1"/>
    <n v="2.8"/>
    <n v="10"/>
    <x v="0"/>
    <s v="No"/>
    <x v="0"/>
    <x v="2"/>
    <x v="0"/>
    <x v="1"/>
  </r>
  <r>
    <x v="125"/>
    <x v="29"/>
    <s v="Female"/>
    <x v="4"/>
    <x v="0"/>
    <s v="Low"/>
    <s v="In a Relationship"/>
    <s v="With Roommates"/>
    <x v="3"/>
    <x v="3"/>
    <x v="4"/>
    <n v="0"/>
    <n v="5.5"/>
    <n v="3.1"/>
    <n v="6.06"/>
    <n v="7"/>
    <n v="2.2000000000000002"/>
    <n v="1.1000000000000001"/>
    <n v="9"/>
    <s v="No"/>
    <n v="9.1999999999999993"/>
    <n v="9.6999999999999993"/>
    <n v="4.8"/>
    <n v="2.8"/>
    <n v="3.4"/>
    <n v="1.5"/>
    <n v="8.9"/>
    <x v="0"/>
    <s v="No"/>
    <x v="0"/>
    <x v="1"/>
    <x v="0"/>
    <x v="1"/>
  </r>
  <r>
    <x v="126"/>
    <x v="26"/>
    <s v="Male"/>
    <x v="0"/>
    <x v="1"/>
    <s v="Low"/>
    <s v="Married"/>
    <s v="Alone"/>
    <x v="2"/>
    <x v="1"/>
    <x v="1"/>
    <n v="0.34"/>
    <n v="4.83"/>
    <n v="1.56"/>
    <n v="4.1399999999999997"/>
    <n v="3"/>
    <n v="4.3"/>
    <n v="2.5"/>
    <n v="7.2"/>
    <s v="No"/>
    <n v="6.7"/>
    <n v="5.6"/>
    <n v="7.6"/>
    <n v="3.8"/>
    <n v="4.2"/>
    <n v="4.2"/>
    <n v="6.3"/>
    <x v="1"/>
    <s v="No"/>
    <x v="0"/>
    <x v="0"/>
    <x v="0"/>
    <x v="0"/>
  </r>
  <r>
    <x v="127"/>
    <x v="2"/>
    <s v="Male"/>
    <x v="2"/>
    <x v="2"/>
    <s v="Lower-Middle"/>
    <s v="Married"/>
    <s v="Alone"/>
    <x v="4"/>
    <x v="0"/>
    <x v="3"/>
    <n v="3.69"/>
    <n v="2.59"/>
    <n v="4.7"/>
    <n v="10.92"/>
    <n v="3"/>
    <n v="8.6"/>
    <n v="9.6999999999999993"/>
    <n v="3.7"/>
    <s v="Yes"/>
    <n v="6.9"/>
    <n v="2.9"/>
    <n v="2.7"/>
    <n v="7.3"/>
    <n v="6.9"/>
    <n v="7.3"/>
    <n v="5.3"/>
    <x v="1"/>
    <s v="No"/>
    <x v="2"/>
    <x v="2"/>
    <x v="2"/>
    <x v="2"/>
  </r>
  <r>
    <x v="128"/>
    <x v="3"/>
    <s v="Male"/>
    <x v="4"/>
    <x v="2"/>
    <s v="Lower-Middle"/>
    <s v="In a Relationship"/>
    <s v="With Roommates"/>
    <x v="2"/>
    <x v="0"/>
    <x v="3"/>
    <n v="0.54"/>
    <n v="3.92"/>
    <n v="1.48"/>
    <n v="3.13"/>
    <n v="6"/>
    <n v="1"/>
    <n v="1"/>
    <n v="9.1999999999999993"/>
    <s v="No"/>
    <n v="8.3000000000000007"/>
    <n v="8.9"/>
    <n v="6"/>
    <n v="2.7"/>
    <n v="3.6"/>
    <n v="1"/>
    <n v="7.9"/>
    <x v="0"/>
    <s v="No"/>
    <x v="0"/>
    <x v="1"/>
    <x v="0"/>
    <x v="1"/>
  </r>
  <r>
    <x v="129"/>
    <x v="29"/>
    <s v="Male"/>
    <x v="1"/>
    <x v="0"/>
    <s v="Upper-Middle"/>
    <s v="Single"/>
    <s v="With Roommates"/>
    <x v="3"/>
    <x v="3"/>
    <x v="2"/>
    <n v="3.86"/>
    <n v="4.6900000000000004"/>
    <n v="2.77"/>
    <n v="8.57"/>
    <n v="4"/>
    <n v="5.0999999999999996"/>
    <n v="6.1"/>
    <n v="5.9"/>
    <s v="No"/>
    <n v="7.1"/>
    <n v="8.1999999999999993"/>
    <n v="5.7"/>
    <n v="3.7"/>
    <n v="4.3"/>
    <n v="4.9000000000000004"/>
    <n v="6.7"/>
    <x v="1"/>
    <s v="No"/>
    <x v="2"/>
    <x v="1"/>
    <x v="2"/>
    <x v="0"/>
  </r>
  <r>
    <x v="130"/>
    <x v="19"/>
    <s v="Male"/>
    <x v="2"/>
    <x v="1"/>
    <s v="Low"/>
    <s v="Married"/>
    <s v="With Partner"/>
    <x v="2"/>
    <x v="3"/>
    <x v="4"/>
    <n v="2"/>
    <n v="4.51"/>
    <n v="1.81"/>
    <n v="5.87"/>
    <n v="3"/>
    <n v="4.0999999999999996"/>
    <n v="5.8"/>
    <n v="4.9000000000000004"/>
    <s v="No"/>
    <n v="6.1"/>
    <n v="9.1999999999999993"/>
    <n v="2"/>
    <n v="4.4000000000000004"/>
    <n v="7.3"/>
    <n v="6.2"/>
    <n v="4.9000000000000004"/>
    <x v="1"/>
    <s v="No"/>
    <x v="1"/>
    <x v="3"/>
    <x v="1"/>
    <x v="0"/>
  </r>
  <r>
    <x v="131"/>
    <x v="20"/>
    <s v="Male"/>
    <x v="1"/>
    <x v="1"/>
    <s v="Low"/>
    <s v="In a Relationship"/>
    <s v="With Family"/>
    <x v="3"/>
    <x v="4"/>
    <x v="4"/>
    <n v="2.84"/>
    <n v="2.39"/>
    <n v="4.62"/>
    <n v="8.6999999999999993"/>
    <n v="2"/>
    <n v="10"/>
    <n v="8.9"/>
    <n v="3.3"/>
    <s v="No"/>
    <n v="5.6"/>
    <n v="4.0999999999999996"/>
    <n v="2.8"/>
    <n v="9.3000000000000007"/>
    <n v="9.1999999999999993"/>
    <n v="7.3"/>
    <n v="2.2000000000000002"/>
    <x v="2"/>
    <s v="Yes"/>
    <x v="2"/>
    <x v="2"/>
    <x v="2"/>
    <x v="2"/>
  </r>
  <r>
    <x v="132"/>
    <x v="0"/>
    <s v="Male"/>
    <x v="3"/>
    <x v="2"/>
    <s v="Lower-Middle"/>
    <s v="In a Relationship"/>
    <s v="With Roommates"/>
    <x v="3"/>
    <x v="0"/>
    <x v="2"/>
    <n v="1.98"/>
    <n v="3.41"/>
    <n v="2.76"/>
    <n v="5.68"/>
    <n v="5"/>
    <n v="6.6"/>
    <n v="5.4"/>
    <n v="5.9"/>
    <s v="No"/>
    <n v="5.6"/>
    <n v="5.2"/>
    <n v="4.0999999999999996"/>
    <n v="6.3"/>
    <n v="4.8"/>
    <n v="3.8"/>
    <n v="4.5"/>
    <x v="2"/>
    <s v="Yes"/>
    <x v="1"/>
    <x v="0"/>
    <x v="1"/>
    <x v="2"/>
  </r>
  <r>
    <x v="133"/>
    <x v="26"/>
    <s v="Male"/>
    <x v="1"/>
    <x v="2"/>
    <s v="Low"/>
    <s v="Single"/>
    <s v="With Partner"/>
    <x v="3"/>
    <x v="3"/>
    <x v="0"/>
    <n v="2.21"/>
    <n v="1.53"/>
    <n v="2.75"/>
    <n v="6.73"/>
    <n v="3"/>
    <n v="7.1"/>
    <n v="5.4"/>
    <n v="6.6"/>
    <s v="Yes"/>
    <n v="5.5"/>
    <n v="5.6"/>
    <n v="4.7"/>
    <n v="6.1"/>
    <n v="6.3"/>
    <n v="5"/>
    <n v="4.7"/>
    <x v="1"/>
    <s v="No"/>
    <x v="2"/>
    <x v="0"/>
    <x v="1"/>
    <x v="2"/>
  </r>
  <r>
    <x v="134"/>
    <x v="10"/>
    <s v="Female"/>
    <x v="4"/>
    <x v="2"/>
    <s v="Low"/>
    <s v="Married"/>
    <s v="With Family"/>
    <x v="0"/>
    <x v="1"/>
    <x v="4"/>
    <n v="2.5299999999999998"/>
    <n v="4.01"/>
    <n v="2.4300000000000002"/>
    <n v="7.62"/>
    <n v="2"/>
    <n v="7.5"/>
    <n v="3.8"/>
    <n v="5"/>
    <s v="No"/>
    <n v="7"/>
    <n v="5.6"/>
    <n v="4.4000000000000004"/>
    <n v="6.5"/>
    <n v="5.2"/>
    <n v="4.5999999999999996"/>
    <n v="5.8"/>
    <x v="1"/>
    <s v="Yes"/>
    <x v="2"/>
    <x v="2"/>
    <x v="2"/>
    <x v="2"/>
  </r>
  <r>
    <x v="135"/>
    <x v="19"/>
    <s v="Male"/>
    <x v="4"/>
    <x v="1"/>
    <s v="Upper-Middle"/>
    <s v="In a Relationship"/>
    <s v="With Roommates"/>
    <x v="3"/>
    <x v="4"/>
    <x v="1"/>
    <n v="0.68"/>
    <n v="6.5"/>
    <n v="2.58"/>
    <n v="4.3499999999999996"/>
    <n v="3"/>
    <n v="5.4"/>
    <n v="2.5"/>
    <n v="7.1"/>
    <s v="No"/>
    <n v="7.2"/>
    <n v="9.9"/>
    <n v="5"/>
    <n v="3.4"/>
    <n v="1"/>
    <n v="4"/>
    <n v="6.2"/>
    <x v="0"/>
    <s v="No"/>
    <x v="0"/>
    <x v="3"/>
    <x v="0"/>
    <x v="0"/>
  </r>
  <r>
    <x v="136"/>
    <x v="15"/>
    <s v="Female"/>
    <x v="3"/>
    <x v="0"/>
    <s v="Low"/>
    <s v="Single"/>
    <s v="With Family"/>
    <x v="3"/>
    <x v="1"/>
    <x v="4"/>
    <n v="1.05"/>
    <n v="3.52"/>
    <n v="1.1599999999999999"/>
    <n v="4"/>
    <n v="6"/>
    <n v="5.9"/>
    <n v="3.5"/>
    <n v="7"/>
    <s v="No"/>
    <n v="6.6"/>
    <n v="6.1"/>
    <n v="2.6"/>
    <n v="4.7"/>
    <n v="2.8"/>
    <n v="4.2"/>
    <n v="6.4"/>
    <x v="0"/>
    <s v="No"/>
    <x v="1"/>
    <x v="1"/>
    <x v="1"/>
    <x v="0"/>
  </r>
  <r>
    <x v="137"/>
    <x v="5"/>
    <s v="Male"/>
    <x v="3"/>
    <x v="1"/>
    <s v="Upper-Middle"/>
    <s v="Single"/>
    <s v="With Partner"/>
    <x v="3"/>
    <x v="1"/>
    <x v="4"/>
    <n v="3.57"/>
    <n v="4.12"/>
    <n v="2.86"/>
    <n v="9.7799999999999994"/>
    <n v="1"/>
    <n v="7.8"/>
    <n v="7.1"/>
    <n v="2.2999999999999998"/>
    <s v="Yes"/>
    <n v="5.0999999999999996"/>
    <n v="5.9"/>
    <n v="1.8"/>
    <n v="7.6"/>
    <n v="4.5999999999999996"/>
    <n v="5"/>
    <n v="4.0999999999999996"/>
    <x v="1"/>
    <s v="No"/>
    <x v="2"/>
    <x v="0"/>
    <x v="2"/>
    <x v="2"/>
  </r>
  <r>
    <x v="138"/>
    <x v="10"/>
    <s v="Prefer not to say"/>
    <x v="1"/>
    <x v="2"/>
    <s v="Lower-Middle"/>
    <s v="Married"/>
    <s v="With Family"/>
    <x v="0"/>
    <x v="1"/>
    <x v="1"/>
    <n v="0"/>
    <n v="7.39"/>
    <n v="1.23"/>
    <n v="2.71"/>
    <n v="6"/>
    <n v="1"/>
    <n v="1"/>
    <n v="10"/>
    <s v="No"/>
    <n v="7.1"/>
    <n v="8.5"/>
    <n v="7.7"/>
    <n v="1"/>
    <n v="1"/>
    <n v="1"/>
    <n v="10"/>
    <x v="0"/>
    <s v="No"/>
    <x v="0"/>
    <x v="2"/>
    <x v="0"/>
    <x v="1"/>
  </r>
  <r>
    <x v="139"/>
    <x v="4"/>
    <s v="Male"/>
    <x v="1"/>
    <x v="2"/>
    <s v="Low"/>
    <s v="Single"/>
    <s v="Alone"/>
    <x v="2"/>
    <x v="3"/>
    <x v="4"/>
    <n v="0"/>
    <n v="3.61"/>
    <n v="1.67"/>
    <n v="3.68"/>
    <n v="3"/>
    <n v="2.9"/>
    <n v="1.4"/>
    <n v="4.7"/>
    <s v="No"/>
    <n v="5.7"/>
    <n v="7.2"/>
    <n v="7.6"/>
    <n v="3.6"/>
    <n v="3.5"/>
    <n v="3"/>
    <n v="5.3"/>
    <x v="1"/>
    <s v="No"/>
    <x v="0"/>
    <x v="1"/>
    <x v="0"/>
    <x v="1"/>
  </r>
  <r>
    <x v="140"/>
    <x v="8"/>
    <s v="Male"/>
    <x v="1"/>
    <x v="0"/>
    <s v="Lower-Middle"/>
    <s v="Divorced/Separated"/>
    <s v="With Family"/>
    <x v="3"/>
    <x v="2"/>
    <x v="2"/>
    <n v="0"/>
    <n v="5.07"/>
    <n v="1.05"/>
    <n v="2.95"/>
    <n v="6"/>
    <n v="3"/>
    <n v="1"/>
    <n v="10"/>
    <s v="No"/>
    <n v="8"/>
    <n v="8.9"/>
    <n v="3.8"/>
    <n v="1.8"/>
    <n v="1"/>
    <n v="2.8"/>
    <n v="7.6"/>
    <x v="1"/>
    <s v="No"/>
    <x v="0"/>
    <x v="1"/>
    <x v="0"/>
    <x v="1"/>
  </r>
  <r>
    <x v="141"/>
    <x v="21"/>
    <s v="Non-binary"/>
    <x v="1"/>
    <x v="0"/>
    <s v="Upper-Middle"/>
    <s v="In a Relationship"/>
    <s v="With Roommates"/>
    <x v="1"/>
    <x v="0"/>
    <x v="1"/>
    <n v="1.87"/>
    <n v="2.35"/>
    <n v="3.77"/>
    <n v="7.45"/>
    <n v="7"/>
    <n v="6.4"/>
    <n v="4.3"/>
    <n v="7"/>
    <s v="No"/>
    <n v="4.5"/>
    <n v="6.6"/>
    <n v="1.8"/>
    <n v="4.0999999999999996"/>
    <n v="4.8"/>
    <n v="4.5999999999999996"/>
    <n v="3.5"/>
    <x v="1"/>
    <s v="No"/>
    <x v="0"/>
    <x v="1"/>
    <x v="1"/>
    <x v="2"/>
  </r>
  <r>
    <x v="142"/>
    <x v="5"/>
    <s v="Female"/>
    <x v="0"/>
    <x v="2"/>
    <s v="Lower-Middle"/>
    <s v="In a Relationship"/>
    <s v="With Family"/>
    <x v="1"/>
    <x v="0"/>
    <x v="4"/>
    <n v="1.39"/>
    <n v="4.4000000000000004"/>
    <n v="3.39"/>
    <n v="8.4499999999999993"/>
    <n v="5"/>
    <n v="3.2"/>
    <n v="4.3"/>
    <n v="3"/>
    <s v="No"/>
    <n v="7.7"/>
    <n v="7.3"/>
    <n v="2.1"/>
    <n v="3.6"/>
    <n v="3.4"/>
    <n v="4.7"/>
    <n v="6"/>
    <x v="1"/>
    <s v="No"/>
    <x v="0"/>
    <x v="0"/>
    <x v="1"/>
    <x v="0"/>
  </r>
  <r>
    <x v="143"/>
    <x v="12"/>
    <s v="Female"/>
    <x v="1"/>
    <x v="2"/>
    <s v="Upper-Middle"/>
    <s v="Single"/>
    <s v="With Family"/>
    <x v="2"/>
    <x v="2"/>
    <x v="4"/>
    <n v="2.02"/>
    <n v="3.76"/>
    <n v="1"/>
    <n v="5.33"/>
    <n v="2"/>
    <n v="7.2"/>
    <n v="6.1"/>
    <n v="6.4"/>
    <s v="Yes"/>
    <n v="7"/>
    <n v="5.6"/>
    <n v="2.1"/>
    <n v="5.6"/>
    <n v="6.3"/>
    <n v="6.4"/>
    <n v="4.3"/>
    <x v="1"/>
    <s v="Yes"/>
    <x v="1"/>
    <x v="3"/>
    <x v="1"/>
    <x v="2"/>
  </r>
  <r>
    <x v="144"/>
    <x v="12"/>
    <s v="Male"/>
    <x v="2"/>
    <x v="1"/>
    <s v="Low"/>
    <s v="Single"/>
    <s v="Alone"/>
    <x v="3"/>
    <x v="1"/>
    <x v="2"/>
    <n v="1.54"/>
    <n v="2.8"/>
    <n v="2.2599999999999998"/>
    <n v="4.2300000000000004"/>
    <n v="3"/>
    <n v="6"/>
    <n v="3.5"/>
    <n v="7.6"/>
    <s v="No"/>
    <n v="7"/>
    <n v="6.7"/>
    <n v="5.6"/>
    <n v="2.2000000000000002"/>
    <n v="3.9"/>
    <n v="5.5"/>
    <n v="6.8"/>
    <x v="1"/>
    <s v="No"/>
    <x v="1"/>
    <x v="3"/>
    <x v="1"/>
    <x v="0"/>
  </r>
  <r>
    <x v="145"/>
    <x v="19"/>
    <s v="Male"/>
    <x v="0"/>
    <x v="0"/>
    <s v="Upper-Middle"/>
    <s v="Married"/>
    <s v="With Partner"/>
    <x v="0"/>
    <x v="1"/>
    <x v="4"/>
    <n v="0"/>
    <n v="6.09"/>
    <n v="0"/>
    <n v="3.53"/>
    <n v="4"/>
    <n v="1"/>
    <n v="1"/>
    <n v="8.6999999999999993"/>
    <s v="No"/>
    <n v="8.1"/>
    <n v="7.5"/>
    <n v="7.8"/>
    <n v="2.2999999999999998"/>
    <n v="1"/>
    <n v="1"/>
    <n v="6.2"/>
    <x v="0"/>
    <s v="No"/>
    <x v="0"/>
    <x v="3"/>
    <x v="0"/>
    <x v="1"/>
  </r>
  <r>
    <x v="146"/>
    <x v="22"/>
    <s v="Female"/>
    <x v="3"/>
    <x v="2"/>
    <s v="Low"/>
    <s v="Single"/>
    <s v="With Family"/>
    <x v="3"/>
    <x v="1"/>
    <x v="3"/>
    <n v="0"/>
    <n v="6.29"/>
    <n v="0.61"/>
    <n v="2.89"/>
    <n v="5"/>
    <n v="1.9"/>
    <n v="1"/>
    <n v="7.5"/>
    <s v="No"/>
    <n v="7.8"/>
    <n v="9.9"/>
    <n v="2.7"/>
    <n v="2.6"/>
    <n v="1.8"/>
    <n v="2.1"/>
    <n v="9.6"/>
    <x v="1"/>
    <s v="No"/>
    <x v="0"/>
    <x v="2"/>
    <x v="0"/>
    <x v="1"/>
  </r>
  <r>
    <x v="147"/>
    <x v="25"/>
    <s v="Non-binary"/>
    <x v="1"/>
    <x v="2"/>
    <s v="Upper-Middle"/>
    <s v="Married"/>
    <s v="With Family"/>
    <x v="2"/>
    <x v="0"/>
    <x v="1"/>
    <n v="2.0299999999999998"/>
    <n v="4.66"/>
    <n v="2.4900000000000002"/>
    <n v="6.15"/>
    <n v="2"/>
    <n v="4.9000000000000004"/>
    <n v="4.0999999999999996"/>
    <n v="4.9000000000000004"/>
    <s v="No"/>
    <n v="7.2"/>
    <n v="7.5"/>
    <n v="2.2000000000000002"/>
    <n v="5.0999999999999996"/>
    <n v="4.2"/>
    <n v="6.3"/>
    <n v="5.4"/>
    <x v="1"/>
    <s v="No"/>
    <x v="2"/>
    <x v="3"/>
    <x v="1"/>
    <x v="0"/>
  </r>
  <r>
    <x v="148"/>
    <x v="23"/>
    <s v="Female"/>
    <x v="4"/>
    <x v="0"/>
    <s v="Lower-Middle"/>
    <s v="Single"/>
    <s v="With Roommates"/>
    <x v="3"/>
    <x v="3"/>
    <x v="3"/>
    <n v="0.55000000000000004"/>
    <n v="5.3"/>
    <n v="1.37"/>
    <n v="5.28"/>
    <n v="6"/>
    <n v="3.3"/>
    <n v="3.3"/>
    <n v="6.6"/>
    <s v="No"/>
    <n v="7.7"/>
    <n v="9.5"/>
    <n v="2.8"/>
    <n v="4"/>
    <n v="1"/>
    <n v="2.9"/>
    <n v="7.1"/>
    <x v="0"/>
    <s v="No"/>
    <x v="0"/>
    <x v="0"/>
    <x v="0"/>
    <x v="0"/>
  </r>
  <r>
    <x v="149"/>
    <x v="0"/>
    <s v="Female"/>
    <x v="4"/>
    <x v="0"/>
    <s v="High"/>
    <s v="Single"/>
    <s v="Alone"/>
    <x v="1"/>
    <x v="3"/>
    <x v="1"/>
    <n v="0.93"/>
    <n v="3.36"/>
    <n v="0.94"/>
    <n v="3.1"/>
    <n v="5"/>
    <n v="2.7"/>
    <n v="1.6"/>
    <n v="8.8000000000000007"/>
    <s v="Yes"/>
    <n v="8.5"/>
    <n v="9.6999999999999993"/>
    <n v="3.3"/>
    <n v="3.2"/>
    <n v="2.5"/>
    <n v="3.1"/>
    <n v="8.1999999999999993"/>
    <x v="1"/>
    <s v="No"/>
    <x v="0"/>
    <x v="0"/>
    <x v="0"/>
    <x v="1"/>
  </r>
  <r>
    <x v="150"/>
    <x v="7"/>
    <s v="Male"/>
    <x v="0"/>
    <x v="2"/>
    <s v="Lower-Middle"/>
    <s v="Single"/>
    <s v="With Partner"/>
    <x v="1"/>
    <x v="0"/>
    <x v="4"/>
    <n v="0.38"/>
    <n v="2.85"/>
    <n v="2.36"/>
    <n v="6.46"/>
    <n v="3"/>
    <n v="4.9000000000000004"/>
    <n v="6.7"/>
    <n v="3.5"/>
    <s v="Yes"/>
    <n v="7.7"/>
    <n v="5.3"/>
    <n v="2.5"/>
    <n v="5.8"/>
    <n v="5.4"/>
    <n v="6"/>
    <n v="5.8"/>
    <x v="2"/>
    <s v="No"/>
    <x v="2"/>
    <x v="2"/>
    <x v="0"/>
    <x v="0"/>
  </r>
  <r>
    <x v="151"/>
    <x v="26"/>
    <s v="Female"/>
    <x v="0"/>
    <x v="2"/>
    <s v="Low"/>
    <s v="In a Relationship"/>
    <s v="With Family"/>
    <x v="1"/>
    <x v="0"/>
    <x v="4"/>
    <n v="1.57"/>
    <n v="3.52"/>
    <n v="3.99"/>
    <n v="7.65"/>
    <n v="3"/>
    <n v="5.8"/>
    <n v="5.4"/>
    <n v="5.7"/>
    <s v="No"/>
    <n v="7.8"/>
    <n v="6.8"/>
    <n v="2.5"/>
    <n v="7.2"/>
    <n v="5.8"/>
    <n v="5.7"/>
    <n v="3.8"/>
    <x v="2"/>
    <s v="No"/>
    <x v="1"/>
    <x v="0"/>
    <x v="1"/>
    <x v="0"/>
  </r>
  <r>
    <x v="152"/>
    <x v="18"/>
    <s v="Male"/>
    <x v="3"/>
    <x v="2"/>
    <s v="Low"/>
    <s v="Divorced/Separated"/>
    <s v="With Roommates"/>
    <x v="3"/>
    <x v="4"/>
    <x v="4"/>
    <n v="2.92"/>
    <n v="3.48"/>
    <n v="5.83"/>
    <n v="11.76"/>
    <n v="0"/>
    <n v="7.9"/>
    <n v="7.2"/>
    <n v="2.2000000000000002"/>
    <s v="No"/>
    <n v="5"/>
    <n v="3.3"/>
    <n v="2.6"/>
    <n v="6.8"/>
    <n v="7.8"/>
    <n v="8.1999999999999993"/>
    <n v="1.8"/>
    <x v="2"/>
    <s v="No"/>
    <x v="2"/>
    <x v="2"/>
    <x v="2"/>
    <x v="2"/>
  </r>
  <r>
    <x v="153"/>
    <x v="0"/>
    <s v="Male"/>
    <x v="1"/>
    <x v="2"/>
    <s v="Upper-Middle"/>
    <s v="Single"/>
    <s v="With Family"/>
    <x v="0"/>
    <x v="0"/>
    <x v="1"/>
    <n v="1.26"/>
    <n v="4.3499999999999996"/>
    <n v="0.12"/>
    <n v="6.45"/>
    <n v="3"/>
    <n v="4.7"/>
    <n v="6"/>
    <n v="6.7"/>
    <s v="No"/>
    <n v="7.9"/>
    <n v="5.3"/>
    <n v="1.5"/>
    <n v="2.6"/>
    <n v="1"/>
    <n v="3.8"/>
    <n v="6.2"/>
    <x v="1"/>
    <s v="No"/>
    <x v="0"/>
    <x v="0"/>
    <x v="1"/>
    <x v="0"/>
  </r>
  <r>
    <x v="154"/>
    <x v="26"/>
    <s v="Male"/>
    <x v="0"/>
    <x v="2"/>
    <s v="Lower-Middle"/>
    <s v="Single"/>
    <s v="With Family"/>
    <x v="3"/>
    <x v="4"/>
    <x v="3"/>
    <n v="1.68"/>
    <n v="5.13"/>
    <n v="1.53"/>
    <n v="5.4"/>
    <n v="3"/>
    <n v="4"/>
    <n v="4.5"/>
    <n v="5.2"/>
    <s v="No"/>
    <n v="7.9"/>
    <n v="8.8000000000000007"/>
    <n v="4"/>
    <n v="3.8"/>
    <n v="1"/>
    <n v="1.5"/>
    <n v="6.4"/>
    <x v="1"/>
    <s v="No"/>
    <x v="1"/>
    <x v="0"/>
    <x v="1"/>
    <x v="0"/>
  </r>
  <r>
    <x v="155"/>
    <x v="5"/>
    <s v="Female"/>
    <x v="1"/>
    <x v="0"/>
    <s v="Upper-Middle"/>
    <s v="Single"/>
    <s v="With Roommates"/>
    <x v="2"/>
    <x v="0"/>
    <x v="4"/>
    <n v="1.95"/>
    <n v="2.61"/>
    <n v="3.65"/>
    <n v="7.5"/>
    <n v="2"/>
    <n v="6.3"/>
    <n v="4.8"/>
    <n v="3.7"/>
    <s v="No"/>
    <n v="6.1"/>
    <n v="6.6"/>
    <n v="5.5"/>
    <n v="5.8"/>
    <n v="3.7"/>
    <n v="7.1"/>
    <n v="3.5"/>
    <x v="2"/>
    <s v="No"/>
    <x v="1"/>
    <x v="0"/>
    <x v="1"/>
    <x v="2"/>
  </r>
  <r>
    <x v="156"/>
    <x v="15"/>
    <s v="Male"/>
    <x v="1"/>
    <x v="2"/>
    <s v="Low"/>
    <s v="In a Relationship"/>
    <s v="Alone"/>
    <x v="0"/>
    <x v="1"/>
    <x v="4"/>
    <n v="1.45"/>
    <n v="3.46"/>
    <n v="1.91"/>
    <n v="4.29"/>
    <n v="5"/>
    <n v="2.1"/>
    <n v="2.8"/>
    <n v="8.8000000000000007"/>
    <s v="No"/>
    <n v="6.6"/>
    <n v="7.5"/>
    <n v="6.8"/>
    <n v="4.5"/>
    <n v="2.9"/>
    <n v="4.7"/>
    <n v="7"/>
    <x v="1"/>
    <s v="No"/>
    <x v="0"/>
    <x v="1"/>
    <x v="1"/>
    <x v="1"/>
  </r>
  <r>
    <x v="157"/>
    <x v="14"/>
    <s v="Male"/>
    <x v="1"/>
    <x v="3"/>
    <s v="Lower-Middle"/>
    <s v="Single"/>
    <s v="With Roommates"/>
    <x v="1"/>
    <x v="2"/>
    <x v="1"/>
    <n v="1.33"/>
    <n v="3.3"/>
    <n v="0.86"/>
    <n v="4.07"/>
    <n v="8"/>
    <n v="2.5"/>
    <n v="1"/>
    <n v="6.9"/>
    <s v="No"/>
    <n v="7"/>
    <n v="7.4"/>
    <n v="7.1"/>
    <n v="1.4"/>
    <n v="4.2"/>
    <n v="4.3"/>
    <n v="6.2"/>
    <x v="1"/>
    <s v="No"/>
    <x v="0"/>
    <x v="3"/>
    <x v="1"/>
    <x v="1"/>
  </r>
  <r>
    <x v="158"/>
    <x v="19"/>
    <s v="Female"/>
    <x v="1"/>
    <x v="2"/>
    <s v="Low"/>
    <s v="Married"/>
    <s v="With Family"/>
    <x v="2"/>
    <x v="3"/>
    <x v="3"/>
    <n v="1.35"/>
    <n v="3.8"/>
    <n v="1.82"/>
    <n v="4.13"/>
    <n v="3"/>
    <n v="3.8"/>
    <n v="2.1"/>
    <n v="6.8"/>
    <s v="No"/>
    <n v="6.2"/>
    <n v="7.4"/>
    <n v="4.8"/>
    <n v="4"/>
    <n v="1.7"/>
    <n v="4.5"/>
    <n v="6.5"/>
    <x v="0"/>
    <s v="Yes"/>
    <x v="0"/>
    <x v="3"/>
    <x v="1"/>
    <x v="0"/>
  </r>
  <r>
    <x v="159"/>
    <x v="24"/>
    <s v="Male"/>
    <x v="1"/>
    <x v="1"/>
    <s v="High"/>
    <s v="In a Relationship"/>
    <s v="Alone"/>
    <x v="2"/>
    <x v="1"/>
    <x v="0"/>
    <n v="4.1100000000000003"/>
    <n v="4.24"/>
    <n v="4.45"/>
    <n v="10.38"/>
    <n v="1"/>
    <n v="8.6999999999999993"/>
    <n v="7.1"/>
    <n v="5"/>
    <s v="No"/>
    <n v="4.5999999999999996"/>
    <n v="3.1"/>
    <n v="1"/>
    <n v="6.4"/>
    <n v="6.7"/>
    <n v="7.4"/>
    <n v="4.9000000000000004"/>
    <x v="1"/>
    <s v="Yes"/>
    <x v="2"/>
    <x v="1"/>
    <x v="3"/>
    <x v="2"/>
  </r>
  <r>
    <x v="160"/>
    <x v="9"/>
    <s v="Female"/>
    <x v="1"/>
    <x v="2"/>
    <s v="Upper-Middle"/>
    <s v="In a Relationship"/>
    <s v="Alone"/>
    <x v="1"/>
    <x v="3"/>
    <x v="3"/>
    <n v="2.61"/>
    <n v="2.82"/>
    <n v="2.9"/>
    <n v="10.4"/>
    <n v="3"/>
    <n v="6.1"/>
    <n v="6.1"/>
    <n v="4.4000000000000004"/>
    <s v="Yes"/>
    <n v="7"/>
    <n v="5.8"/>
    <n v="3.4"/>
    <n v="6.9"/>
    <n v="5.4"/>
    <n v="5.2"/>
    <n v="4.5"/>
    <x v="2"/>
    <s v="No"/>
    <x v="2"/>
    <x v="2"/>
    <x v="2"/>
    <x v="2"/>
  </r>
  <r>
    <x v="161"/>
    <x v="9"/>
    <s v="Male"/>
    <x v="2"/>
    <x v="1"/>
    <s v="High"/>
    <s v="Single"/>
    <s v="With Partner"/>
    <x v="0"/>
    <x v="0"/>
    <x v="1"/>
    <n v="2.44"/>
    <n v="3.47"/>
    <n v="3.26"/>
    <n v="7.82"/>
    <n v="2"/>
    <n v="7.2"/>
    <n v="6.3"/>
    <n v="4.0999999999999996"/>
    <s v="Yes"/>
    <n v="6.5"/>
    <n v="3.9"/>
    <n v="6.8"/>
    <n v="7.7"/>
    <n v="4.5999999999999996"/>
    <n v="4.0999999999999996"/>
    <n v="3.6"/>
    <x v="1"/>
    <s v="Yes"/>
    <x v="2"/>
    <x v="2"/>
    <x v="1"/>
    <x v="2"/>
  </r>
  <r>
    <x v="162"/>
    <x v="16"/>
    <s v="Female"/>
    <x v="0"/>
    <x v="1"/>
    <s v="Lower-Middle"/>
    <s v="Divorced/Separated"/>
    <s v="With Family"/>
    <x v="3"/>
    <x v="0"/>
    <x v="3"/>
    <n v="3.9"/>
    <n v="2.79"/>
    <n v="4.09"/>
    <n v="9.44"/>
    <n v="2"/>
    <n v="9.6999999999999993"/>
    <n v="8.8000000000000007"/>
    <n v="4.4000000000000004"/>
    <s v="Yes"/>
    <n v="5.9"/>
    <n v="2.6"/>
    <n v="1.3"/>
    <n v="8.3000000000000007"/>
    <n v="7.5"/>
    <n v="9.6999999999999993"/>
    <n v="2.6"/>
    <x v="2"/>
    <s v="Yes"/>
    <x v="2"/>
    <x v="2"/>
    <x v="2"/>
    <x v="2"/>
  </r>
  <r>
    <x v="163"/>
    <x v="10"/>
    <s v="Female"/>
    <x v="2"/>
    <x v="2"/>
    <s v="Upper-Middle"/>
    <s v="Single"/>
    <s v="With Family"/>
    <x v="2"/>
    <x v="2"/>
    <x v="0"/>
    <n v="3.83"/>
    <n v="1.92"/>
    <n v="2.88"/>
    <n v="8.5"/>
    <n v="2"/>
    <n v="5.8"/>
    <n v="7.5"/>
    <n v="4.2"/>
    <s v="Yes"/>
    <n v="7.2"/>
    <n v="3.3"/>
    <n v="5.7"/>
    <n v="5.6"/>
    <n v="6.7"/>
    <n v="6.6"/>
    <n v="4.4000000000000004"/>
    <x v="1"/>
    <s v="No"/>
    <x v="2"/>
    <x v="2"/>
    <x v="2"/>
    <x v="0"/>
  </r>
  <r>
    <x v="164"/>
    <x v="25"/>
    <s v="Male"/>
    <x v="0"/>
    <x v="3"/>
    <s v="Upper-Middle"/>
    <s v="Single"/>
    <s v="With Family"/>
    <x v="2"/>
    <x v="3"/>
    <x v="2"/>
    <n v="0.41"/>
    <n v="4.8099999999999996"/>
    <n v="2.19"/>
    <n v="4.18"/>
    <n v="5"/>
    <n v="1.4"/>
    <n v="2.1"/>
    <n v="8.6999999999999993"/>
    <s v="No"/>
    <n v="7.6"/>
    <n v="10"/>
    <n v="1.7"/>
    <n v="1.3"/>
    <n v="1"/>
    <n v="1.1000000000000001"/>
    <n v="8"/>
    <x v="0"/>
    <s v="Yes"/>
    <x v="0"/>
    <x v="3"/>
    <x v="0"/>
    <x v="1"/>
  </r>
  <r>
    <x v="165"/>
    <x v="12"/>
    <s v="Male"/>
    <x v="1"/>
    <x v="0"/>
    <s v="Lower-Middle"/>
    <s v="In a Relationship"/>
    <s v="Alone"/>
    <x v="1"/>
    <x v="3"/>
    <x v="1"/>
    <n v="2.83"/>
    <n v="3.65"/>
    <n v="2.91"/>
    <n v="8.7899999999999991"/>
    <n v="2"/>
    <n v="7.1"/>
    <n v="5.3"/>
    <n v="5.5"/>
    <s v="No"/>
    <n v="7.1"/>
    <n v="5"/>
    <n v="3.8"/>
    <n v="5.8"/>
    <n v="6.3"/>
    <n v="5.3"/>
    <n v="3.6"/>
    <x v="1"/>
    <s v="No"/>
    <x v="1"/>
    <x v="3"/>
    <x v="2"/>
    <x v="2"/>
  </r>
  <r>
    <x v="166"/>
    <x v="15"/>
    <s v="Male"/>
    <x v="0"/>
    <x v="0"/>
    <s v="Upper-Middle"/>
    <s v="In a Relationship"/>
    <s v="With Family"/>
    <x v="3"/>
    <x v="0"/>
    <x v="4"/>
    <n v="2.12"/>
    <n v="3.31"/>
    <n v="2.5099999999999998"/>
    <n v="6.54"/>
    <n v="3"/>
    <n v="7.1"/>
    <n v="7.3"/>
    <n v="4"/>
    <s v="Yes"/>
    <n v="5.6"/>
    <n v="6.1"/>
    <n v="3.8"/>
    <n v="5.5"/>
    <n v="6"/>
    <n v="7.1"/>
    <n v="2.1"/>
    <x v="1"/>
    <s v="No"/>
    <x v="2"/>
    <x v="1"/>
    <x v="1"/>
    <x v="2"/>
  </r>
  <r>
    <x v="167"/>
    <x v="5"/>
    <s v="Male"/>
    <x v="0"/>
    <x v="1"/>
    <s v="High"/>
    <s v="Single"/>
    <s v="With Partner"/>
    <x v="1"/>
    <x v="0"/>
    <x v="4"/>
    <n v="3.48"/>
    <n v="1.29"/>
    <n v="5.38"/>
    <n v="12.47"/>
    <n v="5"/>
    <n v="7.3"/>
    <n v="6.8"/>
    <n v="5.7"/>
    <s v="No"/>
    <n v="5.9"/>
    <n v="4"/>
    <n v="3.8"/>
    <n v="5.6"/>
    <n v="4"/>
    <n v="6.4"/>
    <n v="5.5"/>
    <x v="1"/>
    <s v="No"/>
    <x v="2"/>
    <x v="0"/>
    <x v="2"/>
    <x v="2"/>
  </r>
  <r>
    <x v="168"/>
    <x v="13"/>
    <s v="Prefer not to say"/>
    <x v="1"/>
    <x v="1"/>
    <s v="High"/>
    <s v="Single"/>
    <s v="With Family"/>
    <x v="0"/>
    <x v="0"/>
    <x v="1"/>
    <n v="0.12"/>
    <n v="4.8099999999999996"/>
    <n v="2.23"/>
    <n v="4.03"/>
    <n v="5"/>
    <n v="4.5999999999999996"/>
    <n v="3.5"/>
    <n v="6.2"/>
    <s v="No"/>
    <n v="7.1"/>
    <n v="6.6"/>
    <n v="4.9000000000000004"/>
    <n v="3.2"/>
    <n v="3.4"/>
    <n v="3.8"/>
    <n v="5.3"/>
    <x v="1"/>
    <s v="No"/>
    <x v="0"/>
    <x v="2"/>
    <x v="0"/>
    <x v="0"/>
  </r>
  <r>
    <x v="169"/>
    <x v="22"/>
    <s v="Male"/>
    <x v="0"/>
    <x v="0"/>
    <s v="Upper-Middle"/>
    <s v="Married"/>
    <s v="With Partner"/>
    <x v="4"/>
    <x v="1"/>
    <x v="2"/>
    <n v="0.85"/>
    <n v="2.85"/>
    <n v="0.45"/>
    <n v="3.04"/>
    <n v="3"/>
    <n v="8.3000000000000007"/>
    <n v="3.6"/>
    <n v="6.2"/>
    <s v="No"/>
    <n v="8.5"/>
    <n v="6.2"/>
    <n v="4.0999999999999996"/>
    <n v="3.9"/>
    <n v="5.7"/>
    <n v="4.5999999999999996"/>
    <n v="6.7"/>
    <x v="1"/>
    <s v="No"/>
    <x v="1"/>
    <x v="2"/>
    <x v="0"/>
    <x v="2"/>
  </r>
  <r>
    <x v="170"/>
    <x v="12"/>
    <s v="Female"/>
    <x v="1"/>
    <x v="2"/>
    <s v="Lower-Middle"/>
    <s v="Single"/>
    <s v="With Family"/>
    <x v="1"/>
    <x v="3"/>
    <x v="1"/>
    <n v="1.77"/>
    <n v="3.5"/>
    <n v="3.73"/>
    <n v="6.61"/>
    <n v="5"/>
    <n v="3.1"/>
    <n v="5.9"/>
    <n v="6.6"/>
    <s v="No"/>
    <n v="8.1999999999999993"/>
    <n v="8.3000000000000007"/>
    <n v="4.9000000000000004"/>
    <n v="4.9000000000000004"/>
    <n v="5.7"/>
    <n v="4.3"/>
    <n v="5.6"/>
    <x v="2"/>
    <s v="No"/>
    <x v="0"/>
    <x v="3"/>
    <x v="1"/>
    <x v="0"/>
  </r>
  <r>
    <x v="171"/>
    <x v="19"/>
    <s v="Male"/>
    <x v="0"/>
    <x v="0"/>
    <s v="Lower-Middle"/>
    <s v="Married"/>
    <s v="With Roommates"/>
    <x v="2"/>
    <x v="1"/>
    <x v="4"/>
    <n v="0"/>
    <n v="5.48"/>
    <n v="2.77"/>
    <n v="4.3899999999999997"/>
    <n v="7"/>
    <n v="3.9"/>
    <n v="2.2999999999999998"/>
    <n v="7.7"/>
    <s v="No"/>
    <n v="8.6999999999999993"/>
    <n v="7.5"/>
    <n v="4.7"/>
    <n v="3.1"/>
    <n v="3.9"/>
    <n v="1"/>
    <n v="7.2"/>
    <x v="0"/>
    <s v="Yes"/>
    <x v="0"/>
    <x v="3"/>
    <x v="0"/>
    <x v="0"/>
  </r>
  <r>
    <x v="172"/>
    <x v="12"/>
    <s v="Female"/>
    <x v="0"/>
    <x v="2"/>
    <s v="High"/>
    <s v="In a Relationship"/>
    <s v="With Partner"/>
    <x v="4"/>
    <x v="4"/>
    <x v="2"/>
    <n v="1.42"/>
    <n v="6.33"/>
    <n v="2.23"/>
    <n v="3.92"/>
    <n v="5"/>
    <n v="3.6"/>
    <n v="1"/>
    <n v="7.6"/>
    <s v="Yes"/>
    <n v="6.3"/>
    <n v="7.3"/>
    <n v="4.5"/>
    <n v="5.0999999999999996"/>
    <n v="1.8"/>
    <n v="3.2"/>
    <n v="6.8"/>
    <x v="1"/>
    <s v="No"/>
    <x v="0"/>
    <x v="3"/>
    <x v="1"/>
    <x v="0"/>
  </r>
  <r>
    <x v="173"/>
    <x v="25"/>
    <s v="Female"/>
    <x v="1"/>
    <x v="1"/>
    <s v="Low"/>
    <s v="Single"/>
    <s v="With Family"/>
    <x v="3"/>
    <x v="0"/>
    <x v="2"/>
    <n v="1.07"/>
    <n v="3.03"/>
    <n v="3.84"/>
    <n v="4.7699999999999996"/>
    <n v="3"/>
    <n v="4.9000000000000004"/>
    <n v="8.6999999999999993"/>
    <n v="1.4"/>
    <s v="Yes"/>
    <n v="6.6"/>
    <n v="4.3"/>
    <n v="1.1000000000000001"/>
    <n v="5.4"/>
    <n v="4.7"/>
    <n v="5.6"/>
    <n v="4.8"/>
    <x v="2"/>
    <s v="No"/>
    <x v="1"/>
    <x v="3"/>
    <x v="1"/>
    <x v="0"/>
  </r>
  <r>
    <x v="174"/>
    <x v="3"/>
    <s v="Female"/>
    <x v="1"/>
    <x v="2"/>
    <s v="Upper-Middle"/>
    <s v="In a Relationship"/>
    <s v="With Partner"/>
    <x v="3"/>
    <x v="0"/>
    <x v="1"/>
    <n v="1.0900000000000001"/>
    <n v="6.18"/>
    <n v="3.75"/>
    <n v="7.47"/>
    <n v="5"/>
    <n v="1"/>
    <n v="1.8"/>
    <n v="9.4"/>
    <s v="No"/>
    <n v="8.4"/>
    <n v="8"/>
    <n v="6.2"/>
    <n v="1"/>
    <n v="2.1"/>
    <n v="5.3"/>
    <n v="6.7"/>
    <x v="0"/>
    <s v="No"/>
    <x v="0"/>
    <x v="1"/>
    <x v="1"/>
    <x v="1"/>
  </r>
  <r>
    <x v="175"/>
    <x v="28"/>
    <s v="Female"/>
    <x v="3"/>
    <x v="2"/>
    <s v="Upper-Middle"/>
    <s v="Single"/>
    <s v="Alone"/>
    <x v="2"/>
    <x v="0"/>
    <x v="3"/>
    <n v="1.1000000000000001"/>
    <n v="3.45"/>
    <n v="0.73"/>
    <n v="2.08"/>
    <n v="6"/>
    <n v="1.9"/>
    <n v="5.5"/>
    <n v="6"/>
    <s v="No"/>
    <n v="9.4"/>
    <n v="6.7"/>
    <n v="6.9"/>
    <n v="3.9"/>
    <n v="1.6"/>
    <n v="3.1"/>
    <n v="6.7"/>
    <x v="0"/>
    <s v="No"/>
    <x v="0"/>
    <x v="1"/>
    <x v="1"/>
    <x v="1"/>
  </r>
  <r>
    <x v="176"/>
    <x v="12"/>
    <s v="Male"/>
    <x v="0"/>
    <x v="2"/>
    <s v="Upper-Middle"/>
    <s v="Married"/>
    <s v="With Partner"/>
    <x v="0"/>
    <x v="1"/>
    <x v="1"/>
    <n v="2.57"/>
    <n v="3.3"/>
    <n v="3.39"/>
    <n v="8.3699999999999992"/>
    <n v="3"/>
    <n v="8.1"/>
    <n v="6.8"/>
    <n v="3.1"/>
    <s v="Yes"/>
    <n v="5"/>
    <n v="3.4"/>
    <n v="5.7"/>
    <n v="7.1"/>
    <n v="7"/>
    <n v="6.6"/>
    <n v="5.3"/>
    <x v="1"/>
    <s v="No"/>
    <x v="2"/>
    <x v="3"/>
    <x v="2"/>
    <x v="2"/>
  </r>
  <r>
    <x v="177"/>
    <x v="19"/>
    <s v="Male"/>
    <x v="1"/>
    <x v="0"/>
    <s v="High"/>
    <s v="In a Relationship"/>
    <s v="With Roommates"/>
    <x v="0"/>
    <x v="0"/>
    <x v="0"/>
    <n v="0"/>
    <n v="3.31"/>
    <n v="4.5999999999999996"/>
    <n v="6.1"/>
    <n v="2"/>
    <n v="6.6"/>
    <n v="4.5999999999999996"/>
    <n v="5.2"/>
    <s v="No"/>
    <n v="7.6"/>
    <n v="6.6"/>
    <n v="2.6"/>
    <n v="6.1"/>
    <n v="4.4000000000000004"/>
    <n v="7.1"/>
    <n v="4.5"/>
    <x v="1"/>
    <s v="No"/>
    <x v="1"/>
    <x v="3"/>
    <x v="0"/>
    <x v="2"/>
  </r>
  <r>
    <x v="178"/>
    <x v="25"/>
    <s v="Non-binary"/>
    <x v="2"/>
    <x v="2"/>
    <s v="Lower-Middle"/>
    <s v="Single"/>
    <s v="With Family"/>
    <x v="1"/>
    <x v="2"/>
    <x v="2"/>
    <n v="0.87"/>
    <n v="3.65"/>
    <n v="5.26"/>
    <n v="9.07"/>
    <n v="4"/>
    <n v="6.1"/>
    <n v="6.1"/>
    <n v="2.5"/>
    <s v="No"/>
    <n v="7.6"/>
    <n v="6.3"/>
    <n v="0.7"/>
    <n v="7.4"/>
    <n v="5.3"/>
    <n v="4.7"/>
    <n v="5.6"/>
    <x v="2"/>
    <s v="No"/>
    <x v="1"/>
    <x v="3"/>
    <x v="0"/>
    <x v="2"/>
  </r>
  <r>
    <x v="179"/>
    <x v="7"/>
    <s v="Female"/>
    <x v="1"/>
    <x v="2"/>
    <s v="Lower-Middle"/>
    <s v="In a Relationship"/>
    <s v="With Family"/>
    <x v="3"/>
    <x v="0"/>
    <x v="1"/>
    <n v="0.09"/>
    <n v="5.0599999999999996"/>
    <n v="0.9"/>
    <n v="1.28"/>
    <n v="8"/>
    <n v="1.9"/>
    <n v="1"/>
    <n v="9.1"/>
    <s v="No"/>
    <n v="8.3000000000000007"/>
    <n v="7.3"/>
    <n v="6"/>
    <n v="3.8"/>
    <n v="2.2000000000000002"/>
    <n v="2.2000000000000002"/>
    <n v="9.3000000000000007"/>
    <x v="0"/>
    <s v="No"/>
    <x v="0"/>
    <x v="2"/>
    <x v="0"/>
    <x v="1"/>
  </r>
  <r>
    <x v="180"/>
    <x v="9"/>
    <s v="Non-binary"/>
    <x v="0"/>
    <x v="3"/>
    <s v="Low"/>
    <s v="Divorced/Separated"/>
    <s v="With Family"/>
    <x v="1"/>
    <x v="2"/>
    <x v="3"/>
    <n v="2.0299999999999998"/>
    <n v="2.0499999999999998"/>
    <n v="5.0599999999999996"/>
    <n v="9.69"/>
    <n v="6"/>
    <n v="5.2"/>
    <n v="5.9"/>
    <n v="5.4"/>
    <s v="Yes"/>
    <n v="5.4"/>
    <n v="4.7"/>
    <n v="1.6"/>
    <n v="4.4000000000000004"/>
    <n v="5.3"/>
    <n v="5.3"/>
    <n v="5.8"/>
    <x v="2"/>
    <s v="No"/>
    <x v="1"/>
    <x v="2"/>
    <x v="1"/>
    <x v="0"/>
  </r>
  <r>
    <x v="181"/>
    <x v="28"/>
    <s v="Male"/>
    <x v="2"/>
    <x v="1"/>
    <s v="Lower-Middle"/>
    <s v="Single"/>
    <s v="With Family"/>
    <x v="3"/>
    <x v="1"/>
    <x v="0"/>
    <n v="1.22"/>
    <n v="3.84"/>
    <n v="2.64"/>
    <n v="6.2"/>
    <n v="4"/>
    <n v="3.3"/>
    <n v="5.3"/>
    <n v="6.7"/>
    <s v="No"/>
    <n v="7.7"/>
    <n v="7.6"/>
    <n v="5.6"/>
    <n v="5"/>
    <n v="3"/>
    <n v="1.9"/>
    <n v="7.5"/>
    <x v="0"/>
    <s v="No"/>
    <x v="0"/>
    <x v="1"/>
    <x v="1"/>
    <x v="0"/>
  </r>
  <r>
    <x v="182"/>
    <x v="0"/>
    <s v="Female"/>
    <x v="1"/>
    <x v="0"/>
    <s v="Lower-Middle"/>
    <s v="Married"/>
    <s v="With Family"/>
    <x v="3"/>
    <x v="2"/>
    <x v="1"/>
    <n v="0.12"/>
    <n v="3.48"/>
    <n v="2.98"/>
    <n v="5.46"/>
    <n v="4"/>
    <n v="2.2000000000000002"/>
    <n v="1"/>
    <n v="7.2"/>
    <s v="No"/>
    <n v="8.1"/>
    <n v="10"/>
    <n v="1.9"/>
    <n v="2.1"/>
    <n v="2.2000000000000002"/>
    <n v="3"/>
    <n v="5.8"/>
    <x v="0"/>
    <s v="No"/>
    <x v="0"/>
    <x v="0"/>
    <x v="0"/>
    <x v="1"/>
  </r>
  <r>
    <x v="183"/>
    <x v="22"/>
    <s v="Non-binary"/>
    <x v="1"/>
    <x v="1"/>
    <s v="Lower-Middle"/>
    <s v="Single"/>
    <s v="With Family"/>
    <x v="2"/>
    <x v="1"/>
    <x v="1"/>
    <n v="0.72"/>
    <n v="3.25"/>
    <n v="2.76"/>
    <n v="6.61"/>
    <n v="8"/>
    <n v="5.9"/>
    <n v="3.9"/>
    <n v="6.1"/>
    <s v="No"/>
    <n v="7.5"/>
    <n v="4"/>
    <n v="6.2"/>
    <n v="4.4000000000000004"/>
    <n v="2.8"/>
    <n v="5.5"/>
    <n v="5.5"/>
    <x v="1"/>
    <s v="No"/>
    <x v="0"/>
    <x v="2"/>
    <x v="0"/>
    <x v="0"/>
  </r>
  <r>
    <x v="184"/>
    <x v="26"/>
    <s v="Male"/>
    <x v="1"/>
    <x v="1"/>
    <s v="Upper-Middle"/>
    <s v="Single"/>
    <s v="Alone"/>
    <x v="3"/>
    <x v="2"/>
    <x v="2"/>
    <n v="1.33"/>
    <n v="2.98"/>
    <n v="4.17"/>
    <n v="7.57"/>
    <n v="4"/>
    <n v="6.5"/>
    <n v="6.9"/>
    <n v="4.0999999999999996"/>
    <s v="No"/>
    <n v="5.4"/>
    <n v="4.5999999999999996"/>
    <n v="2.6"/>
    <n v="7.5"/>
    <n v="5.8"/>
    <n v="8.3000000000000007"/>
    <n v="1.8"/>
    <x v="2"/>
    <s v="Yes"/>
    <x v="2"/>
    <x v="0"/>
    <x v="1"/>
    <x v="2"/>
  </r>
  <r>
    <x v="185"/>
    <x v="3"/>
    <s v="Male"/>
    <x v="1"/>
    <x v="1"/>
    <s v="High"/>
    <s v="Single"/>
    <s v="With Roommates"/>
    <x v="0"/>
    <x v="0"/>
    <x v="4"/>
    <n v="1.68"/>
    <n v="4.1500000000000004"/>
    <n v="4.34"/>
    <n v="5.58"/>
    <n v="5"/>
    <n v="4.7"/>
    <n v="3.4"/>
    <n v="4.7"/>
    <s v="Yes"/>
    <n v="6.5"/>
    <n v="8"/>
    <n v="1.6"/>
    <n v="2.6"/>
    <n v="5.3"/>
    <n v="5.8"/>
    <n v="6.2"/>
    <x v="1"/>
    <s v="No"/>
    <x v="1"/>
    <x v="1"/>
    <x v="1"/>
    <x v="0"/>
  </r>
  <r>
    <x v="186"/>
    <x v="3"/>
    <s v="Female"/>
    <x v="1"/>
    <x v="2"/>
    <s v="Low"/>
    <s v="Single"/>
    <s v="With Family"/>
    <x v="1"/>
    <x v="3"/>
    <x v="1"/>
    <n v="3.84"/>
    <n v="1.81"/>
    <n v="4.17"/>
    <n v="10.46"/>
    <n v="0"/>
    <n v="10"/>
    <n v="10"/>
    <n v="1.1000000000000001"/>
    <s v="Yes"/>
    <n v="5.9"/>
    <n v="1.7"/>
    <n v="1.8"/>
    <n v="10"/>
    <n v="7.5"/>
    <n v="8"/>
    <n v="1.9"/>
    <x v="2"/>
    <s v="No"/>
    <x v="2"/>
    <x v="1"/>
    <x v="2"/>
    <x v="2"/>
  </r>
  <r>
    <x v="187"/>
    <x v="7"/>
    <s v="Female"/>
    <x v="0"/>
    <x v="2"/>
    <s v="Lower-Middle"/>
    <s v="Single"/>
    <s v="With Family"/>
    <x v="2"/>
    <x v="2"/>
    <x v="2"/>
    <n v="0"/>
    <n v="8.08"/>
    <n v="2.34"/>
    <n v="4.66"/>
    <n v="6"/>
    <n v="1.4"/>
    <n v="1"/>
    <n v="8.1"/>
    <s v="No"/>
    <n v="7.8"/>
    <n v="9.8000000000000007"/>
    <n v="6.6"/>
    <n v="1"/>
    <n v="1.7"/>
    <n v="1"/>
    <n v="8.5"/>
    <x v="1"/>
    <s v="No"/>
    <x v="0"/>
    <x v="2"/>
    <x v="0"/>
    <x v="1"/>
  </r>
  <r>
    <x v="188"/>
    <x v="23"/>
    <s v="Female"/>
    <x v="1"/>
    <x v="2"/>
    <s v="High"/>
    <s v="Single"/>
    <s v="With Roommates"/>
    <x v="3"/>
    <x v="0"/>
    <x v="2"/>
    <n v="0"/>
    <n v="5.4"/>
    <n v="3.01"/>
    <n v="4.7699999999999996"/>
    <n v="5"/>
    <n v="1"/>
    <n v="1.7"/>
    <n v="10"/>
    <s v="No"/>
    <n v="7.5"/>
    <n v="9.6999999999999993"/>
    <n v="6.6"/>
    <n v="3.6"/>
    <n v="1.2"/>
    <n v="5.0999999999999996"/>
    <n v="8.6999999999999993"/>
    <x v="0"/>
    <s v="No"/>
    <x v="0"/>
    <x v="0"/>
    <x v="0"/>
    <x v="1"/>
  </r>
  <r>
    <x v="189"/>
    <x v="18"/>
    <s v="Male"/>
    <x v="0"/>
    <x v="0"/>
    <s v="Low"/>
    <s v="Married"/>
    <s v="With Family"/>
    <x v="3"/>
    <x v="0"/>
    <x v="1"/>
    <n v="1.99"/>
    <n v="3.18"/>
    <n v="5.19"/>
    <n v="8.33"/>
    <n v="5"/>
    <n v="6.1"/>
    <n v="7.8"/>
    <n v="2.9"/>
    <s v="Yes"/>
    <n v="5.9"/>
    <n v="4.0999999999999996"/>
    <n v="3.6"/>
    <n v="6.2"/>
    <n v="6.1"/>
    <n v="7.5"/>
    <n v="4.3"/>
    <x v="1"/>
    <s v="Yes"/>
    <x v="2"/>
    <x v="2"/>
    <x v="1"/>
    <x v="2"/>
  </r>
  <r>
    <x v="190"/>
    <x v="29"/>
    <s v="Female"/>
    <x v="2"/>
    <x v="0"/>
    <s v="Low"/>
    <s v="Married"/>
    <s v="With Family"/>
    <x v="3"/>
    <x v="1"/>
    <x v="4"/>
    <n v="4.7300000000000004"/>
    <n v="2.29"/>
    <n v="4"/>
    <n v="10.37"/>
    <n v="0"/>
    <n v="8.8000000000000007"/>
    <n v="10"/>
    <n v="3.6"/>
    <s v="Yes"/>
    <n v="6"/>
    <n v="5.7"/>
    <n v="0"/>
    <n v="6.4"/>
    <n v="8"/>
    <n v="5.7"/>
    <n v="1.8"/>
    <x v="2"/>
    <s v="No"/>
    <x v="2"/>
    <x v="1"/>
    <x v="3"/>
    <x v="2"/>
  </r>
  <r>
    <x v="191"/>
    <x v="8"/>
    <s v="Male"/>
    <x v="3"/>
    <x v="0"/>
    <s v="Low"/>
    <s v="In a Relationship"/>
    <s v="With Family"/>
    <x v="4"/>
    <x v="2"/>
    <x v="1"/>
    <n v="1.01"/>
    <n v="7.71"/>
    <n v="1.88"/>
    <n v="6.35"/>
    <n v="8"/>
    <n v="3.3"/>
    <n v="1.3"/>
    <n v="9.4"/>
    <s v="No"/>
    <n v="8.5"/>
    <n v="8.1999999999999993"/>
    <n v="4.3"/>
    <n v="2"/>
    <n v="3.1"/>
    <n v="6.6"/>
    <n v="6.7"/>
    <x v="1"/>
    <s v="No"/>
    <x v="0"/>
    <x v="1"/>
    <x v="1"/>
    <x v="0"/>
  </r>
  <r>
    <x v="192"/>
    <x v="0"/>
    <s v="Male"/>
    <x v="0"/>
    <x v="2"/>
    <s v="Lower-Middle"/>
    <s v="Single"/>
    <s v="With Partner"/>
    <x v="0"/>
    <x v="1"/>
    <x v="1"/>
    <n v="2.2400000000000002"/>
    <n v="0.91"/>
    <n v="1.29"/>
    <n v="4.6100000000000003"/>
    <n v="4"/>
    <n v="6.6"/>
    <n v="2.8"/>
    <n v="7.5"/>
    <s v="No"/>
    <n v="5.9"/>
    <n v="7.4"/>
    <n v="3.8"/>
    <n v="6.4"/>
    <n v="6.2"/>
    <n v="5"/>
    <n v="7.3"/>
    <x v="0"/>
    <s v="No"/>
    <x v="1"/>
    <x v="0"/>
    <x v="1"/>
    <x v="2"/>
  </r>
  <r>
    <x v="193"/>
    <x v="21"/>
    <s v="Male"/>
    <x v="1"/>
    <x v="1"/>
    <s v="Low"/>
    <s v="Single"/>
    <s v="With Partner"/>
    <x v="1"/>
    <x v="1"/>
    <x v="4"/>
    <n v="2.25"/>
    <n v="2.5"/>
    <n v="2.76"/>
    <n v="5.27"/>
    <n v="1"/>
    <n v="7.2"/>
    <n v="8.1999999999999993"/>
    <n v="3.2"/>
    <s v="Yes"/>
    <n v="5.3"/>
    <n v="5.8"/>
    <n v="2.7"/>
    <n v="4"/>
    <n v="3.9"/>
    <n v="2.7"/>
    <n v="3.5"/>
    <x v="1"/>
    <s v="No"/>
    <x v="1"/>
    <x v="1"/>
    <x v="1"/>
    <x v="2"/>
  </r>
  <r>
    <x v="194"/>
    <x v="1"/>
    <s v="Female"/>
    <x v="0"/>
    <x v="2"/>
    <s v="High"/>
    <s v="Single"/>
    <s v="With Family"/>
    <x v="3"/>
    <x v="0"/>
    <x v="2"/>
    <n v="0"/>
    <n v="4.91"/>
    <n v="2.89"/>
    <n v="3.42"/>
    <n v="6"/>
    <n v="3.9"/>
    <n v="3.5"/>
    <n v="6.9"/>
    <s v="No"/>
    <n v="6.8"/>
    <n v="7.7"/>
    <n v="3.7"/>
    <n v="5.0999999999999996"/>
    <n v="3.4"/>
    <n v="6.4"/>
    <n v="6.8"/>
    <x v="1"/>
    <s v="No"/>
    <x v="0"/>
    <x v="1"/>
    <x v="0"/>
    <x v="0"/>
  </r>
  <r>
    <x v="195"/>
    <x v="2"/>
    <s v="Female"/>
    <x v="0"/>
    <x v="0"/>
    <s v="Lower-Middle"/>
    <s v="In a Relationship"/>
    <s v="With Roommates"/>
    <x v="4"/>
    <x v="0"/>
    <x v="4"/>
    <n v="3.38"/>
    <n v="3.08"/>
    <n v="1.22"/>
    <n v="6.56"/>
    <n v="5"/>
    <n v="4.7"/>
    <n v="5.4"/>
    <n v="7.2"/>
    <s v="Yes"/>
    <n v="5.3"/>
    <n v="5.3"/>
    <n v="5.4"/>
    <n v="7"/>
    <n v="6"/>
    <n v="2.5"/>
    <n v="7.2"/>
    <x v="1"/>
    <s v="No"/>
    <x v="1"/>
    <x v="2"/>
    <x v="2"/>
    <x v="0"/>
  </r>
  <r>
    <x v="196"/>
    <x v="11"/>
    <s v="Female"/>
    <x v="0"/>
    <x v="3"/>
    <s v="Lower-Middle"/>
    <s v="Married"/>
    <s v="Alone"/>
    <x v="3"/>
    <x v="4"/>
    <x v="1"/>
    <n v="1.85"/>
    <n v="4.55"/>
    <n v="2.21"/>
    <n v="7.74"/>
    <n v="2"/>
    <n v="3.5"/>
    <n v="6.6"/>
    <n v="6.9"/>
    <s v="Yes"/>
    <n v="7.5"/>
    <n v="6.7"/>
    <n v="1.4"/>
    <n v="4.3"/>
    <n v="4.9000000000000004"/>
    <n v="5.4"/>
    <n v="4.5999999999999996"/>
    <x v="1"/>
    <s v="No"/>
    <x v="0"/>
    <x v="3"/>
    <x v="1"/>
    <x v="0"/>
  </r>
  <r>
    <x v="197"/>
    <x v="16"/>
    <s v="Male"/>
    <x v="1"/>
    <x v="3"/>
    <s v="Low"/>
    <s v="Single"/>
    <s v="With Roommates"/>
    <x v="3"/>
    <x v="0"/>
    <x v="1"/>
    <n v="0"/>
    <n v="5.57"/>
    <n v="2.96"/>
    <n v="7.17"/>
    <n v="6"/>
    <n v="1.9"/>
    <n v="1.5"/>
    <n v="10"/>
    <s v="No"/>
    <n v="6.2"/>
    <n v="9.1"/>
    <n v="5.3"/>
    <n v="1.1000000000000001"/>
    <n v="1.5"/>
    <n v="3.5"/>
    <n v="7.5"/>
    <x v="0"/>
    <s v="No"/>
    <x v="0"/>
    <x v="2"/>
    <x v="0"/>
    <x v="1"/>
  </r>
  <r>
    <x v="198"/>
    <x v="25"/>
    <s v="Female"/>
    <x v="4"/>
    <x v="1"/>
    <s v="Lower-Middle"/>
    <s v="Single"/>
    <s v="With Roommates"/>
    <x v="1"/>
    <x v="3"/>
    <x v="0"/>
    <n v="0.76"/>
    <n v="5.24"/>
    <n v="2"/>
    <n v="5.42"/>
    <n v="7"/>
    <n v="2.6"/>
    <n v="6.3"/>
    <n v="4.4000000000000004"/>
    <s v="Yes"/>
    <n v="7.9"/>
    <n v="6.3"/>
    <n v="4.0999999999999996"/>
    <n v="3.9"/>
    <n v="5.0999999999999996"/>
    <n v="5.2"/>
    <n v="6.4"/>
    <x v="1"/>
    <s v="No"/>
    <x v="0"/>
    <x v="3"/>
    <x v="0"/>
    <x v="1"/>
  </r>
  <r>
    <x v="199"/>
    <x v="9"/>
    <s v="Male"/>
    <x v="0"/>
    <x v="3"/>
    <s v="Upper-Middle"/>
    <s v="In a Relationship"/>
    <s v="With Roommates"/>
    <x v="4"/>
    <x v="2"/>
    <x v="1"/>
    <n v="0"/>
    <n v="2.85"/>
    <n v="3.55"/>
    <n v="4.5599999999999996"/>
    <n v="3"/>
    <n v="6.1"/>
    <n v="4.7"/>
    <n v="6.9"/>
    <s v="Yes"/>
    <n v="8"/>
    <n v="7.6"/>
    <n v="3.8"/>
    <n v="3.2"/>
    <n v="3.8"/>
    <n v="6.9"/>
    <n v="6.1"/>
    <x v="2"/>
    <s v="No"/>
    <x v="0"/>
    <x v="2"/>
    <x v="0"/>
    <x v="2"/>
  </r>
  <r>
    <x v="200"/>
    <x v="0"/>
    <s v="Female"/>
    <x v="1"/>
    <x v="2"/>
    <s v="Upper-Middle"/>
    <s v="Single"/>
    <s v="With Family"/>
    <x v="3"/>
    <x v="0"/>
    <x v="4"/>
    <n v="2.5499999999999998"/>
    <n v="4.0599999999999996"/>
    <n v="3.17"/>
    <n v="6.84"/>
    <n v="6"/>
    <n v="5.9"/>
    <n v="3.9"/>
    <n v="4.8"/>
    <s v="No"/>
    <n v="7.2"/>
    <n v="3.9"/>
    <n v="2.4"/>
    <n v="7.9"/>
    <n v="1.3"/>
    <n v="6.4"/>
    <n v="5"/>
    <x v="1"/>
    <s v="Yes"/>
    <x v="2"/>
    <x v="0"/>
    <x v="2"/>
    <x v="0"/>
  </r>
  <r>
    <x v="201"/>
    <x v="29"/>
    <s v="Male"/>
    <x v="1"/>
    <x v="3"/>
    <s v="Upper-Middle"/>
    <s v="Single"/>
    <s v="With Family"/>
    <x v="3"/>
    <x v="3"/>
    <x v="4"/>
    <n v="0"/>
    <n v="6.37"/>
    <n v="0.46"/>
    <n v="3.34"/>
    <n v="5"/>
    <n v="1.9"/>
    <n v="1"/>
    <n v="10"/>
    <s v="No"/>
    <n v="6.5"/>
    <n v="10"/>
    <n v="9.3000000000000007"/>
    <n v="1.8"/>
    <n v="1"/>
    <n v="4.3"/>
    <n v="10"/>
    <x v="0"/>
    <s v="No"/>
    <x v="0"/>
    <x v="1"/>
    <x v="0"/>
    <x v="1"/>
  </r>
  <r>
    <x v="202"/>
    <x v="3"/>
    <s v="Male"/>
    <x v="1"/>
    <x v="0"/>
    <s v="Lower-Middle"/>
    <s v="In a Relationship"/>
    <s v="Alone"/>
    <x v="4"/>
    <x v="0"/>
    <x v="3"/>
    <n v="2.92"/>
    <n v="3.3"/>
    <n v="3.1"/>
    <n v="9.35"/>
    <n v="0"/>
    <n v="5.0999999999999996"/>
    <n v="6.7"/>
    <n v="5.3"/>
    <s v="No"/>
    <n v="6.6"/>
    <n v="2.5"/>
    <n v="4.5999999999999996"/>
    <n v="4.5"/>
    <n v="8"/>
    <n v="6.2"/>
    <n v="5.2"/>
    <x v="1"/>
    <s v="No"/>
    <x v="1"/>
    <x v="1"/>
    <x v="2"/>
    <x v="0"/>
  </r>
  <r>
    <x v="203"/>
    <x v="4"/>
    <s v="Female"/>
    <x v="3"/>
    <x v="2"/>
    <s v="High"/>
    <s v="In a Relationship"/>
    <s v="With Partner"/>
    <x v="3"/>
    <x v="1"/>
    <x v="3"/>
    <n v="2.29"/>
    <n v="4.01"/>
    <n v="2.8"/>
    <n v="6.44"/>
    <n v="4"/>
    <n v="5.0999999999999996"/>
    <n v="2.1"/>
    <n v="6.5"/>
    <s v="No"/>
    <n v="6.2"/>
    <n v="6.1"/>
    <n v="7.2"/>
    <n v="3.8"/>
    <n v="4.5999999999999996"/>
    <n v="4.7"/>
    <n v="4.8"/>
    <x v="1"/>
    <s v="No"/>
    <x v="0"/>
    <x v="1"/>
    <x v="1"/>
    <x v="0"/>
  </r>
  <r>
    <x v="204"/>
    <x v="2"/>
    <s v="Male"/>
    <x v="3"/>
    <x v="0"/>
    <s v="Upper-Middle"/>
    <s v="Single"/>
    <s v="Alone"/>
    <x v="3"/>
    <x v="0"/>
    <x v="1"/>
    <n v="0.4"/>
    <n v="6.36"/>
    <n v="0"/>
    <n v="3.82"/>
    <n v="3"/>
    <n v="2.2000000000000002"/>
    <n v="2.4"/>
    <n v="8"/>
    <s v="No"/>
    <n v="6.7"/>
    <n v="9.5"/>
    <n v="6.2"/>
    <n v="2.6"/>
    <n v="1"/>
    <n v="2.8"/>
    <n v="6.4"/>
    <x v="0"/>
    <s v="No"/>
    <x v="0"/>
    <x v="2"/>
    <x v="0"/>
    <x v="1"/>
  </r>
  <r>
    <x v="205"/>
    <x v="11"/>
    <s v="Female"/>
    <x v="3"/>
    <x v="0"/>
    <s v="Upper-Middle"/>
    <s v="Single"/>
    <s v="With Partner"/>
    <x v="2"/>
    <x v="3"/>
    <x v="1"/>
    <n v="4.21"/>
    <n v="0.34"/>
    <n v="5.25"/>
    <n v="11.23"/>
    <n v="1"/>
    <n v="9.1"/>
    <n v="10"/>
    <n v="4.0999999999999996"/>
    <s v="Yes"/>
    <n v="6.3"/>
    <n v="1.8"/>
    <n v="3"/>
    <n v="6.5"/>
    <n v="9.4"/>
    <n v="9.6999999999999993"/>
    <n v="2.5"/>
    <x v="2"/>
    <s v="No"/>
    <x v="2"/>
    <x v="3"/>
    <x v="3"/>
    <x v="2"/>
  </r>
  <r>
    <x v="206"/>
    <x v="29"/>
    <s v="Female"/>
    <x v="1"/>
    <x v="0"/>
    <s v="Low"/>
    <s v="Divorced/Separated"/>
    <s v="With Partner"/>
    <x v="0"/>
    <x v="0"/>
    <x v="4"/>
    <n v="2.13"/>
    <n v="4.51"/>
    <n v="2.04"/>
    <n v="6.88"/>
    <n v="5"/>
    <n v="4.9000000000000004"/>
    <n v="3.6"/>
    <n v="7.4"/>
    <s v="No"/>
    <n v="7.9"/>
    <n v="7.6"/>
    <n v="4.4000000000000004"/>
    <n v="2"/>
    <n v="4.3"/>
    <n v="3.6"/>
    <n v="7.2"/>
    <x v="1"/>
    <s v="No"/>
    <x v="0"/>
    <x v="1"/>
    <x v="1"/>
    <x v="0"/>
  </r>
  <r>
    <x v="207"/>
    <x v="0"/>
    <s v="Male"/>
    <x v="1"/>
    <x v="2"/>
    <s v="Low"/>
    <s v="Single"/>
    <s v="With Family"/>
    <x v="1"/>
    <x v="1"/>
    <x v="1"/>
    <n v="0.5"/>
    <n v="3.1"/>
    <n v="3.2"/>
    <n v="6.85"/>
    <n v="3"/>
    <n v="3.8"/>
    <n v="4.0999999999999996"/>
    <n v="7"/>
    <s v="No"/>
    <n v="8.4"/>
    <n v="7.4"/>
    <n v="6.7"/>
    <n v="4.3"/>
    <n v="3.6"/>
    <n v="5.5"/>
    <n v="8.6999999999999993"/>
    <x v="0"/>
    <s v="No"/>
    <x v="0"/>
    <x v="0"/>
    <x v="0"/>
    <x v="0"/>
  </r>
  <r>
    <x v="208"/>
    <x v="22"/>
    <s v="Female"/>
    <x v="0"/>
    <x v="1"/>
    <s v="Low"/>
    <s v="Single"/>
    <s v="With Roommates"/>
    <x v="5"/>
    <x v="1"/>
    <x v="1"/>
    <n v="2.4700000000000002"/>
    <n v="4.05"/>
    <n v="3.53"/>
    <n v="6.51"/>
    <n v="6"/>
    <n v="5.8"/>
    <n v="7.1"/>
    <n v="3.5"/>
    <s v="Yes"/>
    <n v="6.3"/>
    <n v="5.7"/>
    <n v="4.0999999999999996"/>
    <n v="7"/>
    <n v="6"/>
    <n v="5.0999999999999996"/>
    <n v="4.9000000000000004"/>
    <x v="2"/>
    <s v="No"/>
    <x v="2"/>
    <x v="2"/>
    <x v="1"/>
    <x v="0"/>
  </r>
  <r>
    <x v="209"/>
    <x v="8"/>
    <s v="Male"/>
    <x v="1"/>
    <x v="2"/>
    <s v="Upper-Middle"/>
    <s v="Single"/>
    <s v="With Roommates"/>
    <x v="2"/>
    <x v="0"/>
    <x v="4"/>
    <n v="3.77"/>
    <n v="1.0900000000000001"/>
    <n v="4.22"/>
    <n v="10.44"/>
    <n v="1"/>
    <n v="10"/>
    <n v="9.8000000000000007"/>
    <n v="2.7"/>
    <s v="No"/>
    <n v="5.8"/>
    <n v="2.7"/>
    <n v="1.5"/>
    <n v="9.4"/>
    <n v="6.7"/>
    <n v="7.2"/>
    <n v="2.1"/>
    <x v="2"/>
    <s v="Yes"/>
    <x v="2"/>
    <x v="1"/>
    <x v="2"/>
    <x v="2"/>
  </r>
  <r>
    <x v="210"/>
    <x v="13"/>
    <s v="Female"/>
    <x v="1"/>
    <x v="0"/>
    <s v="Lower-Middle"/>
    <s v="Single"/>
    <s v="With Partner"/>
    <x v="3"/>
    <x v="3"/>
    <x v="4"/>
    <n v="0.91"/>
    <n v="0.78"/>
    <n v="3.38"/>
    <n v="7.72"/>
    <n v="4"/>
    <n v="5.0999999999999996"/>
    <n v="7.5"/>
    <n v="7.2"/>
    <s v="No"/>
    <n v="8"/>
    <n v="4.7"/>
    <n v="6"/>
    <n v="5.8"/>
    <n v="5"/>
    <n v="7.6"/>
    <n v="3.5"/>
    <x v="2"/>
    <s v="No"/>
    <x v="1"/>
    <x v="2"/>
    <x v="0"/>
    <x v="0"/>
  </r>
  <r>
    <x v="211"/>
    <x v="18"/>
    <s v="Female"/>
    <x v="3"/>
    <x v="1"/>
    <s v="Lower-Middle"/>
    <s v="Single"/>
    <s v="With Partner"/>
    <x v="5"/>
    <x v="0"/>
    <x v="4"/>
    <n v="2.8"/>
    <n v="3.87"/>
    <n v="3.53"/>
    <n v="7.77"/>
    <n v="4"/>
    <n v="5.9"/>
    <n v="6.5"/>
    <n v="2.5"/>
    <s v="Yes"/>
    <n v="8.3000000000000007"/>
    <n v="3.1"/>
    <n v="1.1000000000000001"/>
    <n v="5.8"/>
    <n v="5.7"/>
    <n v="6.9"/>
    <n v="4.9000000000000004"/>
    <x v="1"/>
    <s v="Yes"/>
    <x v="1"/>
    <x v="2"/>
    <x v="2"/>
    <x v="0"/>
  </r>
  <r>
    <x v="212"/>
    <x v="14"/>
    <s v="Female"/>
    <x v="1"/>
    <x v="2"/>
    <s v="High"/>
    <s v="Married"/>
    <s v="With Roommates"/>
    <x v="1"/>
    <x v="3"/>
    <x v="4"/>
    <n v="1.2"/>
    <n v="4.83"/>
    <n v="2.97"/>
    <n v="5.12"/>
    <n v="8"/>
    <n v="2.8"/>
    <n v="1"/>
    <n v="9"/>
    <s v="No"/>
    <n v="8.6999999999999993"/>
    <n v="8.1999999999999993"/>
    <n v="4.0999999999999996"/>
    <n v="2.6"/>
    <n v="3.2"/>
    <n v="1"/>
    <n v="9.1"/>
    <x v="1"/>
    <s v="No"/>
    <x v="0"/>
    <x v="3"/>
    <x v="1"/>
    <x v="1"/>
  </r>
  <r>
    <x v="213"/>
    <x v="23"/>
    <s v="Male"/>
    <x v="0"/>
    <x v="2"/>
    <s v="High"/>
    <s v="Single"/>
    <s v="With Family"/>
    <x v="3"/>
    <x v="0"/>
    <x v="3"/>
    <n v="2.71"/>
    <n v="4.26"/>
    <n v="2.65"/>
    <n v="7.86"/>
    <n v="2"/>
    <n v="6.3"/>
    <n v="6.1"/>
    <n v="6.9"/>
    <s v="Yes"/>
    <n v="6.6"/>
    <n v="7.4"/>
    <n v="8.1"/>
    <n v="5.9"/>
    <n v="3.5"/>
    <n v="4.0999999999999996"/>
    <n v="3.7"/>
    <x v="1"/>
    <s v="No"/>
    <x v="1"/>
    <x v="0"/>
    <x v="2"/>
    <x v="2"/>
  </r>
  <r>
    <x v="214"/>
    <x v="29"/>
    <s v="Non-binary"/>
    <x v="1"/>
    <x v="1"/>
    <s v="High"/>
    <s v="Single"/>
    <s v="With Roommates"/>
    <x v="1"/>
    <x v="3"/>
    <x v="4"/>
    <n v="2.29"/>
    <n v="6.01"/>
    <n v="2.2599999999999998"/>
    <n v="6.68"/>
    <n v="2"/>
    <n v="2.7"/>
    <n v="2.9"/>
    <n v="9.3000000000000007"/>
    <s v="No"/>
    <n v="7.4"/>
    <n v="6.9"/>
    <n v="5.6"/>
    <n v="1.9"/>
    <n v="2.9"/>
    <n v="1"/>
    <n v="7.1"/>
    <x v="0"/>
    <s v="Yes"/>
    <x v="0"/>
    <x v="1"/>
    <x v="1"/>
    <x v="1"/>
  </r>
  <r>
    <x v="215"/>
    <x v="16"/>
    <s v="Female"/>
    <x v="1"/>
    <x v="2"/>
    <s v="Lower-Middle"/>
    <s v="In a Relationship"/>
    <s v="With Family"/>
    <x v="3"/>
    <x v="0"/>
    <x v="4"/>
    <n v="1"/>
    <n v="3.6"/>
    <n v="1.94"/>
    <n v="4.6100000000000003"/>
    <n v="6"/>
    <n v="8.6999999999999993"/>
    <n v="5.0999999999999996"/>
    <n v="5.5"/>
    <s v="No"/>
    <n v="6.3"/>
    <n v="4.7"/>
    <n v="0"/>
    <n v="5"/>
    <n v="7.2"/>
    <n v="5.7"/>
    <n v="3.4"/>
    <x v="1"/>
    <s v="Yes"/>
    <x v="2"/>
    <x v="2"/>
    <x v="0"/>
    <x v="2"/>
  </r>
  <r>
    <x v="216"/>
    <x v="20"/>
    <s v="Male"/>
    <x v="1"/>
    <x v="2"/>
    <s v="Upper-Middle"/>
    <s v="In a Relationship"/>
    <s v="With Roommates"/>
    <x v="3"/>
    <x v="1"/>
    <x v="4"/>
    <n v="3.84"/>
    <n v="3.29"/>
    <n v="3.25"/>
    <n v="9.09"/>
    <n v="4"/>
    <n v="5.0999999999999996"/>
    <n v="6.8"/>
    <n v="4.4000000000000004"/>
    <s v="Yes"/>
    <n v="7.1"/>
    <n v="7"/>
    <n v="4.5999999999999996"/>
    <n v="5.6"/>
    <n v="8.6999999999999993"/>
    <n v="6"/>
    <n v="2.9"/>
    <x v="1"/>
    <s v="No"/>
    <x v="2"/>
    <x v="2"/>
    <x v="2"/>
    <x v="0"/>
  </r>
  <r>
    <x v="217"/>
    <x v="6"/>
    <s v="Male"/>
    <x v="2"/>
    <x v="3"/>
    <s v="Lower-Middle"/>
    <s v="Married"/>
    <s v="With Partner"/>
    <x v="3"/>
    <x v="0"/>
    <x v="0"/>
    <n v="3.77"/>
    <n v="2.16"/>
    <n v="5.59"/>
    <n v="9.69"/>
    <n v="2"/>
    <n v="10"/>
    <n v="8.6"/>
    <n v="3.3"/>
    <s v="Yes"/>
    <n v="5.0999999999999996"/>
    <n v="3.4"/>
    <n v="0.5"/>
    <n v="7.5"/>
    <n v="6.4"/>
    <n v="7.2"/>
    <n v="4.9000000000000004"/>
    <x v="2"/>
    <s v="No"/>
    <x v="2"/>
    <x v="2"/>
    <x v="2"/>
    <x v="2"/>
  </r>
  <r>
    <x v="218"/>
    <x v="17"/>
    <s v="Female"/>
    <x v="3"/>
    <x v="2"/>
    <s v="Low"/>
    <s v="Married"/>
    <s v="With Family"/>
    <x v="1"/>
    <x v="3"/>
    <x v="2"/>
    <n v="0"/>
    <n v="5.23"/>
    <n v="0.77"/>
    <n v="3.17"/>
    <n v="7"/>
    <n v="1.7"/>
    <n v="1"/>
    <n v="10"/>
    <s v="No"/>
    <n v="8.8000000000000007"/>
    <n v="10"/>
    <n v="5.7"/>
    <n v="1"/>
    <n v="1"/>
    <n v="2.8"/>
    <n v="10"/>
    <x v="0"/>
    <s v="No"/>
    <x v="0"/>
    <x v="0"/>
    <x v="0"/>
    <x v="1"/>
  </r>
  <r>
    <x v="219"/>
    <x v="18"/>
    <s v="Female"/>
    <x v="2"/>
    <x v="2"/>
    <s v="Low"/>
    <s v="Single"/>
    <s v="With Roommates"/>
    <x v="0"/>
    <x v="0"/>
    <x v="4"/>
    <n v="0.36"/>
    <n v="4.4800000000000004"/>
    <n v="0.79"/>
    <n v="4.75"/>
    <n v="4"/>
    <n v="1.9"/>
    <n v="1.4"/>
    <n v="8.8000000000000007"/>
    <s v="No"/>
    <n v="7.7"/>
    <n v="8.3000000000000007"/>
    <n v="8.6"/>
    <n v="3.2"/>
    <n v="1"/>
    <n v="4.4000000000000004"/>
    <n v="6.5"/>
    <x v="2"/>
    <s v="No"/>
    <x v="0"/>
    <x v="2"/>
    <x v="0"/>
    <x v="1"/>
  </r>
  <r>
    <x v="220"/>
    <x v="18"/>
    <s v="Female"/>
    <x v="0"/>
    <x v="1"/>
    <s v="Lower-Middle"/>
    <s v="Married"/>
    <s v="Alone"/>
    <x v="2"/>
    <x v="4"/>
    <x v="1"/>
    <n v="2.77"/>
    <n v="4.54"/>
    <n v="2.83"/>
    <n v="6.88"/>
    <n v="3"/>
    <n v="5.9"/>
    <n v="8.1999999999999993"/>
    <n v="1.4"/>
    <s v="Yes"/>
    <n v="6.4"/>
    <n v="4"/>
    <n v="4.9000000000000004"/>
    <n v="7.9"/>
    <n v="6.7"/>
    <n v="10"/>
    <n v="3.3"/>
    <x v="1"/>
    <s v="No"/>
    <x v="2"/>
    <x v="2"/>
    <x v="2"/>
    <x v="0"/>
  </r>
  <r>
    <x v="221"/>
    <x v="15"/>
    <s v="Female"/>
    <x v="1"/>
    <x v="1"/>
    <s v="Lower-Middle"/>
    <s v="In a Relationship"/>
    <s v="Alone"/>
    <x v="5"/>
    <x v="4"/>
    <x v="4"/>
    <n v="0"/>
    <n v="5.17"/>
    <n v="0.36"/>
    <n v="1.53"/>
    <n v="4"/>
    <n v="2.8"/>
    <n v="1"/>
    <n v="8.1999999999999993"/>
    <s v="No"/>
    <n v="7.1"/>
    <n v="9.8000000000000007"/>
    <n v="8.6999999999999993"/>
    <n v="1"/>
    <n v="1"/>
    <n v="3.3"/>
    <n v="8.3000000000000007"/>
    <x v="0"/>
    <s v="No"/>
    <x v="0"/>
    <x v="1"/>
    <x v="0"/>
    <x v="1"/>
  </r>
  <r>
    <x v="222"/>
    <x v="15"/>
    <s v="Female"/>
    <x v="0"/>
    <x v="0"/>
    <s v="Upper-Middle"/>
    <s v="Divorced/Separated"/>
    <s v="With Family"/>
    <x v="3"/>
    <x v="0"/>
    <x v="1"/>
    <n v="3.17"/>
    <n v="2.96"/>
    <n v="4.3099999999999996"/>
    <n v="9.65"/>
    <n v="4"/>
    <n v="6.3"/>
    <n v="6.6"/>
    <n v="5"/>
    <s v="Yes"/>
    <n v="6.7"/>
    <n v="6.2"/>
    <n v="2.1"/>
    <n v="4.2"/>
    <n v="7.2"/>
    <n v="7"/>
    <n v="3.1"/>
    <x v="1"/>
    <s v="Yes"/>
    <x v="2"/>
    <x v="1"/>
    <x v="2"/>
    <x v="2"/>
  </r>
  <r>
    <x v="223"/>
    <x v="1"/>
    <s v="Male"/>
    <x v="0"/>
    <x v="0"/>
    <s v="Low"/>
    <s v="In a Relationship"/>
    <s v="With Roommates"/>
    <x v="3"/>
    <x v="1"/>
    <x v="4"/>
    <n v="3.39"/>
    <n v="4.01"/>
    <n v="4.51"/>
    <n v="12.74"/>
    <n v="4"/>
    <n v="6.3"/>
    <n v="7.7"/>
    <n v="5.3"/>
    <s v="Yes"/>
    <n v="7.8"/>
    <n v="5.5"/>
    <n v="2.2000000000000002"/>
    <n v="6"/>
    <n v="5"/>
    <n v="7.3"/>
    <n v="3.2"/>
    <x v="2"/>
    <s v="Yes"/>
    <x v="2"/>
    <x v="1"/>
    <x v="2"/>
    <x v="2"/>
  </r>
  <r>
    <x v="224"/>
    <x v="16"/>
    <s v="Male"/>
    <x v="4"/>
    <x v="0"/>
    <s v="Upper-Middle"/>
    <s v="Divorced/Separated"/>
    <s v="With Partner"/>
    <x v="3"/>
    <x v="0"/>
    <x v="3"/>
    <n v="0.56999999999999995"/>
    <n v="2.4900000000000002"/>
    <n v="0"/>
    <n v="3.67"/>
    <n v="5"/>
    <n v="7.1"/>
    <n v="5.6"/>
    <n v="6"/>
    <s v="No"/>
    <n v="6.6"/>
    <n v="7.8"/>
    <n v="4.4000000000000004"/>
    <n v="5.5"/>
    <n v="2.4"/>
    <n v="4.5999999999999996"/>
    <n v="7"/>
    <x v="1"/>
    <s v="No"/>
    <x v="1"/>
    <x v="2"/>
    <x v="0"/>
    <x v="2"/>
  </r>
  <r>
    <x v="225"/>
    <x v="16"/>
    <s v="Male"/>
    <x v="1"/>
    <x v="2"/>
    <s v="Lower-Middle"/>
    <s v="Married"/>
    <s v="With Partner"/>
    <x v="3"/>
    <x v="1"/>
    <x v="1"/>
    <n v="0"/>
    <n v="6.18"/>
    <n v="1"/>
    <n v="2.9"/>
    <n v="6"/>
    <n v="1"/>
    <n v="3.6"/>
    <n v="7.8"/>
    <s v="No"/>
    <n v="8.1999999999999993"/>
    <n v="6.6"/>
    <n v="7"/>
    <n v="1"/>
    <n v="2.8"/>
    <n v="1.8"/>
    <n v="8"/>
    <x v="1"/>
    <s v="Yes"/>
    <x v="0"/>
    <x v="2"/>
    <x v="0"/>
    <x v="1"/>
  </r>
  <r>
    <x v="226"/>
    <x v="4"/>
    <s v="Female"/>
    <x v="0"/>
    <x v="2"/>
    <s v="Lower-Middle"/>
    <s v="Single"/>
    <s v="With Family"/>
    <x v="3"/>
    <x v="3"/>
    <x v="0"/>
    <n v="1.67"/>
    <n v="2.54"/>
    <n v="2.5299999999999998"/>
    <n v="6.24"/>
    <n v="4"/>
    <n v="3.9"/>
    <n v="4.5"/>
    <n v="6"/>
    <s v="No"/>
    <n v="5.4"/>
    <n v="5.3"/>
    <n v="3.6"/>
    <n v="4.2"/>
    <n v="3"/>
    <n v="4.5"/>
    <n v="6.8"/>
    <x v="1"/>
    <s v="No"/>
    <x v="0"/>
    <x v="1"/>
    <x v="1"/>
    <x v="0"/>
  </r>
  <r>
    <x v="227"/>
    <x v="7"/>
    <s v="Male"/>
    <x v="1"/>
    <x v="0"/>
    <s v="Lower-Middle"/>
    <s v="In a Relationship"/>
    <s v="With Partner"/>
    <x v="0"/>
    <x v="3"/>
    <x v="4"/>
    <n v="3.82"/>
    <n v="2.79"/>
    <n v="3"/>
    <n v="10.02"/>
    <n v="4"/>
    <n v="7.5"/>
    <n v="7.5"/>
    <n v="2.6"/>
    <s v="Yes"/>
    <n v="6.2"/>
    <n v="3.3"/>
    <n v="5.0999999999999996"/>
    <n v="7.6"/>
    <n v="7.3"/>
    <n v="7.3"/>
    <n v="2.6"/>
    <x v="2"/>
    <s v="No"/>
    <x v="2"/>
    <x v="2"/>
    <x v="2"/>
    <x v="2"/>
  </r>
  <r>
    <x v="228"/>
    <x v="9"/>
    <s v="Female"/>
    <x v="1"/>
    <x v="3"/>
    <s v="Lower-Middle"/>
    <s v="Divorced/Separated"/>
    <s v="With Roommates"/>
    <x v="4"/>
    <x v="1"/>
    <x v="2"/>
    <n v="2.71"/>
    <n v="2.2799999999999998"/>
    <n v="3.65"/>
    <n v="7.45"/>
    <n v="3"/>
    <n v="5"/>
    <n v="10"/>
    <n v="2.5"/>
    <s v="Yes"/>
    <n v="6.1"/>
    <n v="2.8"/>
    <n v="2.9"/>
    <n v="8"/>
    <n v="7.6"/>
    <n v="7.5"/>
    <n v="1.7"/>
    <x v="2"/>
    <s v="Yes"/>
    <x v="2"/>
    <x v="2"/>
    <x v="2"/>
    <x v="0"/>
  </r>
  <r>
    <x v="229"/>
    <x v="18"/>
    <s v="Female"/>
    <x v="3"/>
    <x v="2"/>
    <s v="Lower-Middle"/>
    <s v="Married"/>
    <s v="With Family"/>
    <x v="5"/>
    <x v="0"/>
    <x v="2"/>
    <n v="0.82"/>
    <n v="4.38"/>
    <n v="4.04"/>
    <n v="7.47"/>
    <n v="6"/>
    <n v="5.6"/>
    <n v="6.3"/>
    <n v="5"/>
    <s v="Yes"/>
    <n v="7"/>
    <n v="5.3"/>
    <n v="6"/>
    <n v="6.8"/>
    <n v="3.5"/>
    <n v="6.1"/>
    <n v="7"/>
    <x v="1"/>
    <s v="Yes"/>
    <x v="1"/>
    <x v="2"/>
    <x v="0"/>
    <x v="0"/>
  </r>
  <r>
    <x v="230"/>
    <x v="20"/>
    <s v="Female"/>
    <x v="0"/>
    <x v="0"/>
    <s v="Lower-Middle"/>
    <s v="Single"/>
    <s v="With Family"/>
    <x v="3"/>
    <x v="0"/>
    <x v="4"/>
    <n v="0.75"/>
    <n v="4.0599999999999996"/>
    <n v="1.93"/>
    <n v="3.57"/>
    <n v="3"/>
    <n v="1.8"/>
    <n v="2.4"/>
    <n v="7.4"/>
    <s v="No"/>
    <n v="8.3000000000000007"/>
    <n v="9.3000000000000007"/>
    <n v="4"/>
    <n v="3.4"/>
    <n v="1"/>
    <n v="3.7"/>
    <n v="5.3"/>
    <x v="0"/>
    <s v="No"/>
    <x v="0"/>
    <x v="2"/>
    <x v="0"/>
    <x v="1"/>
  </r>
  <r>
    <x v="231"/>
    <x v="0"/>
    <s v="Male"/>
    <x v="1"/>
    <x v="2"/>
    <s v="Low"/>
    <s v="In a Relationship"/>
    <s v="With Family"/>
    <x v="0"/>
    <x v="0"/>
    <x v="1"/>
    <n v="5.25"/>
    <n v="1.55"/>
    <n v="3.74"/>
    <n v="11.91"/>
    <n v="3"/>
    <n v="9.8000000000000007"/>
    <n v="9"/>
    <n v="1"/>
    <s v="Yes"/>
    <n v="5.5"/>
    <n v="3.5"/>
    <n v="1.3"/>
    <n v="9.1999999999999993"/>
    <n v="9"/>
    <n v="7.3"/>
    <n v="4.8"/>
    <x v="2"/>
    <s v="Yes"/>
    <x v="2"/>
    <x v="0"/>
    <x v="3"/>
    <x v="2"/>
  </r>
  <r>
    <x v="232"/>
    <x v="16"/>
    <s v="Female"/>
    <x v="1"/>
    <x v="1"/>
    <s v="Low"/>
    <s v="Single"/>
    <s v="With Partner"/>
    <x v="3"/>
    <x v="3"/>
    <x v="4"/>
    <n v="2.17"/>
    <n v="3.76"/>
    <n v="3.13"/>
    <n v="7.01"/>
    <n v="2"/>
    <n v="7.9"/>
    <n v="6.5"/>
    <n v="4.7"/>
    <s v="Yes"/>
    <n v="7.5"/>
    <n v="4.9000000000000004"/>
    <n v="3.4"/>
    <n v="6"/>
    <n v="6.5"/>
    <n v="5.5"/>
    <n v="5.6"/>
    <x v="2"/>
    <s v="No"/>
    <x v="2"/>
    <x v="2"/>
    <x v="1"/>
    <x v="2"/>
  </r>
  <r>
    <x v="233"/>
    <x v="19"/>
    <s v="Male"/>
    <x v="0"/>
    <x v="0"/>
    <s v="Lower-Middle"/>
    <s v="Single"/>
    <s v="With Roommates"/>
    <x v="3"/>
    <x v="1"/>
    <x v="4"/>
    <n v="0"/>
    <n v="4.49"/>
    <n v="1.36"/>
    <n v="3.56"/>
    <n v="5"/>
    <n v="3.3"/>
    <n v="2.5"/>
    <n v="8.6999999999999993"/>
    <s v="No"/>
    <n v="6.8"/>
    <n v="7.9"/>
    <n v="4.4000000000000004"/>
    <n v="4.4000000000000004"/>
    <n v="2.1"/>
    <n v="3.7"/>
    <n v="8"/>
    <x v="1"/>
    <s v="No"/>
    <x v="0"/>
    <x v="3"/>
    <x v="0"/>
    <x v="0"/>
  </r>
  <r>
    <x v="234"/>
    <x v="19"/>
    <s v="Female"/>
    <x v="3"/>
    <x v="2"/>
    <s v="High"/>
    <s v="Single"/>
    <s v="With Roommates"/>
    <x v="0"/>
    <x v="3"/>
    <x v="4"/>
    <n v="2.1800000000000002"/>
    <n v="4.38"/>
    <n v="3.12"/>
    <n v="6.95"/>
    <n v="6"/>
    <n v="6"/>
    <n v="5.2"/>
    <n v="7.3"/>
    <s v="No"/>
    <n v="8.1"/>
    <n v="5.4"/>
    <n v="5.2"/>
    <n v="5.3"/>
    <n v="4.5999999999999996"/>
    <n v="4.5"/>
    <n v="4.8"/>
    <x v="1"/>
    <s v="No"/>
    <x v="1"/>
    <x v="3"/>
    <x v="1"/>
    <x v="0"/>
  </r>
  <r>
    <x v="235"/>
    <x v="20"/>
    <s v="Male"/>
    <x v="4"/>
    <x v="1"/>
    <s v="Lower-Middle"/>
    <s v="Single"/>
    <s v="With Family"/>
    <x v="2"/>
    <x v="0"/>
    <x v="3"/>
    <n v="2.39"/>
    <n v="3.88"/>
    <n v="1.37"/>
    <n v="6.46"/>
    <n v="2"/>
    <n v="5.8"/>
    <n v="4"/>
    <n v="6.5"/>
    <s v="No"/>
    <n v="7"/>
    <n v="5.7"/>
    <n v="5.2"/>
    <n v="2.7"/>
    <n v="5"/>
    <n v="5"/>
    <n v="5"/>
    <x v="2"/>
    <s v="No"/>
    <x v="0"/>
    <x v="2"/>
    <x v="1"/>
    <x v="0"/>
  </r>
  <r>
    <x v="236"/>
    <x v="22"/>
    <s v="Male"/>
    <x v="2"/>
    <x v="2"/>
    <s v="Upper-Middle"/>
    <s v="Married"/>
    <s v="With Roommates"/>
    <x v="3"/>
    <x v="0"/>
    <x v="1"/>
    <n v="0.38"/>
    <n v="4.25"/>
    <n v="1.19"/>
    <n v="3.4"/>
    <n v="8"/>
    <n v="2.8"/>
    <n v="3"/>
    <n v="8.3000000000000007"/>
    <s v="No"/>
    <n v="7.4"/>
    <n v="9.3000000000000007"/>
    <n v="4.4000000000000004"/>
    <n v="6.2"/>
    <n v="3.1"/>
    <n v="3.3"/>
    <n v="7.5"/>
    <x v="1"/>
    <s v="No"/>
    <x v="0"/>
    <x v="2"/>
    <x v="0"/>
    <x v="1"/>
  </r>
  <r>
    <x v="237"/>
    <x v="16"/>
    <s v="Female"/>
    <x v="3"/>
    <x v="2"/>
    <s v="Upper-Middle"/>
    <s v="Single"/>
    <s v="With Family"/>
    <x v="1"/>
    <x v="0"/>
    <x v="0"/>
    <n v="3.57"/>
    <n v="3.3"/>
    <n v="3.88"/>
    <n v="11.61"/>
    <n v="5"/>
    <n v="5"/>
    <n v="7.4"/>
    <n v="5.7"/>
    <s v="Yes"/>
    <n v="5.5"/>
    <n v="3.8"/>
    <n v="4.5999999999999996"/>
    <n v="5.3"/>
    <n v="6.2"/>
    <n v="8.5"/>
    <n v="5.6"/>
    <x v="2"/>
    <s v="No"/>
    <x v="1"/>
    <x v="2"/>
    <x v="2"/>
    <x v="0"/>
  </r>
  <r>
    <x v="238"/>
    <x v="20"/>
    <s v="Male"/>
    <x v="1"/>
    <x v="2"/>
    <s v="High"/>
    <s v="Married"/>
    <s v="With Family"/>
    <x v="3"/>
    <x v="0"/>
    <x v="4"/>
    <n v="3.66"/>
    <n v="2.79"/>
    <n v="3.53"/>
    <n v="10.61"/>
    <n v="3"/>
    <n v="9"/>
    <n v="6.2"/>
    <n v="1.5"/>
    <s v="No"/>
    <n v="5.2"/>
    <n v="6"/>
    <n v="5.7"/>
    <n v="7.3"/>
    <n v="6.3"/>
    <n v="5.4"/>
    <n v="2.7"/>
    <x v="2"/>
    <s v="No"/>
    <x v="2"/>
    <x v="2"/>
    <x v="2"/>
    <x v="2"/>
  </r>
  <r>
    <x v="239"/>
    <x v="1"/>
    <s v="Male"/>
    <x v="0"/>
    <x v="0"/>
    <s v="Upper-Middle"/>
    <s v="Single"/>
    <s v="With Roommates"/>
    <x v="2"/>
    <x v="0"/>
    <x v="0"/>
    <n v="0.81"/>
    <n v="4.1100000000000003"/>
    <n v="1.35"/>
    <n v="2.86"/>
    <n v="3"/>
    <n v="5.2"/>
    <n v="3.5"/>
    <n v="7"/>
    <s v="No"/>
    <n v="7.5"/>
    <n v="9.8000000000000007"/>
    <n v="5.9"/>
    <n v="2.6"/>
    <n v="3.9"/>
    <n v="3.5"/>
    <n v="6.6"/>
    <x v="0"/>
    <s v="No"/>
    <x v="0"/>
    <x v="1"/>
    <x v="0"/>
    <x v="0"/>
  </r>
  <r>
    <x v="240"/>
    <x v="29"/>
    <s v="Female"/>
    <x v="0"/>
    <x v="0"/>
    <s v="Lower-Middle"/>
    <s v="Single"/>
    <s v="With Family"/>
    <x v="1"/>
    <x v="4"/>
    <x v="4"/>
    <n v="1.8"/>
    <n v="3.4"/>
    <n v="2.9"/>
    <n v="6.89"/>
    <n v="2"/>
    <n v="7.9"/>
    <n v="6.3"/>
    <n v="3.7"/>
    <s v="Yes"/>
    <n v="5.5"/>
    <n v="5.8"/>
    <n v="3.5"/>
    <n v="9.6"/>
    <n v="7.4"/>
    <n v="6.4"/>
    <n v="4"/>
    <x v="2"/>
    <s v="Yes"/>
    <x v="2"/>
    <x v="1"/>
    <x v="1"/>
    <x v="2"/>
  </r>
  <r>
    <x v="241"/>
    <x v="26"/>
    <s v="Female"/>
    <x v="1"/>
    <x v="2"/>
    <s v="Upper-Middle"/>
    <s v="Single"/>
    <s v="With Partner"/>
    <x v="5"/>
    <x v="4"/>
    <x v="2"/>
    <n v="0.27"/>
    <n v="5.56"/>
    <n v="1.47"/>
    <n v="4.47"/>
    <n v="6"/>
    <n v="1.9"/>
    <n v="1.7"/>
    <n v="10"/>
    <s v="No"/>
    <n v="9.1"/>
    <n v="8.5"/>
    <n v="8"/>
    <n v="1"/>
    <n v="1.2"/>
    <n v="1.5"/>
    <n v="9"/>
    <x v="0"/>
    <s v="No"/>
    <x v="0"/>
    <x v="0"/>
    <x v="0"/>
    <x v="1"/>
  </r>
  <r>
    <x v="242"/>
    <x v="12"/>
    <s v="Female"/>
    <x v="4"/>
    <x v="0"/>
    <s v="High"/>
    <s v="Single"/>
    <s v="With Family"/>
    <x v="3"/>
    <x v="1"/>
    <x v="1"/>
    <n v="5.34"/>
    <n v="0.99"/>
    <n v="4.2"/>
    <n v="11.08"/>
    <n v="0"/>
    <n v="9.8000000000000007"/>
    <n v="10"/>
    <n v="2.2999999999999998"/>
    <s v="No"/>
    <n v="5.7"/>
    <n v="1.9"/>
    <n v="3.9"/>
    <n v="8.5"/>
    <n v="10"/>
    <n v="10"/>
    <n v="4.5"/>
    <x v="2"/>
    <s v="No"/>
    <x v="2"/>
    <x v="3"/>
    <x v="3"/>
    <x v="2"/>
  </r>
  <r>
    <x v="243"/>
    <x v="0"/>
    <s v="Female"/>
    <x v="1"/>
    <x v="0"/>
    <s v="Lower-Middle"/>
    <s v="Single"/>
    <s v="With Roommates"/>
    <x v="1"/>
    <x v="1"/>
    <x v="4"/>
    <n v="1.33"/>
    <n v="4.8499999999999996"/>
    <n v="3.07"/>
    <n v="7.61"/>
    <n v="6"/>
    <n v="5.3"/>
    <n v="3.1"/>
    <n v="5.7"/>
    <s v="No"/>
    <n v="5.7"/>
    <n v="7.6"/>
    <n v="6.2"/>
    <n v="2.8"/>
    <n v="4.0999999999999996"/>
    <n v="4.8"/>
    <n v="5.7"/>
    <x v="1"/>
    <s v="No"/>
    <x v="1"/>
    <x v="0"/>
    <x v="1"/>
    <x v="0"/>
  </r>
  <r>
    <x v="244"/>
    <x v="17"/>
    <s v="Female"/>
    <x v="4"/>
    <x v="1"/>
    <s v="Lower-Middle"/>
    <s v="Single"/>
    <s v="Alone"/>
    <x v="1"/>
    <x v="0"/>
    <x v="2"/>
    <n v="3.18"/>
    <n v="2.4"/>
    <n v="2.95"/>
    <n v="9.2200000000000006"/>
    <n v="2"/>
    <n v="8.1"/>
    <n v="4.7"/>
    <n v="6.4"/>
    <s v="No"/>
    <n v="6.9"/>
    <n v="4.3"/>
    <n v="2.6"/>
    <n v="7.1"/>
    <n v="5.6"/>
    <n v="5.2"/>
    <n v="1.8"/>
    <x v="2"/>
    <s v="No"/>
    <x v="2"/>
    <x v="0"/>
    <x v="2"/>
    <x v="2"/>
  </r>
  <r>
    <x v="245"/>
    <x v="5"/>
    <s v="Male"/>
    <x v="0"/>
    <x v="3"/>
    <s v="Low"/>
    <s v="In a Relationship"/>
    <s v="Alone"/>
    <x v="1"/>
    <x v="4"/>
    <x v="1"/>
    <n v="1.66"/>
    <n v="3.22"/>
    <n v="1.59"/>
    <n v="5.17"/>
    <n v="3"/>
    <n v="3"/>
    <n v="6.1"/>
    <n v="6.7"/>
    <s v="No"/>
    <n v="6.7"/>
    <n v="5.5"/>
    <n v="5.0999999999999996"/>
    <n v="4.5999999999999996"/>
    <n v="4"/>
    <n v="7.1"/>
    <n v="4.4000000000000004"/>
    <x v="1"/>
    <s v="No"/>
    <x v="0"/>
    <x v="0"/>
    <x v="1"/>
    <x v="1"/>
  </r>
  <r>
    <x v="246"/>
    <x v="22"/>
    <s v="Male"/>
    <x v="0"/>
    <x v="1"/>
    <s v="Upper-Middle"/>
    <s v="Single"/>
    <s v="With Family"/>
    <x v="3"/>
    <x v="0"/>
    <x v="3"/>
    <n v="0.85"/>
    <n v="2.42"/>
    <n v="1.92"/>
    <n v="5.75"/>
    <n v="5"/>
    <n v="4.3"/>
    <n v="1"/>
    <n v="8.1"/>
    <s v="No"/>
    <n v="7.5"/>
    <n v="7.9"/>
    <n v="4.5"/>
    <n v="1"/>
    <n v="3"/>
    <n v="3.9"/>
    <n v="8.4"/>
    <x v="1"/>
    <s v="No"/>
    <x v="0"/>
    <x v="2"/>
    <x v="0"/>
    <x v="0"/>
  </r>
  <r>
    <x v="247"/>
    <x v="26"/>
    <s v="Male"/>
    <x v="0"/>
    <x v="1"/>
    <s v="Upper-Middle"/>
    <s v="Single"/>
    <s v="With Family"/>
    <x v="2"/>
    <x v="2"/>
    <x v="3"/>
    <n v="0.63"/>
    <n v="3"/>
    <n v="2.37"/>
    <n v="2.59"/>
    <n v="4"/>
    <n v="5.9"/>
    <n v="5.4"/>
    <n v="6.7"/>
    <s v="No"/>
    <n v="8"/>
    <n v="5.2"/>
    <n v="4"/>
    <n v="4.3"/>
    <n v="3.8"/>
    <n v="5.4"/>
    <n v="5.2"/>
    <x v="1"/>
    <s v="No"/>
    <x v="0"/>
    <x v="0"/>
    <x v="0"/>
    <x v="0"/>
  </r>
  <r>
    <x v="248"/>
    <x v="16"/>
    <s v="Female"/>
    <x v="4"/>
    <x v="0"/>
    <s v="Low"/>
    <s v="Single"/>
    <s v="With Partner"/>
    <x v="0"/>
    <x v="1"/>
    <x v="1"/>
    <n v="0"/>
    <n v="5.26"/>
    <n v="1.28"/>
    <n v="4.63"/>
    <n v="8"/>
    <n v="1"/>
    <n v="1"/>
    <n v="9.9"/>
    <s v="No"/>
    <n v="7.1"/>
    <n v="9.8000000000000007"/>
    <n v="7"/>
    <n v="1"/>
    <n v="2.7"/>
    <n v="2.5"/>
    <n v="8.4"/>
    <x v="1"/>
    <s v="No"/>
    <x v="0"/>
    <x v="2"/>
    <x v="0"/>
    <x v="1"/>
  </r>
  <r>
    <x v="249"/>
    <x v="25"/>
    <s v="Female"/>
    <x v="0"/>
    <x v="3"/>
    <s v="Lower-Middle"/>
    <s v="Married"/>
    <s v="With Family"/>
    <x v="4"/>
    <x v="0"/>
    <x v="1"/>
    <n v="3.04"/>
    <n v="2.7"/>
    <n v="4.07"/>
    <n v="10"/>
    <n v="2"/>
    <n v="8"/>
    <n v="7"/>
    <n v="4.5999999999999996"/>
    <s v="Yes"/>
    <n v="5.5"/>
    <n v="3.8"/>
    <n v="1"/>
    <n v="5.6"/>
    <n v="5.5"/>
    <n v="4.7"/>
    <n v="6.4"/>
    <x v="2"/>
    <s v="Yes"/>
    <x v="2"/>
    <x v="3"/>
    <x v="2"/>
    <x v="2"/>
  </r>
  <r>
    <x v="250"/>
    <x v="19"/>
    <s v="Male"/>
    <x v="0"/>
    <x v="0"/>
    <s v="Lower-Middle"/>
    <s v="Married"/>
    <s v="With Roommates"/>
    <x v="0"/>
    <x v="2"/>
    <x v="2"/>
    <n v="2.5"/>
    <n v="3.06"/>
    <n v="2.34"/>
    <n v="5.75"/>
    <n v="5"/>
    <n v="2.8"/>
    <n v="5.5"/>
    <n v="2.8"/>
    <s v="Yes"/>
    <n v="7.2"/>
    <n v="7"/>
    <n v="4.3"/>
    <n v="2.7"/>
    <n v="3.3"/>
    <n v="5.3"/>
    <n v="5.8"/>
    <x v="2"/>
    <s v="No"/>
    <x v="1"/>
    <x v="3"/>
    <x v="1"/>
    <x v="1"/>
  </r>
  <r>
    <x v="251"/>
    <x v="8"/>
    <s v="Female"/>
    <x v="1"/>
    <x v="3"/>
    <s v="Low"/>
    <s v="In a Relationship"/>
    <s v="With Partner"/>
    <x v="0"/>
    <x v="0"/>
    <x v="4"/>
    <n v="0.86"/>
    <n v="5.19"/>
    <n v="2.66"/>
    <n v="5.77"/>
    <n v="3"/>
    <n v="5"/>
    <n v="3.4"/>
    <n v="5.2"/>
    <s v="No"/>
    <n v="5.6"/>
    <n v="5.8"/>
    <n v="3.2"/>
    <n v="4.5"/>
    <n v="4"/>
    <n v="5.7"/>
    <n v="5.6"/>
    <x v="0"/>
    <s v="No"/>
    <x v="0"/>
    <x v="1"/>
    <x v="0"/>
    <x v="0"/>
  </r>
  <r>
    <x v="252"/>
    <x v="23"/>
    <s v="Non-binary"/>
    <x v="0"/>
    <x v="3"/>
    <s v="High"/>
    <s v="Single"/>
    <s v="With Family"/>
    <x v="1"/>
    <x v="1"/>
    <x v="3"/>
    <n v="1.88"/>
    <n v="2.4"/>
    <n v="2.86"/>
    <n v="4.72"/>
    <n v="3"/>
    <n v="6.7"/>
    <n v="5.3"/>
    <n v="3.8"/>
    <s v="No"/>
    <n v="5.9"/>
    <n v="5.2"/>
    <n v="1.3"/>
    <n v="4.5"/>
    <n v="7.4"/>
    <n v="5.5"/>
    <n v="1.2"/>
    <x v="1"/>
    <s v="No"/>
    <x v="1"/>
    <x v="0"/>
    <x v="1"/>
    <x v="2"/>
  </r>
  <r>
    <x v="253"/>
    <x v="15"/>
    <s v="Male"/>
    <x v="1"/>
    <x v="1"/>
    <s v="Low"/>
    <s v="Single"/>
    <s v="With Family"/>
    <x v="0"/>
    <x v="1"/>
    <x v="0"/>
    <n v="2.4700000000000002"/>
    <n v="3.26"/>
    <n v="3.17"/>
    <n v="6.87"/>
    <n v="2"/>
    <n v="4.7"/>
    <n v="5.3"/>
    <n v="6.5"/>
    <s v="Yes"/>
    <n v="7.9"/>
    <n v="5.9"/>
    <n v="5.0999999999999996"/>
    <n v="5.6"/>
    <n v="3.1"/>
    <n v="5.4"/>
    <n v="6.7"/>
    <x v="1"/>
    <s v="No"/>
    <x v="1"/>
    <x v="1"/>
    <x v="1"/>
    <x v="0"/>
  </r>
  <r>
    <x v="254"/>
    <x v="10"/>
    <s v="Female"/>
    <x v="3"/>
    <x v="3"/>
    <s v="Low"/>
    <s v="Divorced/Separated"/>
    <s v="With Roommates"/>
    <x v="3"/>
    <x v="0"/>
    <x v="4"/>
    <n v="1.72"/>
    <n v="3.49"/>
    <n v="3.34"/>
    <n v="8.15"/>
    <n v="5"/>
    <n v="6.4"/>
    <n v="5.0999999999999996"/>
    <n v="2.6"/>
    <s v="No"/>
    <n v="6.5"/>
    <n v="5.9"/>
    <n v="2.9"/>
    <n v="5"/>
    <n v="4.3"/>
    <n v="6.7"/>
    <n v="4.9000000000000004"/>
    <x v="2"/>
    <s v="No"/>
    <x v="2"/>
    <x v="2"/>
    <x v="1"/>
    <x v="2"/>
  </r>
  <r>
    <x v="255"/>
    <x v="3"/>
    <s v="Female"/>
    <x v="0"/>
    <x v="2"/>
    <s v="Lower-Middle"/>
    <s v="Single"/>
    <s v="With Partner"/>
    <x v="1"/>
    <x v="1"/>
    <x v="4"/>
    <n v="2.8"/>
    <n v="1.84"/>
    <n v="2.84"/>
    <n v="7.62"/>
    <n v="5"/>
    <n v="7.8"/>
    <n v="8.1"/>
    <n v="3.4"/>
    <s v="Yes"/>
    <n v="5.0999999999999996"/>
    <n v="5.8"/>
    <n v="3.2"/>
    <n v="7.5"/>
    <n v="5.8"/>
    <n v="4.9000000000000004"/>
    <n v="5.7"/>
    <x v="2"/>
    <s v="No"/>
    <x v="2"/>
    <x v="1"/>
    <x v="2"/>
    <x v="2"/>
  </r>
  <r>
    <x v="256"/>
    <x v="22"/>
    <s v="Female"/>
    <x v="0"/>
    <x v="2"/>
    <s v="Upper-Middle"/>
    <s v="Single"/>
    <s v="With Partner"/>
    <x v="3"/>
    <x v="3"/>
    <x v="2"/>
    <n v="0.73"/>
    <n v="6.17"/>
    <n v="1.24"/>
    <n v="3.9"/>
    <n v="6"/>
    <n v="1.6"/>
    <n v="2.2000000000000002"/>
    <n v="6.3"/>
    <s v="No"/>
    <n v="7.6"/>
    <n v="7.8"/>
    <n v="4.3"/>
    <n v="3.4"/>
    <n v="2.1"/>
    <n v="2.8"/>
    <n v="5.7"/>
    <x v="0"/>
    <s v="No"/>
    <x v="0"/>
    <x v="2"/>
    <x v="0"/>
    <x v="1"/>
  </r>
  <r>
    <x v="257"/>
    <x v="13"/>
    <s v="Male"/>
    <x v="1"/>
    <x v="2"/>
    <s v="Low"/>
    <s v="Single"/>
    <s v="Alone"/>
    <x v="1"/>
    <x v="3"/>
    <x v="1"/>
    <n v="0"/>
    <n v="5.72"/>
    <n v="1.93"/>
    <n v="3.98"/>
    <n v="6"/>
    <n v="4.4000000000000004"/>
    <n v="2.9"/>
    <n v="7.8"/>
    <s v="No"/>
    <n v="7.2"/>
    <n v="7.2"/>
    <n v="4.0999999999999996"/>
    <n v="2.9"/>
    <n v="1"/>
    <n v="1"/>
    <n v="7.1"/>
    <x v="1"/>
    <s v="No"/>
    <x v="0"/>
    <x v="2"/>
    <x v="0"/>
    <x v="0"/>
  </r>
  <r>
    <x v="258"/>
    <x v="10"/>
    <s v="Female"/>
    <x v="1"/>
    <x v="2"/>
    <s v="Upper-Middle"/>
    <s v="Single"/>
    <s v="With Roommates"/>
    <x v="3"/>
    <x v="0"/>
    <x v="1"/>
    <n v="0"/>
    <n v="4.7300000000000004"/>
    <n v="1.94"/>
    <n v="3.87"/>
    <n v="7"/>
    <n v="1"/>
    <n v="1"/>
    <n v="10"/>
    <s v="Yes"/>
    <n v="7.6"/>
    <n v="8.9"/>
    <n v="6.2"/>
    <n v="2.6"/>
    <n v="1"/>
    <n v="2.2999999999999998"/>
    <n v="9.6"/>
    <x v="0"/>
    <s v="No"/>
    <x v="0"/>
    <x v="2"/>
    <x v="0"/>
    <x v="1"/>
  </r>
  <r>
    <x v="259"/>
    <x v="26"/>
    <s v="Non-binary"/>
    <x v="0"/>
    <x v="0"/>
    <s v="Lower-Middle"/>
    <s v="Single"/>
    <s v="With Family"/>
    <x v="4"/>
    <x v="2"/>
    <x v="4"/>
    <n v="1.73"/>
    <n v="4.88"/>
    <n v="3.52"/>
    <n v="8.25"/>
    <n v="1"/>
    <n v="6.5"/>
    <n v="4.8"/>
    <n v="4.9000000000000004"/>
    <s v="No"/>
    <n v="10"/>
    <n v="9.1"/>
    <n v="1.8"/>
    <n v="3.8"/>
    <n v="4.5"/>
    <n v="7.5"/>
    <n v="7.3"/>
    <x v="1"/>
    <s v="No"/>
    <x v="1"/>
    <x v="0"/>
    <x v="1"/>
    <x v="2"/>
  </r>
  <r>
    <x v="260"/>
    <x v="1"/>
    <s v="Female"/>
    <x v="1"/>
    <x v="2"/>
    <s v="Low"/>
    <s v="Married"/>
    <s v="With Partner"/>
    <x v="3"/>
    <x v="0"/>
    <x v="1"/>
    <n v="2.38"/>
    <n v="4.72"/>
    <n v="2.0099999999999998"/>
    <n v="5.77"/>
    <n v="1"/>
    <n v="6.8"/>
    <n v="4.7"/>
    <n v="4.3"/>
    <s v="No"/>
    <n v="7.2"/>
    <n v="6.8"/>
    <n v="3.3"/>
    <n v="4.0999999999999996"/>
    <n v="5.8"/>
    <n v="4.9000000000000004"/>
    <n v="5.5"/>
    <x v="2"/>
    <s v="Yes"/>
    <x v="0"/>
    <x v="1"/>
    <x v="1"/>
    <x v="2"/>
  </r>
  <r>
    <x v="261"/>
    <x v="21"/>
    <s v="Female"/>
    <x v="1"/>
    <x v="3"/>
    <s v="Low"/>
    <s v="Single"/>
    <s v="With Partner"/>
    <x v="3"/>
    <x v="0"/>
    <x v="4"/>
    <n v="0"/>
    <n v="4.3099999999999996"/>
    <n v="0.34"/>
    <n v="2.76"/>
    <n v="7"/>
    <n v="1.6"/>
    <n v="1.1000000000000001"/>
    <n v="7.8"/>
    <s v="No"/>
    <n v="7.7"/>
    <n v="8.6"/>
    <n v="8.6"/>
    <n v="2.5"/>
    <n v="1"/>
    <n v="2.5"/>
    <n v="7.7"/>
    <x v="1"/>
    <s v="No"/>
    <x v="0"/>
    <x v="1"/>
    <x v="0"/>
    <x v="1"/>
  </r>
  <r>
    <x v="262"/>
    <x v="16"/>
    <s v="Non-binary"/>
    <x v="1"/>
    <x v="0"/>
    <s v="Lower-Middle"/>
    <s v="In a Relationship"/>
    <s v="With Family"/>
    <x v="1"/>
    <x v="0"/>
    <x v="1"/>
    <n v="5.0599999999999996"/>
    <n v="1.27"/>
    <n v="3.23"/>
    <n v="9.14"/>
    <n v="2"/>
    <n v="8"/>
    <n v="4.8"/>
    <n v="2.7"/>
    <s v="No"/>
    <n v="6.8"/>
    <n v="3.3"/>
    <n v="0.5"/>
    <n v="5.8"/>
    <n v="6.9"/>
    <n v="8.6"/>
    <n v="4.9000000000000004"/>
    <x v="2"/>
    <s v="No"/>
    <x v="2"/>
    <x v="2"/>
    <x v="3"/>
    <x v="2"/>
  </r>
  <r>
    <x v="263"/>
    <x v="21"/>
    <s v="Female"/>
    <x v="2"/>
    <x v="1"/>
    <s v="Lower-Middle"/>
    <s v="Single"/>
    <s v="With Family"/>
    <x v="3"/>
    <x v="0"/>
    <x v="2"/>
    <n v="1.36"/>
    <n v="4.29"/>
    <n v="1.08"/>
    <n v="5.18"/>
    <n v="3"/>
    <n v="3.2"/>
    <n v="1.6"/>
    <n v="7.6"/>
    <s v="No"/>
    <n v="7.3"/>
    <n v="6.3"/>
    <n v="7.1"/>
    <n v="1.9"/>
    <n v="2.5"/>
    <n v="3.9"/>
    <n v="7.2"/>
    <x v="1"/>
    <s v="No"/>
    <x v="0"/>
    <x v="1"/>
    <x v="1"/>
    <x v="0"/>
  </r>
  <r>
    <x v="264"/>
    <x v="7"/>
    <s v="Male"/>
    <x v="3"/>
    <x v="3"/>
    <s v="High"/>
    <s v="Single"/>
    <s v="With Family"/>
    <x v="3"/>
    <x v="0"/>
    <x v="4"/>
    <n v="0"/>
    <n v="4.9000000000000004"/>
    <n v="0"/>
    <n v="1.68"/>
    <n v="5"/>
    <n v="2.2999999999999998"/>
    <n v="1"/>
    <n v="10"/>
    <s v="Yes"/>
    <n v="8"/>
    <n v="10"/>
    <n v="9.6999999999999993"/>
    <n v="1"/>
    <n v="1"/>
    <n v="1"/>
    <n v="10"/>
    <x v="0"/>
    <s v="No"/>
    <x v="0"/>
    <x v="2"/>
    <x v="0"/>
    <x v="1"/>
  </r>
  <r>
    <x v="265"/>
    <x v="1"/>
    <s v="Female"/>
    <x v="1"/>
    <x v="3"/>
    <s v="Upper-Middle"/>
    <s v="Married"/>
    <s v="With Family"/>
    <x v="3"/>
    <x v="2"/>
    <x v="1"/>
    <n v="3.55"/>
    <n v="1.58"/>
    <n v="4.78"/>
    <n v="10.29"/>
    <n v="3"/>
    <n v="6.9"/>
    <n v="8"/>
    <n v="1.7"/>
    <s v="Yes"/>
    <n v="6.2"/>
    <n v="3"/>
    <n v="1"/>
    <n v="8.9"/>
    <n v="8.1999999999999993"/>
    <n v="9.4"/>
    <n v="4.0999999999999996"/>
    <x v="2"/>
    <s v="No"/>
    <x v="2"/>
    <x v="1"/>
    <x v="2"/>
    <x v="2"/>
  </r>
  <r>
    <x v="266"/>
    <x v="15"/>
    <s v="Female"/>
    <x v="1"/>
    <x v="3"/>
    <s v="High"/>
    <s v="Single"/>
    <s v="With Roommates"/>
    <x v="1"/>
    <x v="0"/>
    <x v="0"/>
    <n v="0.35"/>
    <n v="5.77"/>
    <n v="7.0000000000000007E-2"/>
    <n v="2.0499999999999998"/>
    <n v="8"/>
    <n v="1"/>
    <n v="1.3"/>
    <n v="10"/>
    <s v="No"/>
    <n v="8.8000000000000007"/>
    <n v="10"/>
    <n v="6.9"/>
    <n v="1"/>
    <n v="1"/>
    <n v="1.9"/>
    <n v="10"/>
    <x v="0"/>
    <s v="Yes"/>
    <x v="0"/>
    <x v="1"/>
    <x v="0"/>
    <x v="1"/>
  </r>
  <r>
    <x v="267"/>
    <x v="16"/>
    <s v="Male"/>
    <x v="1"/>
    <x v="2"/>
    <s v="Lower-Middle"/>
    <s v="Married"/>
    <s v="With Family"/>
    <x v="1"/>
    <x v="0"/>
    <x v="3"/>
    <n v="3.44"/>
    <n v="3.44"/>
    <n v="3.93"/>
    <n v="9.1300000000000008"/>
    <n v="0"/>
    <n v="5.2"/>
    <n v="6"/>
    <n v="2.5"/>
    <s v="Yes"/>
    <n v="7.2"/>
    <n v="5.8"/>
    <n v="0.9"/>
    <n v="5.6"/>
    <n v="6.7"/>
    <n v="6.4"/>
    <n v="4.5999999999999996"/>
    <x v="2"/>
    <s v="Yes"/>
    <x v="2"/>
    <x v="2"/>
    <x v="2"/>
    <x v="0"/>
  </r>
  <r>
    <x v="268"/>
    <x v="0"/>
    <s v="Female"/>
    <x v="3"/>
    <x v="3"/>
    <s v="High"/>
    <s v="In a Relationship"/>
    <s v="With Family"/>
    <x v="0"/>
    <x v="0"/>
    <x v="2"/>
    <n v="1.45"/>
    <n v="3.29"/>
    <n v="2.91"/>
    <n v="5.35"/>
    <n v="3"/>
    <n v="6.7"/>
    <n v="7.9"/>
    <n v="5.8"/>
    <s v="Yes"/>
    <n v="7.8"/>
    <n v="6.8"/>
    <n v="1"/>
    <n v="4.4000000000000004"/>
    <n v="6.3"/>
    <n v="6"/>
    <n v="7.7"/>
    <x v="2"/>
    <s v="No"/>
    <x v="1"/>
    <x v="0"/>
    <x v="1"/>
    <x v="2"/>
  </r>
  <r>
    <x v="269"/>
    <x v="14"/>
    <s v="Non-binary"/>
    <x v="0"/>
    <x v="1"/>
    <s v="Lower-Middle"/>
    <s v="Single"/>
    <s v="With Family"/>
    <x v="2"/>
    <x v="3"/>
    <x v="1"/>
    <n v="2.67"/>
    <n v="3.5"/>
    <n v="2.8"/>
    <n v="7.8"/>
    <n v="4"/>
    <n v="5"/>
    <n v="4.2"/>
    <n v="4.7"/>
    <s v="No"/>
    <n v="7.8"/>
    <n v="6.8"/>
    <n v="3.9"/>
    <n v="4.7"/>
    <n v="7.6"/>
    <n v="6.3"/>
    <n v="5.3"/>
    <x v="1"/>
    <s v="No"/>
    <x v="1"/>
    <x v="3"/>
    <x v="2"/>
    <x v="0"/>
  </r>
  <r>
    <x v="270"/>
    <x v="12"/>
    <s v="Non-binary"/>
    <x v="1"/>
    <x v="0"/>
    <s v="Lower-Middle"/>
    <s v="Divorced/Separated"/>
    <s v="With Partner"/>
    <x v="1"/>
    <x v="4"/>
    <x v="2"/>
    <n v="1.81"/>
    <n v="4.09"/>
    <n v="1.29"/>
    <n v="5.66"/>
    <n v="4"/>
    <n v="3.2"/>
    <n v="1.9"/>
    <n v="5.9"/>
    <s v="Yes"/>
    <n v="8.1"/>
    <n v="7.2"/>
    <n v="5.2"/>
    <n v="3.3"/>
    <n v="1.7"/>
    <n v="3.4"/>
    <n v="7.3"/>
    <x v="2"/>
    <s v="No"/>
    <x v="0"/>
    <x v="3"/>
    <x v="1"/>
    <x v="0"/>
  </r>
  <r>
    <x v="271"/>
    <x v="21"/>
    <s v="Male"/>
    <x v="1"/>
    <x v="2"/>
    <s v="Low"/>
    <s v="Single"/>
    <s v="With Roommates"/>
    <x v="3"/>
    <x v="0"/>
    <x v="4"/>
    <n v="3.45"/>
    <n v="2.14"/>
    <n v="2.97"/>
    <n v="7.09"/>
    <n v="5"/>
    <n v="7.9"/>
    <n v="3.4"/>
    <n v="6.7"/>
    <s v="No"/>
    <n v="7.5"/>
    <n v="5.6"/>
    <n v="2.5"/>
    <n v="6.5"/>
    <n v="4"/>
    <n v="7.7"/>
    <n v="4.3"/>
    <x v="2"/>
    <s v="No"/>
    <x v="2"/>
    <x v="1"/>
    <x v="2"/>
    <x v="2"/>
  </r>
  <r>
    <x v="272"/>
    <x v="25"/>
    <s v="Male"/>
    <x v="1"/>
    <x v="1"/>
    <s v="Low"/>
    <s v="Married"/>
    <s v="Alone"/>
    <x v="3"/>
    <x v="0"/>
    <x v="4"/>
    <n v="2.54"/>
    <n v="3.44"/>
    <n v="2.68"/>
    <n v="6.62"/>
    <n v="2"/>
    <n v="6.3"/>
    <n v="7.7"/>
    <n v="4"/>
    <s v="Yes"/>
    <n v="7.3"/>
    <n v="4.5999999999999996"/>
    <n v="1"/>
    <n v="5"/>
    <n v="8.1999999999999993"/>
    <n v="8.3000000000000007"/>
    <n v="4.4000000000000004"/>
    <x v="2"/>
    <s v="Yes"/>
    <x v="2"/>
    <x v="3"/>
    <x v="2"/>
    <x v="2"/>
  </r>
  <r>
    <x v="273"/>
    <x v="21"/>
    <s v="Prefer not to say"/>
    <x v="0"/>
    <x v="0"/>
    <s v="Upper-Middle"/>
    <s v="Single"/>
    <s v="With Family"/>
    <x v="2"/>
    <x v="0"/>
    <x v="4"/>
    <n v="0"/>
    <n v="5.65"/>
    <n v="1.49"/>
    <n v="3.52"/>
    <n v="3"/>
    <n v="2.6"/>
    <n v="2.2000000000000002"/>
    <n v="8"/>
    <s v="No"/>
    <n v="8.3000000000000007"/>
    <n v="8"/>
    <n v="4"/>
    <n v="1.8"/>
    <n v="2.7"/>
    <n v="3.3"/>
    <n v="8.1999999999999993"/>
    <x v="0"/>
    <s v="No"/>
    <x v="0"/>
    <x v="1"/>
    <x v="0"/>
    <x v="1"/>
  </r>
  <r>
    <x v="274"/>
    <x v="10"/>
    <s v="Female"/>
    <x v="3"/>
    <x v="2"/>
    <s v="Lower-Middle"/>
    <s v="Married"/>
    <s v="With Partner"/>
    <x v="3"/>
    <x v="0"/>
    <x v="1"/>
    <n v="2.02"/>
    <n v="2.31"/>
    <n v="4.93"/>
    <n v="8.35"/>
    <n v="2"/>
    <n v="6.6"/>
    <n v="7.5"/>
    <n v="3.7"/>
    <s v="Yes"/>
    <n v="4.9000000000000004"/>
    <n v="2.8"/>
    <n v="4.2"/>
    <n v="8.1999999999999993"/>
    <n v="6.1"/>
    <n v="6.7"/>
    <n v="5.4"/>
    <x v="2"/>
    <s v="No"/>
    <x v="2"/>
    <x v="2"/>
    <x v="1"/>
    <x v="2"/>
  </r>
  <r>
    <x v="275"/>
    <x v="21"/>
    <s v="Male"/>
    <x v="1"/>
    <x v="1"/>
    <s v="Low"/>
    <s v="Single"/>
    <s v="With Partner"/>
    <x v="3"/>
    <x v="0"/>
    <x v="2"/>
    <n v="2.96"/>
    <n v="1.87"/>
    <n v="3.95"/>
    <n v="8.69"/>
    <n v="5"/>
    <n v="6.6"/>
    <n v="6.9"/>
    <n v="3.4"/>
    <s v="Yes"/>
    <n v="6.8"/>
    <n v="2.2000000000000002"/>
    <n v="4.2"/>
    <n v="7.6"/>
    <n v="5.4"/>
    <n v="5.6"/>
    <n v="4.8"/>
    <x v="1"/>
    <s v="Yes"/>
    <x v="2"/>
    <x v="1"/>
    <x v="2"/>
    <x v="2"/>
  </r>
  <r>
    <x v="276"/>
    <x v="22"/>
    <s v="Non-binary"/>
    <x v="1"/>
    <x v="0"/>
    <s v="Upper-Middle"/>
    <s v="In a Relationship"/>
    <s v="With Family"/>
    <x v="0"/>
    <x v="1"/>
    <x v="1"/>
    <n v="2.4700000000000002"/>
    <n v="5.23"/>
    <n v="3.08"/>
    <n v="9.17"/>
    <n v="3"/>
    <n v="9"/>
    <n v="5.2"/>
    <n v="5.2"/>
    <s v="No"/>
    <n v="8"/>
    <n v="6.9"/>
    <n v="4.5999999999999996"/>
    <n v="4.3"/>
    <n v="4.3"/>
    <n v="4.7"/>
    <n v="4.8"/>
    <x v="1"/>
    <s v="No"/>
    <x v="2"/>
    <x v="2"/>
    <x v="1"/>
    <x v="2"/>
  </r>
  <r>
    <x v="277"/>
    <x v="21"/>
    <s v="Female"/>
    <x v="1"/>
    <x v="2"/>
    <s v="Lower-Middle"/>
    <s v="Married"/>
    <s v="With Family"/>
    <x v="1"/>
    <x v="0"/>
    <x v="3"/>
    <n v="0.39"/>
    <n v="4.84"/>
    <n v="0.64"/>
    <n v="2.0099999999999998"/>
    <n v="3"/>
    <n v="1.7"/>
    <n v="3.6"/>
    <n v="2.9"/>
    <s v="No"/>
    <n v="6.7"/>
    <n v="7.3"/>
    <n v="4.0999999999999996"/>
    <n v="3.4"/>
    <n v="2.6"/>
    <n v="2.7"/>
    <n v="7.3"/>
    <x v="0"/>
    <s v="Yes"/>
    <x v="0"/>
    <x v="1"/>
    <x v="0"/>
    <x v="1"/>
  </r>
  <r>
    <x v="278"/>
    <x v="14"/>
    <s v="Female"/>
    <x v="2"/>
    <x v="1"/>
    <s v="Lower-Middle"/>
    <s v="Married"/>
    <s v="With Family"/>
    <x v="3"/>
    <x v="1"/>
    <x v="2"/>
    <n v="2.6"/>
    <n v="3.37"/>
    <n v="4"/>
    <n v="6.29"/>
    <n v="4"/>
    <n v="7.8"/>
    <n v="9.3000000000000007"/>
    <n v="1.7"/>
    <s v="Yes"/>
    <n v="6"/>
    <n v="6"/>
    <n v="1.3"/>
    <n v="8.6999999999999993"/>
    <n v="4.2"/>
    <n v="6.3"/>
    <n v="3.4"/>
    <x v="1"/>
    <s v="No"/>
    <x v="2"/>
    <x v="3"/>
    <x v="2"/>
    <x v="2"/>
  </r>
  <r>
    <x v="279"/>
    <x v="14"/>
    <s v="Female"/>
    <x v="1"/>
    <x v="2"/>
    <s v="Lower-Middle"/>
    <s v="Married"/>
    <s v="With Family"/>
    <x v="3"/>
    <x v="0"/>
    <x v="3"/>
    <n v="0.52"/>
    <n v="3.88"/>
    <n v="3.67"/>
    <n v="5.59"/>
    <n v="4"/>
    <n v="9"/>
    <n v="5.2"/>
    <n v="5.5"/>
    <s v="Yes"/>
    <n v="6.6"/>
    <n v="5.0999999999999996"/>
    <n v="5.4"/>
    <n v="4.0999999999999996"/>
    <n v="6.2"/>
    <n v="5.9"/>
    <n v="5.7"/>
    <x v="2"/>
    <s v="No"/>
    <x v="1"/>
    <x v="3"/>
    <x v="0"/>
    <x v="2"/>
  </r>
  <r>
    <x v="280"/>
    <x v="18"/>
    <s v="Male"/>
    <x v="3"/>
    <x v="0"/>
    <s v="Upper-Middle"/>
    <s v="Married"/>
    <s v="Alone"/>
    <x v="4"/>
    <x v="2"/>
    <x v="1"/>
    <n v="1.39"/>
    <n v="3.92"/>
    <n v="1.75"/>
    <n v="4.8099999999999996"/>
    <n v="6"/>
    <n v="4.0999999999999996"/>
    <n v="4.5"/>
    <n v="9.6"/>
    <s v="No"/>
    <n v="7.9"/>
    <n v="8.3000000000000007"/>
    <n v="7.7"/>
    <n v="1"/>
    <n v="1"/>
    <n v="1.4"/>
    <n v="7.3"/>
    <x v="1"/>
    <s v="No"/>
    <x v="0"/>
    <x v="2"/>
    <x v="1"/>
    <x v="0"/>
  </r>
  <r>
    <x v="281"/>
    <x v="13"/>
    <s v="Male"/>
    <x v="0"/>
    <x v="0"/>
    <s v="Upper-Middle"/>
    <s v="Married"/>
    <s v="With Partner"/>
    <x v="0"/>
    <x v="2"/>
    <x v="3"/>
    <n v="0"/>
    <n v="5.9"/>
    <n v="2.35"/>
    <n v="3.86"/>
    <n v="5"/>
    <n v="4.2"/>
    <n v="4.5999999999999996"/>
    <n v="8.5"/>
    <s v="No"/>
    <n v="6.8"/>
    <n v="8.3000000000000007"/>
    <n v="3.7"/>
    <n v="3.1"/>
    <n v="2.2000000000000002"/>
    <n v="5.2"/>
    <n v="5"/>
    <x v="1"/>
    <s v="No"/>
    <x v="0"/>
    <x v="2"/>
    <x v="0"/>
    <x v="0"/>
  </r>
  <r>
    <x v="282"/>
    <x v="9"/>
    <s v="Male"/>
    <x v="1"/>
    <x v="2"/>
    <s v="Lower-Middle"/>
    <s v="Single"/>
    <s v="Alone"/>
    <x v="2"/>
    <x v="1"/>
    <x v="1"/>
    <n v="2.86"/>
    <n v="2.7"/>
    <n v="3.18"/>
    <n v="8.31"/>
    <n v="2"/>
    <n v="5.4"/>
    <n v="6.9"/>
    <n v="3.1"/>
    <s v="Yes"/>
    <n v="6.5"/>
    <n v="6.9"/>
    <n v="2.8"/>
    <n v="6"/>
    <n v="5.2"/>
    <n v="5.3"/>
    <n v="3.1"/>
    <x v="2"/>
    <s v="No"/>
    <x v="2"/>
    <x v="2"/>
    <x v="2"/>
    <x v="0"/>
  </r>
  <r>
    <x v="283"/>
    <x v="25"/>
    <s v="Female"/>
    <x v="1"/>
    <x v="3"/>
    <s v="Lower-Middle"/>
    <s v="Single"/>
    <s v="With Partner"/>
    <x v="1"/>
    <x v="0"/>
    <x v="4"/>
    <n v="1.84"/>
    <n v="4.7"/>
    <n v="3.26"/>
    <n v="6.08"/>
    <n v="3"/>
    <n v="6.8"/>
    <n v="5.4"/>
    <n v="6"/>
    <s v="No"/>
    <n v="7.4"/>
    <n v="5.9"/>
    <n v="1.7"/>
    <n v="3.8"/>
    <n v="6.8"/>
    <n v="5.7"/>
    <n v="4.4000000000000004"/>
    <x v="1"/>
    <s v="No"/>
    <x v="1"/>
    <x v="3"/>
    <x v="1"/>
    <x v="2"/>
  </r>
  <r>
    <x v="284"/>
    <x v="19"/>
    <s v="Male"/>
    <x v="1"/>
    <x v="0"/>
    <s v="Lower-Middle"/>
    <s v="Single"/>
    <s v="Alone"/>
    <x v="1"/>
    <x v="1"/>
    <x v="0"/>
    <n v="2.95"/>
    <n v="4.26"/>
    <n v="4.9800000000000004"/>
    <n v="8.76"/>
    <n v="3"/>
    <n v="8.5"/>
    <n v="3.3"/>
    <n v="1"/>
    <s v="Yes"/>
    <n v="4.4000000000000004"/>
    <n v="3.3"/>
    <n v="3.5"/>
    <n v="7.8"/>
    <n v="6.2"/>
    <n v="7.8"/>
    <n v="3.3"/>
    <x v="2"/>
    <s v="Yes"/>
    <x v="2"/>
    <x v="3"/>
    <x v="2"/>
    <x v="2"/>
  </r>
  <r>
    <x v="285"/>
    <x v="19"/>
    <s v="Male"/>
    <x v="0"/>
    <x v="2"/>
    <s v="Upper-Middle"/>
    <s v="Single"/>
    <s v="With Roommates"/>
    <x v="5"/>
    <x v="1"/>
    <x v="4"/>
    <n v="1.1100000000000001"/>
    <n v="4.46"/>
    <n v="2.4900000000000002"/>
    <n v="4.93"/>
    <n v="3"/>
    <n v="2.4"/>
    <n v="3.4"/>
    <n v="6.2"/>
    <s v="No"/>
    <n v="7.3"/>
    <n v="8.6"/>
    <n v="7.5"/>
    <n v="4.0999999999999996"/>
    <n v="3.7"/>
    <n v="6"/>
    <n v="5.6"/>
    <x v="2"/>
    <s v="No"/>
    <x v="0"/>
    <x v="3"/>
    <x v="1"/>
    <x v="1"/>
  </r>
  <r>
    <x v="286"/>
    <x v="8"/>
    <s v="Male"/>
    <x v="3"/>
    <x v="0"/>
    <s v="Lower-Middle"/>
    <s v="Single"/>
    <s v="With Roommates"/>
    <x v="4"/>
    <x v="3"/>
    <x v="4"/>
    <n v="0"/>
    <n v="3.92"/>
    <n v="0.53"/>
    <n v="1.87"/>
    <n v="8"/>
    <n v="2.4"/>
    <n v="1.3"/>
    <n v="9.1"/>
    <s v="Yes"/>
    <n v="7.4"/>
    <n v="8"/>
    <n v="6.6"/>
    <n v="1.8"/>
    <n v="1"/>
    <n v="4.5999999999999996"/>
    <n v="7.9"/>
    <x v="1"/>
    <s v="No"/>
    <x v="0"/>
    <x v="1"/>
    <x v="0"/>
    <x v="1"/>
  </r>
  <r>
    <x v="287"/>
    <x v="16"/>
    <s v="Female"/>
    <x v="0"/>
    <x v="2"/>
    <s v="Low"/>
    <s v="In a Relationship"/>
    <s v="With Family"/>
    <x v="3"/>
    <x v="1"/>
    <x v="2"/>
    <n v="4.09"/>
    <n v="0"/>
    <n v="3.8"/>
    <n v="12.01"/>
    <n v="3"/>
    <n v="8.4"/>
    <n v="10"/>
    <n v="1.6"/>
    <s v="Yes"/>
    <n v="3.9"/>
    <n v="2"/>
    <n v="4.7"/>
    <n v="8.1999999999999993"/>
    <n v="9.6"/>
    <n v="10"/>
    <n v="1.4"/>
    <x v="1"/>
    <s v="Yes"/>
    <x v="2"/>
    <x v="2"/>
    <x v="3"/>
    <x v="2"/>
  </r>
  <r>
    <x v="288"/>
    <x v="14"/>
    <s v="Female"/>
    <x v="0"/>
    <x v="1"/>
    <s v="Low"/>
    <s v="Single"/>
    <s v="With Family"/>
    <x v="0"/>
    <x v="4"/>
    <x v="1"/>
    <n v="0.09"/>
    <n v="5.81"/>
    <n v="1.55"/>
    <n v="5.19"/>
    <n v="5"/>
    <n v="1"/>
    <n v="1"/>
    <n v="8.9"/>
    <s v="No"/>
    <n v="8.6999999999999993"/>
    <n v="9"/>
    <n v="5.4"/>
    <n v="1"/>
    <n v="4"/>
    <n v="3.1"/>
    <n v="9.8000000000000007"/>
    <x v="0"/>
    <s v="No"/>
    <x v="0"/>
    <x v="3"/>
    <x v="0"/>
    <x v="1"/>
  </r>
  <r>
    <x v="289"/>
    <x v="6"/>
    <s v="Male"/>
    <x v="1"/>
    <x v="1"/>
    <s v="Lower-Middle"/>
    <s v="In a Relationship"/>
    <s v="With Roommates"/>
    <x v="3"/>
    <x v="2"/>
    <x v="3"/>
    <n v="1.86"/>
    <n v="4.8"/>
    <n v="1.04"/>
    <n v="3.23"/>
    <n v="7"/>
    <n v="2.4"/>
    <n v="3.3"/>
    <n v="7"/>
    <s v="No"/>
    <n v="7.6"/>
    <n v="6.5"/>
    <n v="2.6"/>
    <n v="4.5"/>
    <n v="3.5"/>
    <n v="4.4000000000000004"/>
    <n v="7.4"/>
    <x v="1"/>
    <s v="No"/>
    <x v="0"/>
    <x v="2"/>
    <x v="1"/>
    <x v="1"/>
  </r>
  <r>
    <x v="290"/>
    <x v="15"/>
    <s v="Male"/>
    <x v="2"/>
    <x v="0"/>
    <s v="Lower-Middle"/>
    <s v="Single"/>
    <s v="With Family"/>
    <x v="3"/>
    <x v="0"/>
    <x v="1"/>
    <n v="1.53"/>
    <n v="3.11"/>
    <n v="2.98"/>
    <n v="4.58"/>
    <n v="4"/>
    <n v="5.7"/>
    <n v="5.0999999999999996"/>
    <n v="7.1"/>
    <s v="Yes"/>
    <n v="7"/>
    <n v="6.9"/>
    <n v="5.9"/>
    <n v="4.5"/>
    <n v="4.2"/>
    <n v="4.9000000000000004"/>
    <n v="5.0999999999999996"/>
    <x v="1"/>
    <s v="No"/>
    <x v="1"/>
    <x v="1"/>
    <x v="1"/>
    <x v="0"/>
  </r>
  <r>
    <x v="291"/>
    <x v="7"/>
    <s v="Female"/>
    <x v="3"/>
    <x v="2"/>
    <s v="Upper-Middle"/>
    <s v="Single"/>
    <s v="With Family"/>
    <x v="2"/>
    <x v="1"/>
    <x v="1"/>
    <n v="1.53"/>
    <n v="3.05"/>
    <n v="3.14"/>
    <n v="6.59"/>
    <n v="5"/>
    <n v="7.9"/>
    <n v="5.3"/>
    <n v="3.7"/>
    <s v="Yes"/>
    <n v="6.9"/>
    <n v="3.1"/>
    <n v="3.1"/>
    <n v="5"/>
    <n v="3.6"/>
    <n v="6.5"/>
    <n v="5.6"/>
    <x v="1"/>
    <s v="No"/>
    <x v="2"/>
    <x v="2"/>
    <x v="1"/>
    <x v="2"/>
  </r>
  <r>
    <x v="292"/>
    <x v="17"/>
    <s v="Male"/>
    <x v="1"/>
    <x v="0"/>
    <s v="Low"/>
    <s v="In a Relationship"/>
    <s v="Alone"/>
    <x v="1"/>
    <x v="0"/>
    <x v="4"/>
    <n v="1.72"/>
    <n v="3.72"/>
    <n v="2.0699999999999998"/>
    <n v="7.7"/>
    <n v="3"/>
    <n v="6"/>
    <n v="5.4"/>
    <n v="4.8"/>
    <s v="No"/>
    <n v="6.8"/>
    <n v="5.5"/>
    <n v="1.9"/>
    <n v="6.9"/>
    <n v="6.2"/>
    <n v="8.1"/>
    <n v="3.7"/>
    <x v="1"/>
    <s v="No"/>
    <x v="2"/>
    <x v="0"/>
    <x v="1"/>
    <x v="0"/>
  </r>
  <r>
    <x v="293"/>
    <x v="9"/>
    <s v="Male"/>
    <x v="2"/>
    <x v="2"/>
    <s v="Lower-Middle"/>
    <s v="Married"/>
    <s v="With Partner"/>
    <x v="4"/>
    <x v="0"/>
    <x v="1"/>
    <n v="5.99"/>
    <n v="2.4500000000000002"/>
    <n v="5.64"/>
    <n v="14.3"/>
    <n v="0"/>
    <n v="10"/>
    <n v="10"/>
    <n v="3.4"/>
    <s v="No"/>
    <n v="4.7"/>
    <n v="2.6"/>
    <n v="4"/>
    <n v="8.8000000000000007"/>
    <n v="7.7"/>
    <n v="8.6999999999999993"/>
    <n v="2.8"/>
    <x v="2"/>
    <s v="Yes"/>
    <x v="2"/>
    <x v="2"/>
    <x v="3"/>
    <x v="2"/>
  </r>
  <r>
    <x v="294"/>
    <x v="11"/>
    <s v="Male"/>
    <x v="0"/>
    <x v="1"/>
    <s v="Upper-Middle"/>
    <s v="In a Relationship"/>
    <s v="Alone"/>
    <x v="3"/>
    <x v="1"/>
    <x v="1"/>
    <n v="0.77"/>
    <n v="3.9"/>
    <n v="3.09"/>
    <n v="5.83"/>
    <n v="4"/>
    <n v="6"/>
    <n v="1.7"/>
    <n v="5.9"/>
    <s v="No"/>
    <n v="7.7"/>
    <n v="6"/>
    <n v="3.2"/>
    <n v="2.6"/>
    <n v="2.8"/>
    <n v="4.8"/>
    <n v="6.4"/>
    <x v="1"/>
    <s v="No"/>
    <x v="1"/>
    <x v="3"/>
    <x v="0"/>
    <x v="0"/>
  </r>
  <r>
    <x v="295"/>
    <x v="9"/>
    <s v="Male"/>
    <x v="0"/>
    <x v="0"/>
    <s v="Upper-Middle"/>
    <s v="In a Relationship"/>
    <s v="With Roommates"/>
    <x v="1"/>
    <x v="0"/>
    <x v="2"/>
    <n v="0.28999999999999998"/>
    <n v="4.91"/>
    <n v="0.27"/>
    <n v="2.1"/>
    <n v="2"/>
    <n v="2.9"/>
    <n v="2.8"/>
    <n v="5.6"/>
    <s v="No"/>
    <n v="8.4"/>
    <n v="10"/>
    <n v="3.4"/>
    <n v="4.8"/>
    <n v="3.3"/>
    <n v="5.3"/>
    <n v="7.2"/>
    <x v="1"/>
    <s v="No"/>
    <x v="0"/>
    <x v="2"/>
    <x v="0"/>
    <x v="1"/>
  </r>
  <r>
    <x v="296"/>
    <x v="4"/>
    <s v="Male"/>
    <x v="3"/>
    <x v="2"/>
    <s v="Lower-Middle"/>
    <s v="Single"/>
    <s v="Alone"/>
    <x v="4"/>
    <x v="4"/>
    <x v="1"/>
    <n v="2.35"/>
    <n v="4.0599999999999996"/>
    <n v="2.76"/>
    <n v="8.19"/>
    <n v="6"/>
    <n v="4.2"/>
    <n v="2.9"/>
    <n v="8.1999999999999993"/>
    <s v="Yes"/>
    <n v="6.2"/>
    <n v="8"/>
    <n v="5.2"/>
    <n v="4.8"/>
    <n v="3"/>
    <n v="4.3"/>
    <n v="7.8"/>
    <x v="1"/>
    <s v="No"/>
    <x v="0"/>
    <x v="1"/>
    <x v="1"/>
    <x v="0"/>
  </r>
  <r>
    <x v="297"/>
    <x v="10"/>
    <s v="Female"/>
    <x v="3"/>
    <x v="2"/>
    <s v="Lower-Middle"/>
    <s v="In a Relationship"/>
    <s v="With Roommates"/>
    <x v="4"/>
    <x v="0"/>
    <x v="0"/>
    <n v="0.66"/>
    <n v="4.3899999999999997"/>
    <n v="2.52"/>
    <n v="5.36"/>
    <n v="3"/>
    <n v="4.8"/>
    <n v="5.3"/>
    <n v="8"/>
    <s v="No"/>
    <n v="8"/>
    <n v="6.5"/>
    <n v="2.4"/>
    <n v="3.9"/>
    <n v="3.2"/>
    <n v="3.5"/>
    <n v="7.3"/>
    <x v="1"/>
    <s v="No"/>
    <x v="0"/>
    <x v="2"/>
    <x v="0"/>
    <x v="0"/>
  </r>
  <r>
    <x v="298"/>
    <x v="22"/>
    <s v="Male"/>
    <x v="0"/>
    <x v="3"/>
    <s v="Lower-Middle"/>
    <s v="Single"/>
    <s v="Alone"/>
    <x v="3"/>
    <x v="1"/>
    <x v="4"/>
    <n v="1.28"/>
    <n v="3.56"/>
    <n v="3.27"/>
    <n v="8.2799999999999994"/>
    <n v="6"/>
    <n v="4.8"/>
    <n v="4.8"/>
    <n v="3.3"/>
    <s v="No"/>
    <n v="6.8"/>
    <n v="6.5"/>
    <n v="5.6"/>
    <n v="4.0999999999999996"/>
    <n v="4.8"/>
    <n v="6.2"/>
    <n v="4.8"/>
    <x v="1"/>
    <s v="No"/>
    <x v="0"/>
    <x v="2"/>
    <x v="1"/>
    <x v="0"/>
  </r>
  <r>
    <x v="299"/>
    <x v="21"/>
    <s v="Female"/>
    <x v="1"/>
    <x v="3"/>
    <s v="High"/>
    <s v="Single"/>
    <s v="With Partner"/>
    <x v="1"/>
    <x v="1"/>
    <x v="1"/>
    <n v="0.86"/>
    <n v="4.5599999999999996"/>
    <n v="1.68"/>
    <n v="2.85"/>
    <n v="8"/>
    <n v="1.1000000000000001"/>
    <n v="1"/>
    <n v="7.8"/>
    <s v="No"/>
    <n v="8.1999999999999993"/>
    <n v="9.3000000000000007"/>
    <n v="3.5"/>
    <n v="2.2000000000000002"/>
    <n v="1.1000000000000001"/>
    <n v="2.2999999999999998"/>
    <n v="8.3000000000000007"/>
    <x v="1"/>
    <s v="No"/>
    <x v="0"/>
    <x v="1"/>
    <x v="0"/>
    <x v="1"/>
  </r>
  <r>
    <x v="300"/>
    <x v="17"/>
    <s v="Male"/>
    <x v="1"/>
    <x v="0"/>
    <s v="Low"/>
    <s v="Single"/>
    <s v="Alone"/>
    <x v="2"/>
    <x v="3"/>
    <x v="3"/>
    <n v="3.89"/>
    <n v="2.68"/>
    <n v="4.71"/>
    <n v="11.02"/>
    <n v="2"/>
    <n v="6.4"/>
    <n v="5.9"/>
    <n v="4.4000000000000004"/>
    <s v="No"/>
    <n v="6.6"/>
    <n v="5.2"/>
    <n v="3.4"/>
    <n v="5.7"/>
    <n v="4.0999999999999996"/>
    <n v="6.8"/>
    <n v="4.9000000000000004"/>
    <x v="1"/>
    <s v="No"/>
    <x v="1"/>
    <x v="0"/>
    <x v="2"/>
    <x v="2"/>
  </r>
  <r>
    <x v="301"/>
    <x v="10"/>
    <s v="Female"/>
    <x v="4"/>
    <x v="1"/>
    <s v="High"/>
    <s v="Single"/>
    <s v="Alone"/>
    <x v="3"/>
    <x v="1"/>
    <x v="0"/>
    <n v="1.47"/>
    <n v="3.75"/>
    <n v="2.74"/>
    <n v="5.65"/>
    <n v="2"/>
    <n v="6.6"/>
    <n v="5.9"/>
    <n v="7"/>
    <s v="No"/>
    <n v="6.6"/>
    <n v="7.5"/>
    <n v="4"/>
    <n v="4.9000000000000004"/>
    <n v="5.3"/>
    <n v="5.9"/>
    <n v="6.5"/>
    <x v="2"/>
    <s v="Yes"/>
    <x v="1"/>
    <x v="2"/>
    <x v="1"/>
    <x v="2"/>
  </r>
  <r>
    <x v="302"/>
    <x v="25"/>
    <s v="Female"/>
    <x v="1"/>
    <x v="2"/>
    <s v="Upper-Middle"/>
    <s v="Single"/>
    <s v="With Roommates"/>
    <x v="4"/>
    <x v="4"/>
    <x v="4"/>
    <n v="0.97"/>
    <n v="4.54"/>
    <n v="0.96"/>
    <n v="4.3499999999999996"/>
    <n v="7"/>
    <n v="3.8"/>
    <n v="1.1000000000000001"/>
    <n v="8.5"/>
    <s v="No"/>
    <n v="8.4"/>
    <n v="9.5"/>
    <n v="5.9"/>
    <n v="1.3"/>
    <n v="2.2999999999999998"/>
    <n v="3.2"/>
    <n v="9.1"/>
    <x v="0"/>
    <s v="No"/>
    <x v="0"/>
    <x v="3"/>
    <x v="0"/>
    <x v="0"/>
  </r>
  <r>
    <x v="303"/>
    <x v="1"/>
    <s v="Male"/>
    <x v="1"/>
    <x v="2"/>
    <s v="Lower-Middle"/>
    <s v="Divorced/Separated"/>
    <s v="Alone"/>
    <x v="4"/>
    <x v="1"/>
    <x v="3"/>
    <n v="2.5299999999999998"/>
    <n v="2.48"/>
    <n v="2.4900000000000002"/>
    <n v="7.28"/>
    <n v="2"/>
    <n v="8.3000000000000007"/>
    <n v="7"/>
    <n v="4.3"/>
    <s v="No"/>
    <n v="6"/>
    <n v="5.0999999999999996"/>
    <n v="0.9"/>
    <n v="6.3"/>
    <n v="5.3"/>
    <n v="3.7"/>
    <n v="4.9000000000000004"/>
    <x v="2"/>
    <s v="No"/>
    <x v="2"/>
    <x v="1"/>
    <x v="2"/>
    <x v="2"/>
  </r>
  <r>
    <x v="304"/>
    <x v="14"/>
    <s v="Female"/>
    <x v="0"/>
    <x v="1"/>
    <s v="Low"/>
    <s v="Divorced/Separated"/>
    <s v="With Family"/>
    <x v="3"/>
    <x v="1"/>
    <x v="2"/>
    <n v="0"/>
    <n v="6.7"/>
    <n v="0.75"/>
    <n v="3.26"/>
    <n v="7"/>
    <n v="3.6"/>
    <n v="2.5"/>
    <n v="7.9"/>
    <s v="No"/>
    <n v="8.5"/>
    <n v="8.3000000000000007"/>
    <n v="4.7"/>
    <n v="2.1"/>
    <n v="1.5"/>
    <n v="4.5999999999999996"/>
    <n v="7"/>
    <x v="0"/>
    <s v="No"/>
    <x v="0"/>
    <x v="3"/>
    <x v="0"/>
    <x v="0"/>
  </r>
  <r>
    <x v="305"/>
    <x v="17"/>
    <s v="Male"/>
    <x v="0"/>
    <x v="3"/>
    <s v="Lower-Middle"/>
    <s v="Single"/>
    <s v="With Family"/>
    <x v="3"/>
    <x v="0"/>
    <x v="4"/>
    <n v="0.16"/>
    <n v="6.2"/>
    <n v="0.28999999999999998"/>
    <n v="3.43"/>
    <n v="5"/>
    <n v="4.0999999999999996"/>
    <n v="2.7"/>
    <n v="7.8"/>
    <s v="No"/>
    <n v="8.9"/>
    <n v="10"/>
    <n v="7.5"/>
    <n v="2.4"/>
    <n v="1"/>
    <n v="2.9"/>
    <n v="8"/>
    <x v="0"/>
    <s v="No"/>
    <x v="0"/>
    <x v="0"/>
    <x v="0"/>
    <x v="0"/>
  </r>
  <r>
    <x v="306"/>
    <x v="13"/>
    <s v="Non-binary"/>
    <x v="0"/>
    <x v="3"/>
    <s v="Lower-Middle"/>
    <s v="Single"/>
    <s v="With Family"/>
    <x v="3"/>
    <x v="1"/>
    <x v="2"/>
    <n v="0.69"/>
    <n v="2.95"/>
    <n v="2.81"/>
    <n v="6.88"/>
    <n v="6"/>
    <n v="5.7"/>
    <n v="5.2"/>
    <n v="7.5"/>
    <s v="No"/>
    <n v="6.4"/>
    <n v="5.0999999999999996"/>
    <n v="3.6"/>
    <n v="4.5999999999999996"/>
    <n v="5"/>
    <n v="5.9"/>
    <n v="5.5"/>
    <x v="2"/>
    <s v="No"/>
    <x v="0"/>
    <x v="2"/>
    <x v="0"/>
    <x v="0"/>
  </r>
  <r>
    <x v="307"/>
    <x v="4"/>
    <s v="Male"/>
    <x v="2"/>
    <x v="2"/>
    <s v="Low"/>
    <s v="Single"/>
    <s v="With Partner"/>
    <x v="4"/>
    <x v="4"/>
    <x v="4"/>
    <n v="0"/>
    <n v="6.8"/>
    <n v="0.47"/>
    <n v="4.42"/>
    <n v="6"/>
    <n v="1"/>
    <n v="1"/>
    <n v="8.5"/>
    <s v="No"/>
    <n v="8.1"/>
    <n v="8.4"/>
    <n v="4.4000000000000004"/>
    <n v="1"/>
    <n v="2.6"/>
    <n v="2.6"/>
    <n v="7.4"/>
    <x v="0"/>
    <s v="No"/>
    <x v="0"/>
    <x v="1"/>
    <x v="0"/>
    <x v="1"/>
  </r>
  <r>
    <x v="308"/>
    <x v="24"/>
    <s v="Male"/>
    <x v="1"/>
    <x v="2"/>
    <s v="Upper-Middle"/>
    <s v="Single"/>
    <s v="With Family"/>
    <x v="3"/>
    <x v="1"/>
    <x v="2"/>
    <n v="4.79"/>
    <n v="3.98"/>
    <n v="3.42"/>
    <n v="10.220000000000001"/>
    <n v="4"/>
    <n v="8.1"/>
    <n v="5.9"/>
    <n v="4.2"/>
    <s v="Yes"/>
    <n v="6.3"/>
    <n v="5.0999999999999996"/>
    <n v="2.6"/>
    <n v="5.6"/>
    <n v="6.4"/>
    <n v="6.4"/>
    <n v="6.4"/>
    <x v="1"/>
    <s v="Yes"/>
    <x v="2"/>
    <x v="1"/>
    <x v="3"/>
    <x v="2"/>
  </r>
  <r>
    <x v="309"/>
    <x v="24"/>
    <s v="Male"/>
    <x v="1"/>
    <x v="1"/>
    <s v="High"/>
    <s v="Married"/>
    <s v="With Family"/>
    <x v="1"/>
    <x v="4"/>
    <x v="0"/>
    <n v="0"/>
    <n v="7.02"/>
    <n v="0"/>
    <n v="1.46"/>
    <n v="10"/>
    <n v="1"/>
    <n v="1"/>
    <n v="10"/>
    <s v="Yes"/>
    <n v="9.3000000000000007"/>
    <n v="10"/>
    <n v="5.5"/>
    <n v="1"/>
    <n v="1"/>
    <n v="1"/>
    <n v="10"/>
    <x v="0"/>
    <s v="Yes"/>
    <x v="0"/>
    <x v="1"/>
    <x v="0"/>
    <x v="1"/>
  </r>
  <r>
    <x v="310"/>
    <x v="19"/>
    <s v="Prefer not to say"/>
    <x v="1"/>
    <x v="2"/>
    <s v="Lower-Middle"/>
    <s v="Single"/>
    <s v="With Roommates"/>
    <x v="1"/>
    <x v="1"/>
    <x v="3"/>
    <n v="0.08"/>
    <n v="4.42"/>
    <n v="0.61"/>
    <n v="1.47"/>
    <n v="6"/>
    <n v="4.3"/>
    <n v="3.8"/>
    <n v="6.3"/>
    <s v="No"/>
    <n v="8.9"/>
    <n v="5.4"/>
    <n v="2"/>
    <n v="1"/>
    <n v="2.7"/>
    <n v="2.8"/>
    <n v="8.3000000000000007"/>
    <x v="0"/>
    <s v="No"/>
    <x v="0"/>
    <x v="3"/>
    <x v="0"/>
    <x v="0"/>
  </r>
  <r>
    <x v="311"/>
    <x v="26"/>
    <s v="Female"/>
    <x v="4"/>
    <x v="2"/>
    <s v="Upper-Middle"/>
    <s v="Married"/>
    <s v="With Family"/>
    <x v="2"/>
    <x v="0"/>
    <x v="1"/>
    <n v="4.3899999999999997"/>
    <n v="1.45"/>
    <n v="3.2"/>
    <n v="10.029999999999999"/>
    <n v="3"/>
    <n v="7"/>
    <n v="10"/>
    <n v="5.0999999999999996"/>
    <s v="No"/>
    <n v="4.4000000000000004"/>
    <n v="1.4"/>
    <n v="1.8"/>
    <n v="8.3000000000000007"/>
    <n v="6.3"/>
    <n v="7.6"/>
    <n v="2.6"/>
    <x v="2"/>
    <s v="No"/>
    <x v="2"/>
    <x v="0"/>
    <x v="3"/>
    <x v="2"/>
  </r>
  <r>
    <x v="312"/>
    <x v="18"/>
    <s v="Female"/>
    <x v="0"/>
    <x v="2"/>
    <s v="Low"/>
    <s v="Single"/>
    <s v="Alone"/>
    <x v="3"/>
    <x v="0"/>
    <x v="4"/>
    <n v="0"/>
    <n v="4.9800000000000004"/>
    <n v="3.98"/>
    <n v="6.82"/>
    <n v="3"/>
    <n v="2.5"/>
    <n v="2.5"/>
    <n v="7.4"/>
    <s v="No"/>
    <n v="6.2"/>
    <n v="7.3"/>
    <n v="5"/>
    <n v="1.7"/>
    <n v="3"/>
    <n v="4"/>
    <n v="7"/>
    <x v="1"/>
    <s v="No"/>
    <x v="0"/>
    <x v="2"/>
    <x v="0"/>
    <x v="1"/>
  </r>
  <r>
    <x v="313"/>
    <x v="22"/>
    <s v="Male"/>
    <x v="1"/>
    <x v="1"/>
    <s v="Lower-Middle"/>
    <s v="Divorced/Separated"/>
    <s v="With Family"/>
    <x v="3"/>
    <x v="0"/>
    <x v="0"/>
    <n v="0.22"/>
    <n v="3.72"/>
    <n v="1.82"/>
    <n v="2.7"/>
    <n v="4"/>
    <n v="2.9"/>
    <n v="3.3"/>
    <n v="8.1"/>
    <s v="No"/>
    <n v="7.3"/>
    <n v="10"/>
    <n v="5.7"/>
    <n v="2.9"/>
    <n v="1.6"/>
    <n v="3.6"/>
    <n v="7.8"/>
    <x v="0"/>
    <s v="No"/>
    <x v="0"/>
    <x v="2"/>
    <x v="0"/>
    <x v="1"/>
  </r>
  <r>
    <x v="314"/>
    <x v="17"/>
    <s v="Female"/>
    <x v="3"/>
    <x v="0"/>
    <s v="Low"/>
    <s v="Single"/>
    <s v="With Partner"/>
    <x v="4"/>
    <x v="3"/>
    <x v="1"/>
    <n v="3.09"/>
    <n v="3.7"/>
    <n v="3.71"/>
    <n v="9.9499999999999993"/>
    <n v="2"/>
    <n v="8"/>
    <n v="8.8000000000000007"/>
    <n v="2.2000000000000002"/>
    <s v="No"/>
    <n v="6.3"/>
    <n v="4.2"/>
    <n v="3.2"/>
    <n v="3.7"/>
    <n v="6.5"/>
    <n v="8.3000000000000007"/>
    <n v="2.6"/>
    <x v="1"/>
    <s v="No"/>
    <x v="2"/>
    <x v="0"/>
    <x v="2"/>
    <x v="2"/>
  </r>
  <r>
    <x v="315"/>
    <x v="24"/>
    <s v="Male"/>
    <x v="4"/>
    <x v="0"/>
    <s v="Upper-Middle"/>
    <s v="Married"/>
    <s v="With Partner"/>
    <x v="4"/>
    <x v="4"/>
    <x v="4"/>
    <n v="0.54"/>
    <n v="6.25"/>
    <n v="1.63"/>
    <n v="4.07"/>
    <n v="4"/>
    <n v="5.4"/>
    <n v="3.8"/>
    <n v="8.5"/>
    <s v="No"/>
    <n v="6.7"/>
    <n v="6.5"/>
    <n v="5.9"/>
    <n v="3.6"/>
    <n v="3.6"/>
    <n v="3.3"/>
    <n v="8.1"/>
    <x v="0"/>
    <s v="No"/>
    <x v="0"/>
    <x v="1"/>
    <x v="0"/>
    <x v="0"/>
  </r>
  <r>
    <x v="316"/>
    <x v="2"/>
    <s v="Female"/>
    <x v="4"/>
    <x v="3"/>
    <s v="High"/>
    <s v="Single"/>
    <s v="With Partner"/>
    <x v="2"/>
    <x v="0"/>
    <x v="3"/>
    <n v="1.46"/>
    <n v="3.12"/>
    <n v="4.82"/>
    <n v="7.02"/>
    <n v="4"/>
    <n v="5.3"/>
    <n v="6.5"/>
    <n v="5.5"/>
    <s v="No"/>
    <n v="6.6"/>
    <n v="6.1"/>
    <n v="3"/>
    <n v="5.0999999999999996"/>
    <n v="6.6"/>
    <n v="5.0999999999999996"/>
    <n v="5.0999999999999996"/>
    <x v="1"/>
    <s v="Yes"/>
    <x v="1"/>
    <x v="2"/>
    <x v="1"/>
    <x v="0"/>
  </r>
  <r>
    <x v="317"/>
    <x v="12"/>
    <s v="Male"/>
    <x v="4"/>
    <x v="0"/>
    <s v="Upper-Middle"/>
    <s v="In a Relationship"/>
    <s v="Alone"/>
    <x v="3"/>
    <x v="1"/>
    <x v="1"/>
    <n v="2.78"/>
    <n v="3.85"/>
    <n v="2.06"/>
    <n v="5.99"/>
    <n v="1"/>
    <n v="8.6999999999999993"/>
    <n v="6.1"/>
    <n v="4.9000000000000004"/>
    <s v="No"/>
    <n v="5.5"/>
    <n v="6.4"/>
    <n v="5.8"/>
    <n v="6.2"/>
    <n v="7.1"/>
    <n v="7.7"/>
    <n v="2.8"/>
    <x v="2"/>
    <s v="No"/>
    <x v="2"/>
    <x v="3"/>
    <x v="2"/>
    <x v="2"/>
  </r>
  <r>
    <x v="318"/>
    <x v="1"/>
    <s v="Male"/>
    <x v="1"/>
    <x v="2"/>
    <s v="Low"/>
    <s v="Single"/>
    <s v="With Roommates"/>
    <x v="3"/>
    <x v="1"/>
    <x v="4"/>
    <n v="2.0099999999999998"/>
    <n v="3.06"/>
    <n v="2.92"/>
    <n v="5.98"/>
    <n v="2"/>
    <n v="4.5999999999999996"/>
    <n v="7.8"/>
    <n v="7.5"/>
    <s v="Yes"/>
    <n v="6.3"/>
    <n v="4.9000000000000004"/>
    <n v="2.2000000000000002"/>
    <n v="5.6"/>
    <n v="5.5"/>
    <n v="8.1"/>
    <n v="6.2"/>
    <x v="1"/>
    <s v="No"/>
    <x v="1"/>
    <x v="1"/>
    <x v="1"/>
    <x v="0"/>
  </r>
  <r>
    <x v="319"/>
    <x v="18"/>
    <s v="Male"/>
    <x v="3"/>
    <x v="0"/>
    <s v="Lower-Middle"/>
    <s v="Single"/>
    <s v="With Family"/>
    <x v="2"/>
    <x v="1"/>
    <x v="4"/>
    <n v="0.86"/>
    <n v="4.88"/>
    <n v="0"/>
    <n v="1.93"/>
    <n v="8"/>
    <n v="4.4000000000000004"/>
    <n v="1.8"/>
    <n v="8.1999999999999993"/>
    <s v="No"/>
    <n v="9.1999999999999993"/>
    <n v="9.6"/>
    <n v="5.3"/>
    <n v="1"/>
    <n v="1"/>
    <n v="1.1000000000000001"/>
    <n v="10"/>
    <x v="0"/>
    <s v="No"/>
    <x v="0"/>
    <x v="2"/>
    <x v="0"/>
    <x v="0"/>
  </r>
  <r>
    <x v="320"/>
    <x v="22"/>
    <s v="Female"/>
    <x v="0"/>
    <x v="0"/>
    <s v="Lower-Middle"/>
    <s v="Married"/>
    <s v="With Family"/>
    <x v="3"/>
    <x v="0"/>
    <x v="4"/>
    <n v="0"/>
    <n v="5.76"/>
    <n v="0"/>
    <n v="2.57"/>
    <n v="3"/>
    <n v="1.8"/>
    <n v="3.3"/>
    <n v="7"/>
    <s v="No"/>
    <n v="7.1"/>
    <n v="7.8"/>
    <n v="7.2"/>
    <n v="3.4"/>
    <n v="2.9"/>
    <n v="3.8"/>
    <n v="9.6"/>
    <x v="1"/>
    <s v="Yes"/>
    <x v="0"/>
    <x v="2"/>
    <x v="0"/>
    <x v="1"/>
  </r>
  <r>
    <x v="321"/>
    <x v="11"/>
    <s v="Female"/>
    <x v="4"/>
    <x v="0"/>
    <s v="Lower-Middle"/>
    <s v="Married"/>
    <s v="With Family"/>
    <x v="4"/>
    <x v="0"/>
    <x v="3"/>
    <n v="3.92"/>
    <n v="2.59"/>
    <n v="4.4800000000000004"/>
    <n v="11.26"/>
    <n v="0"/>
    <n v="10"/>
    <n v="10"/>
    <n v="1"/>
    <s v="Yes"/>
    <n v="4.8"/>
    <n v="2.2999999999999998"/>
    <n v="0.2"/>
    <n v="10"/>
    <n v="10"/>
    <n v="10"/>
    <n v="1"/>
    <x v="2"/>
    <s v="Yes"/>
    <x v="2"/>
    <x v="3"/>
    <x v="2"/>
    <x v="2"/>
  </r>
  <r>
    <x v="322"/>
    <x v="8"/>
    <s v="Male"/>
    <x v="3"/>
    <x v="0"/>
    <s v="Upper-Middle"/>
    <s v="Married"/>
    <s v="Alone"/>
    <x v="2"/>
    <x v="0"/>
    <x v="3"/>
    <n v="1"/>
    <n v="6.5"/>
    <n v="2.42"/>
    <n v="7.12"/>
    <n v="5"/>
    <n v="5"/>
    <n v="3.4"/>
    <n v="6.9"/>
    <s v="Yes"/>
    <n v="7.5"/>
    <n v="6.8"/>
    <n v="4.4000000000000004"/>
    <n v="3.7"/>
    <n v="2.7"/>
    <n v="4.8"/>
    <n v="7.2"/>
    <x v="1"/>
    <s v="Yes"/>
    <x v="0"/>
    <x v="1"/>
    <x v="0"/>
    <x v="0"/>
  </r>
  <r>
    <x v="323"/>
    <x v="7"/>
    <s v="Female"/>
    <x v="3"/>
    <x v="1"/>
    <s v="Upper-Middle"/>
    <s v="In a Relationship"/>
    <s v="Alone"/>
    <x v="3"/>
    <x v="0"/>
    <x v="1"/>
    <n v="6.3"/>
    <n v="1.05"/>
    <n v="4.6900000000000004"/>
    <n v="12.29"/>
    <n v="2"/>
    <n v="10"/>
    <n v="9.5"/>
    <n v="1"/>
    <s v="Yes"/>
    <n v="5.9"/>
    <n v="1.9"/>
    <n v="1"/>
    <n v="10"/>
    <n v="10"/>
    <n v="10"/>
    <n v="1"/>
    <x v="2"/>
    <s v="Yes"/>
    <x v="2"/>
    <x v="2"/>
    <x v="3"/>
    <x v="2"/>
  </r>
  <r>
    <x v="324"/>
    <x v="12"/>
    <s v="Male"/>
    <x v="0"/>
    <x v="2"/>
    <s v="Upper-Middle"/>
    <s v="Married"/>
    <s v="Alone"/>
    <x v="4"/>
    <x v="0"/>
    <x v="2"/>
    <n v="4.16"/>
    <n v="2.98"/>
    <n v="4.5999999999999996"/>
    <n v="11.11"/>
    <n v="2"/>
    <n v="7.7"/>
    <n v="9.5"/>
    <n v="3.4"/>
    <s v="No"/>
    <n v="5.8"/>
    <n v="4.4000000000000004"/>
    <n v="3.7"/>
    <n v="8"/>
    <n v="7"/>
    <n v="7.9"/>
    <n v="3.6"/>
    <x v="2"/>
    <s v="No"/>
    <x v="2"/>
    <x v="3"/>
    <x v="3"/>
    <x v="2"/>
  </r>
  <r>
    <x v="325"/>
    <x v="8"/>
    <s v="Female"/>
    <x v="1"/>
    <x v="3"/>
    <s v="Lower-Middle"/>
    <s v="Single"/>
    <s v="With Family"/>
    <x v="4"/>
    <x v="0"/>
    <x v="2"/>
    <n v="2.42"/>
    <n v="3.74"/>
    <n v="3.13"/>
    <n v="6.9"/>
    <n v="1"/>
    <n v="4.9000000000000004"/>
    <n v="6.9"/>
    <n v="7.1"/>
    <s v="No"/>
    <n v="6.1"/>
    <n v="6.4"/>
    <n v="3.6"/>
    <n v="5.4"/>
    <n v="4.7"/>
    <n v="2.7"/>
    <n v="7.1"/>
    <x v="1"/>
    <s v="No"/>
    <x v="1"/>
    <x v="1"/>
    <x v="1"/>
    <x v="0"/>
  </r>
  <r>
    <x v="326"/>
    <x v="1"/>
    <s v="Male"/>
    <x v="0"/>
    <x v="2"/>
    <s v="Lower-Middle"/>
    <s v="Single"/>
    <s v="Alone"/>
    <x v="3"/>
    <x v="1"/>
    <x v="3"/>
    <n v="1.66"/>
    <n v="5.08"/>
    <n v="2.66"/>
    <n v="6.33"/>
    <n v="5"/>
    <n v="7.2"/>
    <n v="5.5"/>
    <n v="6"/>
    <s v="Yes"/>
    <n v="7.3"/>
    <n v="4"/>
    <n v="2.2999999999999998"/>
    <n v="6"/>
    <n v="3.7"/>
    <n v="5.8"/>
    <n v="6"/>
    <x v="1"/>
    <s v="Yes"/>
    <x v="2"/>
    <x v="1"/>
    <x v="1"/>
    <x v="2"/>
  </r>
  <r>
    <x v="327"/>
    <x v="0"/>
    <s v="Male"/>
    <x v="2"/>
    <x v="2"/>
    <s v="Low"/>
    <s v="Single"/>
    <s v="With Roommates"/>
    <x v="1"/>
    <x v="0"/>
    <x v="4"/>
    <n v="1.44"/>
    <n v="4.9400000000000004"/>
    <n v="3.3"/>
    <n v="5.26"/>
    <n v="4"/>
    <n v="5.2"/>
    <n v="2.2000000000000002"/>
    <n v="6.9"/>
    <s v="No"/>
    <n v="8.1"/>
    <n v="5.6"/>
    <n v="3.9"/>
    <n v="5.0999999999999996"/>
    <n v="3.1"/>
    <n v="4.7"/>
    <n v="7.5"/>
    <x v="1"/>
    <s v="No"/>
    <x v="0"/>
    <x v="0"/>
    <x v="1"/>
    <x v="0"/>
  </r>
  <r>
    <x v="328"/>
    <x v="1"/>
    <s v="Female"/>
    <x v="2"/>
    <x v="2"/>
    <s v="Lower-Middle"/>
    <s v="In a Relationship"/>
    <s v="Alone"/>
    <x v="3"/>
    <x v="2"/>
    <x v="3"/>
    <n v="2.0499999999999998"/>
    <n v="4.9000000000000004"/>
    <n v="1.82"/>
    <n v="4.74"/>
    <n v="6"/>
    <n v="6"/>
    <n v="4.8"/>
    <n v="4.8"/>
    <s v="Yes"/>
    <n v="8.1"/>
    <n v="5.8"/>
    <n v="4.9000000000000004"/>
    <n v="3.8"/>
    <n v="3.4"/>
    <n v="6.2"/>
    <n v="4.9000000000000004"/>
    <x v="1"/>
    <s v="No"/>
    <x v="2"/>
    <x v="1"/>
    <x v="1"/>
    <x v="0"/>
  </r>
  <r>
    <x v="329"/>
    <x v="26"/>
    <s v="Male"/>
    <x v="1"/>
    <x v="2"/>
    <s v="Lower-Middle"/>
    <s v="Single"/>
    <s v="With Roommates"/>
    <x v="1"/>
    <x v="0"/>
    <x v="1"/>
    <n v="0.4"/>
    <n v="3.62"/>
    <n v="2.19"/>
    <n v="5.39"/>
    <n v="4"/>
    <n v="4.9000000000000004"/>
    <n v="3.8"/>
    <n v="8.5"/>
    <s v="No"/>
    <n v="7.5"/>
    <n v="8.1"/>
    <n v="4.4000000000000004"/>
    <n v="3.4"/>
    <n v="1"/>
    <n v="2.9"/>
    <n v="9.8000000000000007"/>
    <x v="0"/>
    <s v="No"/>
    <x v="0"/>
    <x v="0"/>
    <x v="0"/>
    <x v="0"/>
  </r>
  <r>
    <x v="330"/>
    <x v="19"/>
    <s v="Male"/>
    <x v="1"/>
    <x v="1"/>
    <s v="Upper-Middle"/>
    <s v="Single"/>
    <s v="With Family"/>
    <x v="3"/>
    <x v="0"/>
    <x v="3"/>
    <n v="0.66"/>
    <n v="3.84"/>
    <n v="0.63"/>
    <n v="1.81"/>
    <n v="6"/>
    <n v="3"/>
    <n v="3.5"/>
    <n v="5.9"/>
    <s v="No"/>
    <n v="7.5"/>
    <n v="7.3"/>
    <n v="3.4"/>
    <n v="3.6"/>
    <n v="7"/>
    <n v="6.9"/>
    <n v="5.6"/>
    <x v="1"/>
    <s v="No"/>
    <x v="0"/>
    <x v="3"/>
    <x v="0"/>
    <x v="1"/>
  </r>
  <r>
    <x v="331"/>
    <x v="5"/>
    <s v="Female"/>
    <x v="1"/>
    <x v="2"/>
    <s v="Upper-Middle"/>
    <s v="In a Relationship"/>
    <s v="With Roommates"/>
    <x v="2"/>
    <x v="0"/>
    <x v="3"/>
    <n v="0"/>
    <n v="6.31"/>
    <n v="1.24"/>
    <n v="3.85"/>
    <n v="5"/>
    <n v="1"/>
    <n v="2.4"/>
    <n v="9.9"/>
    <s v="No"/>
    <n v="8.6999999999999993"/>
    <n v="7.7"/>
    <n v="4.2"/>
    <n v="2.2999999999999998"/>
    <n v="1"/>
    <n v="2.2999999999999998"/>
    <n v="5.4"/>
    <x v="0"/>
    <s v="No"/>
    <x v="0"/>
    <x v="0"/>
    <x v="0"/>
    <x v="1"/>
  </r>
  <r>
    <x v="332"/>
    <x v="0"/>
    <s v="Non-binary"/>
    <x v="3"/>
    <x v="2"/>
    <s v="Low"/>
    <s v="Married"/>
    <s v="Alone"/>
    <x v="4"/>
    <x v="0"/>
    <x v="1"/>
    <n v="0.36"/>
    <n v="6.28"/>
    <n v="0.83"/>
    <n v="2.5099999999999998"/>
    <n v="5"/>
    <n v="1.1000000000000001"/>
    <n v="1.7"/>
    <n v="8.3000000000000007"/>
    <s v="No"/>
    <n v="8.1999999999999993"/>
    <n v="9.4"/>
    <n v="7.5"/>
    <n v="2.2000000000000002"/>
    <n v="1"/>
    <n v="2"/>
    <n v="6"/>
    <x v="0"/>
    <s v="Yes"/>
    <x v="0"/>
    <x v="0"/>
    <x v="0"/>
    <x v="1"/>
  </r>
  <r>
    <x v="333"/>
    <x v="27"/>
    <s v="Male"/>
    <x v="3"/>
    <x v="1"/>
    <s v="Lower-Middle"/>
    <s v="Single"/>
    <s v="With Family"/>
    <x v="1"/>
    <x v="4"/>
    <x v="0"/>
    <n v="1.96"/>
    <n v="3.47"/>
    <n v="2.62"/>
    <n v="4.6500000000000004"/>
    <n v="0"/>
    <n v="7.3"/>
    <n v="7.3"/>
    <n v="5"/>
    <s v="Yes"/>
    <n v="7.3"/>
    <n v="5.3"/>
    <n v="2.2999999999999998"/>
    <n v="6.9"/>
    <n v="6.8"/>
    <n v="6.3"/>
    <n v="3.9"/>
    <x v="2"/>
    <s v="Yes"/>
    <x v="1"/>
    <x v="1"/>
    <x v="1"/>
    <x v="2"/>
  </r>
  <r>
    <x v="334"/>
    <x v="5"/>
    <s v="Male"/>
    <x v="1"/>
    <x v="3"/>
    <s v="Low"/>
    <s v="Single"/>
    <s v="With Family"/>
    <x v="3"/>
    <x v="0"/>
    <x v="4"/>
    <n v="0.75"/>
    <n v="5.89"/>
    <n v="1.29"/>
    <n v="1.49"/>
    <n v="5"/>
    <n v="1"/>
    <n v="1"/>
    <n v="9.6999999999999993"/>
    <s v="No"/>
    <n v="8.6999999999999993"/>
    <n v="10"/>
    <n v="5.8"/>
    <n v="1.9"/>
    <n v="1"/>
    <n v="3.5"/>
    <n v="7.5"/>
    <x v="0"/>
    <s v="No"/>
    <x v="0"/>
    <x v="0"/>
    <x v="0"/>
    <x v="1"/>
  </r>
  <r>
    <x v="335"/>
    <x v="19"/>
    <s v="Female"/>
    <x v="0"/>
    <x v="1"/>
    <s v="Low"/>
    <s v="Single"/>
    <s v="With Roommates"/>
    <x v="2"/>
    <x v="2"/>
    <x v="3"/>
    <n v="2.29"/>
    <n v="2.37"/>
    <n v="2.65"/>
    <n v="8.4"/>
    <n v="3"/>
    <n v="7.3"/>
    <n v="6.4"/>
    <n v="5.5"/>
    <s v="No"/>
    <n v="8.1"/>
    <n v="4.4000000000000004"/>
    <n v="4"/>
    <n v="6.3"/>
    <n v="5.8"/>
    <n v="5.2"/>
    <n v="4.4000000000000004"/>
    <x v="1"/>
    <s v="Yes"/>
    <x v="1"/>
    <x v="3"/>
    <x v="1"/>
    <x v="2"/>
  </r>
  <r>
    <x v="336"/>
    <x v="4"/>
    <s v="Male"/>
    <x v="4"/>
    <x v="2"/>
    <s v="Upper-Middle"/>
    <s v="Single"/>
    <s v="With Partner"/>
    <x v="3"/>
    <x v="4"/>
    <x v="4"/>
    <n v="0"/>
    <n v="6.02"/>
    <n v="2.34"/>
    <n v="2.4300000000000002"/>
    <n v="7"/>
    <n v="2.2000000000000002"/>
    <n v="1"/>
    <n v="10"/>
    <s v="No"/>
    <n v="9.1999999999999993"/>
    <n v="9.5"/>
    <n v="4.2"/>
    <n v="1"/>
    <n v="1"/>
    <n v="2.5"/>
    <n v="7.8"/>
    <x v="0"/>
    <s v="No"/>
    <x v="0"/>
    <x v="1"/>
    <x v="0"/>
    <x v="1"/>
  </r>
  <r>
    <x v="337"/>
    <x v="18"/>
    <s v="Male"/>
    <x v="3"/>
    <x v="1"/>
    <s v="Low"/>
    <s v="Single"/>
    <s v="Alone"/>
    <x v="0"/>
    <x v="1"/>
    <x v="0"/>
    <n v="2.88"/>
    <n v="3.35"/>
    <n v="0.7"/>
    <n v="5.51"/>
    <n v="4"/>
    <n v="6"/>
    <n v="6.3"/>
    <n v="3.5"/>
    <s v="Yes"/>
    <n v="4.8"/>
    <n v="3.8"/>
    <n v="3.3"/>
    <n v="4.7"/>
    <n v="6.2"/>
    <n v="5.0999999999999996"/>
    <n v="5.2"/>
    <x v="2"/>
    <s v="Yes"/>
    <x v="2"/>
    <x v="2"/>
    <x v="2"/>
    <x v="0"/>
  </r>
  <r>
    <x v="338"/>
    <x v="20"/>
    <s v="Male"/>
    <x v="0"/>
    <x v="2"/>
    <s v="Lower-Middle"/>
    <s v="In a Relationship"/>
    <s v="With Family"/>
    <x v="1"/>
    <x v="1"/>
    <x v="4"/>
    <n v="0.68"/>
    <n v="4.47"/>
    <n v="2.54"/>
    <n v="5.58"/>
    <n v="6"/>
    <n v="3.6"/>
    <n v="4.7"/>
    <n v="5.9"/>
    <s v="No"/>
    <n v="6.8"/>
    <n v="9"/>
    <n v="6.5"/>
    <n v="4.3"/>
    <n v="3.5"/>
    <n v="4.5999999999999996"/>
    <n v="7.1"/>
    <x v="1"/>
    <s v="No"/>
    <x v="0"/>
    <x v="2"/>
    <x v="0"/>
    <x v="0"/>
  </r>
  <r>
    <x v="339"/>
    <x v="20"/>
    <s v="Female"/>
    <x v="0"/>
    <x v="2"/>
    <s v="Low"/>
    <s v="In a Relationship"/>
    <s v="With Partner"/>
    <x v="3"/>
    <x v="3"/>
    <x v="4"/>
    <n v="2.85"/>
    <n v="1.58"/>
    <n v="3.86"/>
    <n v="7.4"/>
    <n v="2"/>
    <n v="8.9"/>
    <n v="9.1"/>
    <n v="1.7"/>
    <s v="Yes"/>
    <n v="4.5999999999999996"/>
    <n v="4.7"/>
    <n v="2.2999999999999998"/>
    <n v="6.4"/>
    <n v="7.6"/>
    <n v="5.4"/>
    <n v="3.7"/>
    <x v="2"/>
    <s v="No"/>
    <x v="2"/>
    <x v="2"/>
    <x v="2"/>
    <x v="2"/>
  </r>
  <r>
    <x v="340"/>
    <x v="27"/>
    <s v="Female"/>
    <x v="0"/>
    <x v="0"/>
    <s v="Upper-Middle"/>
    <s v="In a Relationship"/>
    <s v="With Roommates"/>
    <x v="3"/>
    <x v="1"/>
    <x v="1"/>
    <n v="1.17"/>
    <n v="4.0999999999999996"/>
    <n v="1.89"/>
    <n v="4.51"/>
    <n v="5"/>
    <n v="3.9"/>
    <n v="4.0999999999999996"/>
    <n v="6.9"/>
    <s v="No"/>
    <n v="6.7"/>
    <n v="5.2"/>
    <n v="4.7"/>
    <n v="4.9000000000000004"/>
    <n v="5.0999999999999996"/>
    <n v="5.4"/>
    <n v="5.8"/>
    <x v="1"/>
    <s v="Yes"/>
    <x v="0"/>
    <x v="1"/>
    <x v="1"/>
    <x v="0"/>
  </r>
  <r>
    <x v="341"/>
    <x v="9"/>
    <s v="Male"/>
    <x v="1"/>
    <x v="2"/>
    <s v="Lower-Middle"/>
    <s v="Single"/>
    <s v="Alone"/>
    <x v="2"/>
    <x v="3"/>
    <x v="1"/>
    <n v="0"/>
    <n v="6.12"/>
    <n v="0"/>
    <n v="2.48"/>
    <n v="9"/>
    <n v="1"/>
    <n v="1"/>
    <n v="8.1"/>
    <s v="No"/>
    <n v="8.1"/>
    <n v="10"/>
    <n v="6.7"/>
    <n v="1"/>
    <n v="1"/>
    <n v="1.4"/>
    <n v="10"/>
    <x v="0"/>
    <s v="No"/>
    <x v="0"/>
    <x v="2"/>
    <x v="0"/>
    <x v="1"/>
  </r>
  <r>
    <x v="342"/>
    <x v="16"/>
    <s v="Male"/>
    <x v="0"/>
    <x v="0"/>
    <s v="Low"/>
    <s v="Married"/>
    <s v="Alone"/>
    <x v="3"/>
    <x v="0"/>
    <x v="4"/>
    <n v="0.4"/>
    <n v="1.96"/>
    <n v="2.38"/>
    <n v="5.08"/>
    <n v="5"/>
    <n v="4.2"/>
    <n v="3.7"/>
    <n v="6.8"/>
    <s v="No"/>
    <n v="7.9"/>
    <n v="7.6"/>
    <n v="5.8"/>
    <n v="4.4000000000000004"/>
    <n v="4.5"/>
    <n v="5.3"/>
    <n v="5.9"/>
    <x v="1"/>
    <s v="No"/>
    <x v="0"/>
    <x v="2"/>
    <x v="0"/>
    <x v="0"/>
  </r>
  <r>
    <x v="343"/>
    <x v="23"/>
    <s v="Male"/>
    <x v="0"/>
    <x v="2"/>
    <s v="Lower-Middle"/>
    <s v="Single"/>
    <s v="With Family"/>
    <x v="2"/>
    <x v="0"/>
    <x v="3"/>
    <n v="0.93"/>
    <n v="4.66"/>
    <n v="3.72"/>
    <n v="6.19"/>
    <n v="2"/>
    <n v="5.8"/>
    <n v="3.8"/>
    <n v="1"/>
    <s v="Yes"/>
    <n v="6.5"/>
    <n v="7.6"/>
    <n v="4.0999999999999996"/>
    <n v="4.5"/>
    <n v="6.2"/>
    <n v="5.0999999999999996"/>
    <n v="5.5"/>
    <x v="1"/>
    <s v="Yes"/>
    <x v="1"/>
    <x v="0"/>
    <x v="0"/>
    <x v="0"/>
  </r>
  <r>
    <x v="344"/>
    <x v="12"/>
    <s v="Female"/>
    <x v="4"/>
    <x v="1"/>
    <s v="Upper-Middle"/>
    <s v="In a Relationship"/>
    <s v="With Roommates"/>
    <x v="3"/>
    <x v="1"/>
    <x v="1"/>
    <n v="2.2999999999999998"/>
    <n v="4.3099999999999996"/>
    <n v="0.7"/>
    <n v="5.23"/>
    <n v="3"/>
    <n v="3.5"/>
    <n v="3.7"/>
    <n v="7.3"/>
    <s v="No"/>
    <n v="8.3000000000000007"/>
    <n v="6.1"/>
    <n v="7.9"/>
    <n v="4.5999999999999996"/>
    <n v="3.6"/>
    <n v="5.4"/>
    <n v="5.6"/>
    <x v="1"/>
    <s v="No"/>
    <x v="0"/>
    <x v="3"/>
    <x v="1"/>
    <x v="0"/>
  </r>
  <r>
    <x v="345"/>
    <x v="0"/>
    <s v="Male"/>
    <x v="0"/>
    <x v="0"/>
    <s v="High"/>
    <s v="Married"/>
    <s v="With Family"/>
    <x v="3"/>
    <x v="1"/>
    <x v="4"/>
    <n v="2.57"/>
    <n v="3.63"/>
    <n v="2.27"/>
    <n v="6.73"/>
    <n v="0"/>
    <n v="7.1"/>
    <n v="7.6"/>
    <n v="3.4"/>
    <s v="No"/>
    <n v="6"/>
    <n v="5"/>
    <n v="3.7"/>
    <n v="5.6"/>
    <n v="6"/>
    <n v="5.9"/>
    <n v="4.5999999999999996"/>
    <x v="1"/>
    <s v="No"/>
    <x v="2"/>
    <x v="0"/>
    <x v="2"/>
    <x v="2"/>
  </r>
  <r>
    <x v="346"/>
    <x v="18"/>
    <s v="Male"/>
    <x v="3"/>
    <x v="0"/>
    <s v="Low"/>
    <s v="Single"/>
    <s v="With Partner"/>
    <x v="1"/>
    <x v="4"/>
    <x v="1"/>
    <n v="0.13"/>
    <n v="4.1100000000000003"/>
    <n v="0.89"/>
    <n v="2.0499999999999998"/>
    <n v="3"/>
    <n v="3.7"/>
    <n v="3.9"/>
    <n v="5.9"/>
    <s v="Yes"/>
    <n v="7.1"/>
    <n v="6.5"/>
    <n v="4"/>
    <n v="2.4"/>
    <n v="2.2999999999999998"/>
    <n v="4.9000000000000004"/>
    <n v="9.3000000000000007"/>
    <x v="2"/>
    <s v="No"/>
    <x v="0"/>
    <x v="2"/>
    <x v="0"/>
    <x v="0"/>
  </r>
  <r>
    <x v="347"/>
    <x v="24"/>
    <s v="Female"/>
    <x v="1"/>
    <x v="0"/>
    <s v="High"/>
    <s v="Single"/>
    <s v="Alone"/>
    <x v="4"/>
    <x v="0"/>
    <x v="2"/>
    <n v="0.56000000000000005"/>
    <n v="5.98"/>
    <n v="0.14000000000000001"/>
    <n v="3.9"/>
    <n v="3"/>
    <n v="1.3"/>
    <n v="2"/>
    <n v="10"/>
    <s v="No"/>
    <n v="6.8"/>
    <n v="10"/>
    <n v="7.8"/>
    <n v="3.3"/>
    <n v="2.8"/>
    <n v="3.5"/>
    <n v="8.4"/>
    <x v="0"/>
    <s v="No"/>
    <x v="0"/>
    <x v="1"/>
    <x v="0"/>
    <x v="1"/>
  </r>
  <r>
    <x v="348"/>
    <x v="7"/>
    <s v="Male"/>
    <x v="0"/>
    <x v="3"/>
    <s v="High"/>
    <s v="Married"/>
    <s v="Alone"/>
    <x v="4"/>
    <x v="4"/>
    <x v="3"/>
    <n v="0"/>
    <n v="4.2699999999999996"/>
    <n v="1.84"/>
    <n v="4.05"/>
    <n v="6"/>
    <n v="3.4"/>
    <n v="1"/>
    <n v="8.4"/>
    <s v="No"/>
    <n v="9"/>
    <n v="7.7"/>
    <n v="4.9000000000000004"/>
    <n v="1.4"/>
    <n v="1.3"/>
    <n v="3.5"/>
    <n v="6.4"/>
    <x v="0"/>
    <s v="No"/>
    <x v="0"/>
    <x v="2"/>
    <x v="0"/>
    <x v="0"/>
  </r>
  <r>
    <x v="349"/>
    <x v="24"/>
    <s v="Female"/>
    <x v="1"/>
    <x v="2"/>
    <s v="High"/>
    <s v="Single"/>
    <s v="Alone"/>
    <x v="3"/>
    <x v="0"/>
    <x v="2"/>
    <n v="0"/>
    <n v="3.89"/>
    <n v="2.57"/>
    <n v="2.73"/>
    <n v="7"/>
    <n v="2.9"/>
    <n v="3.6"/>
    <n v="8.1"/>
    <s v="No"/>
    <n v="8.8000000000000007"/>
    <n v="6.3"/>
    <n v="3.7"/>
    <n v="4.2"/>
    <n v="3.8"/>
    <n v="3"/>
    <n v="5.8"/>
    <x v="1"/>
    <s v="No"/>
    <x v="0"/>
    <x v="1"/>
    <x v="0"/>
    <x v="1"/>
  </r>
  <r>
    <x v="350"/>
    <x v="20"/>
    <s v="Male"/>
    <x v="1"/>
    <x v="2"/>
    <s v="Upper-Middle"/>
    <s v="In a Relationship"/>
    <s v="With Partner"/>
    <x v="1"/>
    <x v="1"/>
    <x v="3"/>
    <n v="1.38"/>
    <n v="5.21"/>
    <n v="3.04"/>
    <n v="6.94"/>
    <n v="3"/>
    <n v="3"/>
    <n v="1.6"/>
    <n v="5.7"/>
    <s v="No"/>
    <n v="7.2"/>
    <n v="6.7"/>
    <n v="2.8"/>
    <n v="1.4"/>
    <n v="4.0999999999999996"/>
    <n v="3.6"/>
    <n v="6.7"/>
    <x v="0"/>
    <s v="No"/>
    <x v="0"/>
    <x v="2"/>
    <x v="1"/>
    <x v="1"/>
  </r>
  <r>
    <x v="351"/>
    <x v="1"/>
    <s v="Male"/>
    <x v="3"/>
    <x v="1"/>
    <s v="Upper-Middle"/>
    <s v="Single"/>
    <s v="With Roommates"/>
    <x v="3"/>
    <x v="0"/>
    <x v="1"/>
    <n v="5.94"/>
    <n v="1.71"/>
    <n v="5.51"/>
    <n v="12.84"/>
    <n v="0"/>
    <n v="8.9"/>
    <n v="8.8000000000000007"/>
    <n v="2.4"/>
    <s v="Yes"/>
    <n v="4"/>
    <n v="1.8"/>
    <n v="1.8"/>
    <n v="9"/>
    <n v="7.6"/>
    <n v="8.1999999999999993"/>
    <n v="1"/>
    <x v="2"/>
    <s v="Yes"/>
    <x v="2"/>
    <x v="1"/>
    <x v="3"/>
    <x v="2"/>
  </r>
  <r>
    <x v="352"/>
    <x v="18"/>
    <s v="Male"/>
    <x v="2"/>
    <x v="1"/>
    <s v="Lower-Middle"/>
    <s v="In a Relationship"/>
    <s v="Alone"/>
    <x v="1"/>
    <x v="1"/>
    <x v="4"/>
    <n v="3.58"/>
    <n v="1.34"/>
    <n v="4.4400000000000004"/>
    <n v="9.73"/>
    <n v="4"/>
    <n v="5.7"/>
    <n v="6.1"/>
    <n v="3.3"/>
    <s v="Yes"/>
    <n v="5.9"/>
    <n v="6.1"/>
    <n v="1.8"/>
    <n v="8.8000000000000007"/>
    <n v="5.8"/>
    <n v="8.8000000000000007"/>
    <n v="4.8"/>
    <x v="1"/>
    <s v="No"/>
    <x v="2"/>
    <x v="2"/>
    <x v="2"/>
    <x v="0"/>
  </r>
  <r>
    <x v="353"/>
    <x v="21"/>
    <s v="Female"/>
    <x v="1"/>
    <x v="2"/>
    <s v="Upper-Middle"/>
    <s v="Single"/>
    <s v="With Roommates"/>
    <x v="1"/>
    <x v="0"/>
    <x v="4"/>
    <n v="0.88"/>
    <n v="4.82"/>
    <n v="1.77"/>
    <n v="4.67"/>
    <n v="2"/>
    <n v="7.2"/>
    <n v="5.2"/>
    <n v="4.8"/>
    <s v="No"/>
    <n v="6.7"/>
    <n v="5.6"/>
    <n v="2"/>
    <n v="5.5"/>
    <n v="4.5999999999999996"/>
    <n v="7.1"/>
    <n v="3"/>
    <x v="2"/>
    <s v="No"/>
    <x v="2"/>
    <x v="1"/>
    <x v="0"/>
    <x v="2"/>
  </r>
  <r>
    <x v="354"/>
    <x v="14"/>
    <s v="Female"/>
    <x v="1"/>
    <x v="1"/>
    <s v="Lower-Middle"/>
    <s v="Single"/>
    <s v="Alone"/>
    <x v="4"/>
    <x v="1"/>
    <x v="2"/>
    <n v="2.06"/>
    <n v="2.75"/>
    <n v="4.43"/>
    <n v="7.7"/>
    <n v="4"/>
    <n v="7.4"/>
    <n v="6.6"/>
    <n v="7"/>
    <s v="No"/>
    <n v="6.1"/>
    <n v="7.2"/>
    <n v="2.6"/>
    <n v="5.5"/>
    <n v="6.2"/>
    <n v="5.8"/>
    <n v="5"/>
    <x v="1"/>
    <s v="No"/>
    <x v="0"/>
    <x v="3"/>
    <x v="1"/>
    <x v="2"/>
  </r>
  <r>
    <x v="355"/>
    <x v="19"/>
    <s v="Female"/>
    <x v="3"/>
    <x v="1"/>
    <s v="Upper-Middle"/>
    <s v="In a Relationship"/>
    <s v="Alone"/>
    <x v="4"/>
    <x v="4"/>
    <x v="0"/>
    <n v="1.67"/>
    <n v="3.54"/>
    <n v="2.59"/>
    <n v="8.06"/>
    <n v="5"/>
    <n v="5.0999999999999996"/>
    <n v="5.5"/>
    <n v="3.9"/>
    <s v="Yes"/>
    <n v="8.9"/>
    <n v="6.3"/>
    <n v="3.1"/>
    <n v="7"/>
    <n v="3.2"/>
    <n v="4.8"/>
    <n v="6.6"/>
    <x v="2"/>
    <s v="Yes"/>
    <x v="1"/>
    <x v="3"/>
    <x v="1"/>
    <x v="0"/>
  </r>
  <r>
    <x v="356"/>
    <x v="24"/>
    <s v="Male"/>
    <x v="1"/>
    <x v="1"/>
    <s v="Lower-Middle"/>
    <s v="Single"/>
    <s v="With Family"/>
    <x v="1"/>
    <x v="1"/>
    <x v="1"/>
    <n v="2.2000000000000002"/>
    <n v="5.41"/>
    <n v="3.84"/>
    <n v="6.54"/>
    <n v="2"/>
    <n v="4.7"/>
    <n v="4.0999999999999996"/>
    <n v="6.6"/>
    <s v="No"/>
    <n v="8.4"/>
    <n v="5.7"/>
    <n v="4.9000000000000004"/>
    <n v="4.9000000000000004"/>
    <n v="5"/>
    <n v="4.5999999999999996"/>
    <n v="4.7"/>
    <x v="1"/>
    <s v="No"/>
    <x v="1"/>
    <x v="1"/>
    <x v="1"/>
    <x v="0"/>
  </r>
  <r>
    <x v="357"/>
    <x v="16"/>
    <s v="Female"/>
    <x v="0"/>
    <x v="0"/>
    <s v="Upper-Middle"/>
    <s v="Single"/>
    <s v="Alone"/>
    <x v="1"/>
    <x v="1"/>
    <x v="4"/>
    <n v="1.03"/>
    <n v="1.76"/>
    <n v="1.29"/>
    <n v="4.38"/>
    <n v="3"/>
    <n v="3.2"/>
    <n v="4.2"/>
    <n v="6.2"/>
    <s v="No"/>
    <n v="5.3"/>
    <n v="5"/>
    <n v="4.5"/>
    <n v="5.0999999999999996"/>
    <n v="5.2"/>
    <n v="5.4"/>
    <n v="6.2"/>
    <x v="2"/>
    <s v="No"/>
    <x v="1"/>
    <x v="2"/>
    <x v="1"/>
    <x v="0"/>
  </r>
  <r>
    <x v="358"/>
    <x v="15"/>
    <s v="Male"/>
    <x v="3"/>
    <x v="1"/>
    <s v="Upper-Middle"/>
    <s v="Single"/>
    <s v="With Family"/>
    <x v="4"/>
    <x v="4"/>
    <x v="4"/>
    <n v="1.29"/>
    <n v="2.25"/>
    <n v="2.2999999999999998"/>
    <n v="5.97"/>
    <n v="3"/>
    <n v="2.5"/>
    <n v="5.2"/>
    <n v="5.6"/>
    <s v="No"/>
    <n v="5.9"/>
    <n v="8.3000000000000007"/>
    <n v="3.7"/>
    <n v="5.3"/>
    <n v="4.3"/>
    <n v="7.3"/>
    <n v="5.9"/>
    <x v="1"/>
    <s v="No"/>
    <x v="0"/>
    <x v="1"/>
    <x v="1"/>
    <x v="1"/>
  </r>
  <r>
    <x v="359"/>
    <x v="25"/>
    <s v="Male"/>
    <x v="0"/>
    <x v="2"/>
    <s v="Low"/>
    <s v="Single"/>
    <s v="With Partner"/>
    <x v="0"/>
    <x v="3"/>
    <x v="1"/>
    <n v="0"/>
    <n v="6.74"/>
    <n v="1.35"/>
    <n v="3.39"/>
    <n v="5"/>
    <n v="1.3"/>
    <n v="1"/>
    <n v="8.8000000000000007"/>
    <s v="No"/>
    <n v="8.9"/>
    <n v="10"/>
    <n v="7.4"/>
    <n v="1"/>
    <n v="1.1000000000000001"/>
    <n v="1.5"/>
    <n v="9.9"/>
    <x v="0"/>
    <s v="No"/>
    <x v="0"/>
    <x v="3"/>
    <x v="0"/>
    <x v="1"/>
  </r>
  <r>
    <x v="360"/>
    <x v="25"/>
    <s v="Female"/>
    <x v="1"/>
    <x v="2"/>
    <s v="Upper-Middle"/>
    <s v="Single"/>
    <s v="With Family"/>
    <x v="3"/>
    <x v="1"/>
    <x v="3"/>
    <n v="1.2"/>
    <n v="1.93"/>
    <n v="2.16"/>
    <n v="5.17"/>
    <n v="5"/>
    <n v="1.8"/>
    <n v="3.8"/>
    <n v="6.4"/>
    <s v="No"/>
    <n v="6.3"/>
    <n v="8.5"/>
    <n v="4.3"/>
    <n v="3.2"/>
    <n v="1"/>
    <n v="5.8"/>
    <n v="7.3"/>
    <x v="2"/>
    <s v="No"/>
    <x v="0"/>
    <x v="3"/>
    <x v="1"/>
    <x v="1"/>
  </r>
  <r>
    <x v="361"/>
    <x v="22"/>
    <s v="Male"/>
    <x v="1"/>
    <x v="2"/>
    <s v="Lower-Middle"/>
    <s v="Single"/>
    <s v="With Partner"/>
    <x v="3"/>
    <x v="0"/>
    <x v="4"/>
    <n v="0.08"/>
    <n v="2.2200000000000002"/>
    <n v="1.51"/>
    <n v="3.21"/>
    <n v="5"/>
    <n v="3.1"/>
    <n v="2.5"/>
    <n v="5.4"/>
    <s v="No"/>
    <n v="7.3"/>
    <n v="8"/>
    <n v="4.5999999999999996"/>
    <n v="4.2"/>
    <n v="4.2"/>
    <n v="4.9000000000000004"/>
    <n v="4.2"/>
    <x v="2"/>
    <s v="No"/>
    <x v="0"/>
    <x v="2"/>
    <x v="0"/>
    <x v="0"/>
  </r>
  <r>
    <x v="362"/>
    <x v="9"/>
    <s v="Male"/>
    <x v="3"/>
    <x v="0"/>
    <s v="Upper-Middle"/>
    <s v="Married"/>
    <s v="Alone"/>
    <x v="1"/>
    <x v="4"/>
    <x v="0"/>
    <n v="0.88"/>
    <n v="6"/>
    <n v="3.06"/>
    <n v="5.13"/>
    <n v="5"/>
    <n v="3.7"/>
    <n v="2.2000000000000002"/>
    <n v="9"/>
    <s v="No"/>
    <n v="7.5"/>
    <n v="7"/>
    <n v="3.9"/>
    <n v="1.1000000000000001"/>
    <n v="2.2000000000000002"/>
    <n v="4.4000000000000004"/>
    <n v="8.9"/>
    <x v="0"/>
    <s v="Yes"/>
    <x v="0"/>
    <x v="2"/>
    <x v="0"/>
    <x v="0"/>
  </r>
  <r>
    <x v="363"/>
    <x v="26"/>
    <s v="Male"/>
    <x v="0"/>
    <x v="0"/>
    <s v="Lower-Middle"/>
    <s v="Single"/>
    <s v="With Roommates"/>
    <x v="3"/>
    <x v="1"/>
    <x v="1"/>
    <n v="0.18"/>
    <n v="4.2"/>
    <n v="0.77"/>
    <n v="2.13"/>
    <n v="7"/>
    <n v="3.9"/>
    <n v="6"/>
    <n v="7.2"/>
    <s v="No"/>
    <n v="7.4"/>
    <n v="7.8"/>
    <n v="3.7"/>
    <n v="5"/>
    <n v="1"/>
    <n v="3.5"/>
    <n v="4.8"/>
    <x v="1"/>
    <s v="No"/>
    <x v="0"/>
    <x v="0"/>
    <x v="0"/>
    <x v="0"/>
  </r>
  <r>
    <x v="364"/>
    <x v="26"/>
    <s v="Male"/>
    <x v="1"/>
    <x v="1"/>
    <s v="Lower-Middle"/>
    <s v="In a Relationship"/>
    <s v="Alone"/>
    <x v="3"/>
    <x v="0"/>
    <x v="0"/>
    <n v="0"/>
    <n v="5.87"/>
    <n v="2.78"/>
    <n v="5.94"/>
    <n v="3"/>
    <n v="6.1"/>
    <n v="3.8"/>
    <n v="4.5"/>
    <s v="No"/>
    <n v="7.7"/>
    <n v="7.3"/>
    <n v="3.9"/>
    <n v="6"/>
    <n v="3.3"/>
    <n v="5.3"/>
    <n v="6.8"/>
    <x v="2"/>
    <s v="No"/>
    <x v="1"/>
    <x v="0"/>
    <x v="0"/>
    <x v="2"/>
  </r>
  <r>
    <x v="365"/>
    <x v="12"/>
    <s v="Male"/>
    <x v="3"/>
    <x v="0"/>
    <s v="High"/>
    <s v="Single"/>
    <s v="With Family"/>
    <x v="3"/>
    <x v="0"/>
    <x v="2"/>
    <n v="3.13"/>
    <n v="2.12"/>
    <n v="3.91"/>
    <n v="8.6"/>
    <n v="4"/>
    <n v="6.7"/>
    <n v="6.8"/>
    <n v="2.6"/>
    <s v="No"/>
    <n v="8.1"/>
    <n v="6.3"/>
    <n v="3.3"/>
    <n v="6.8"/>
    <n v="7.5"/>
    <n v="5.3"/>
    <n v="5.0999999999999996"/>
    <x v="2"/>
    <s v="Yes"/>
    <x v="2"/>
    <x v="3"/>
    <x v="2"/>
    <x v="2"/>
  </r>
  <r>
    <x v="366"/>
    <x v="8"/>
    <s v="Female"/>
    <x v="1"/>
    <x v="2"/>
    <s v="Lower-Middle"/>
    <s v="Single"/>
    <s v="With Family"/>
    <x v="2"/>
    <x v="4"/>
    <x v="2"/>
    <n v="2.2799999999999998"/>
    <n v="3.35"/>
    <n v="4.8899999999999997"/>
    <n v="11.31"/>
    <n v="4"/>
    <n v="5.2"/>
    <n v="7.8"/>
    <n v="4.8"/>
    <s v="No"/>
    <n v="7.1"/>
    <n v="6.1"/>
    <n v="5.2"/>
    <n v="6.7"/>
    <n v="5.4"/>
    <n v="5.9"/>
    <n v="6"/>
    <x v="0"/>
    <s v="Yes"/>
    <x v="1"/>
    <x v="1"/>
    <x v="1"/>
    <x v="0"/>
  </r>
  <r>
    <x v="367"/>
    <x v="24"/>
    <s v="Male"/>
    <x v="3"/>
    <x v="2"/>
    <s v="Upper-Middle"/>
    <s v="Married"/>
    <s v="With Family"/>
    <x v="3"/>
    <x v="0"/>
    <x v="3"/>
    <n v="3.55"/>
    <n v="3.72"/>
    <n v="2.78"/>
    <n v="9"/>
    <n v="2"/>
    <n v="5.3"/>
    <n v="6"/>
    <n v="6.1"/>
    <s v="No"/>
    <n v="5.4"/>
    <n v="7.5"/>
    <n v="3.9"/>
    <n v="6.9"/>
    <n v="6.5"/>
    <n v="6"/>
    <n v="6.5"/>
    <x v="2"/>
    <s v="No"/>
    <x v="2"/>
    <x v="1"/>
    <x v="2"/>
    <x v="0"/>
  </r>
  <r>
    <x v="368"/>
    <x v="24"/>
    <s v="Female"/>
    <x v="1"/>
    <x v="0"/>
    <s v="Lower-Middle"/>
    <s v="Single"/>
    <s v="With Roommates"/>
    <x v="3"/>
    <x v="2"/>
    <x v="3"/>
    <n v="0.82"/>
    <n v="3.64"/>
    <n v="2.98"/>
    <n v="3.13"/>
    <n v="5"/>
    <n v="5.9"/>
    <n v="8.5"/>
    <n v="4.5999999999999996"/>
    <s v="No"/>
    <n v="6.6"/>
    <n v="5.8"/>
    <n v="2.2999999999999998"/>
    <n v="5.7"/>
    <n v="6.7"/>
    <n v="6.7"/>
    <n v="6"/>
    <x v="2"/>
    <s v="Yes"/>
    <x v="1"/>
    <x v="1"/>
    <x v="0"/>
    <x v="0"/>
  </r>
  <r>
    <x v="369"/>
    <x v="12"/>
    <s v="Female"/>
    <x v="2"/>
    <x v="3"/>
    <s v="Lower-Middle"/>
    <s v="Divorced/Separated"/>
    <s v="Alone"/>
    <x v="3"/>
    <x v="0"/>
    <x v="3"/>
    <n v="0.59"/>
    <n v="4.07"/>
    <n v="1.76"/>
    <n v="5.23"/>
    <n v="5"/>
    <n v="4"/>
    <n v="3"/>
    <n v="6.4"/>
    <s v="No"/>
    <n v="6.7"/>
    <n v="8.6"/>
    <n v="2.4"/>
    <n v="1.9"/>
    <n v="1.7"/>
    <n v="3.3"/>
    <n v="7.5"/>
    <x v="1"/>
    <s v="No"/>
    <x v="0"/>
    <x v="3"/>
    <x v="0"/>
    <x v="0"/>
  </r>
  <r>
    <x v="370"/>
    <x v="1"/>
    <s v="Male"/>
    <x v="1"/>
    <x v="0"/>
    <s v="Lower-Middle"/>
    <s v="Single"/>
    <s v="With Roommates"/>
    <x v="0"/>
    <x v="4"/>
    <x v="3"/>
    <n v="2.29"/>
    <n v="2.77"/>
    <n v="3.26"/>
    <n v="7.5"/>
    <n v="5"/>
    <n v="3.9"/>
    <n v="3.4"/>
    <n v="7.2"/>
    <s v="No"/>
    <n v="8.4"/>
    <n v="5.8"/>
    <n v="4.7"/>
    <n v="4.7"/>
    <n v="5.4"/>
    <n v="6.4"/>
    <n v="4.5999999999999996"/>
    <x v="1"/>
    <s v="No"/>
    <x v="1"/>
    <x v="1"/>
    <x v="1"/>
    <x v="0"/>
  </r>
  <r>
    <x v="371"/>
    <x v="10"/>
    <s v="Male"/>
    <x v="1"/>
    <x v="2"/>
    <s v="Lower-Middle"/>
    <s v="In a Relationship"/>
    <s v="With Family"/>
    <x v="0"/>
    <x v="1"/>
    <x v="3"/>
    <n v="0"/>
    <n v="6.15"/>
    <n v="1.34"/>
    <n v="1.95"/>
    <n v="5"/>
    <n v="1"/>
    <n v="1"/>
    <n v="9"/>
    <s v="No"/>
    <n v="8.8000000000000007"/>
    <n v="9.1999999999999993"/>
    <n v="6.6"/>
    <n v="1"/>
    <n v="1.7"/>
    <n v="2.2000000000000002"/>
    <n v="8.9"/>
    <x v="0"/>
    <s v="No"/>
    <x v="0"/>
    <x v="2"/>
    <x v="0"/>
    <x v="1"/>
  </r>
  <r>
    <x v="372"/>
    <x v="13"/>
    <s v="Male"/>
    <x v="1"/>
    <x v="2"/>
    <s v="Lower-Middle"/>
    <s v="In a Relationship"/>
    <s v="With Family"/>
    <x v="1"/>
    <x v="1"/>
    <x v="0"/>
    <n v="0"/>
    <n v="5.8"/>
    <n v="3.21"/>
    <n v="6.51"/>
    <n v="5"/>
    <n v="3.7"/>
    <n v="2.7"/>
    <n v="5.7"/>
    <s v="No"/>
    <n v="7.6"/>
    <n v="8.4"/>
    <n v="5.9"/>
    <n v="4.5"/>
    <n v="2.7"/>
    <n v="4.5"/>
    <n v="7.7"/>
    <x v="0"/>
    <s v="No"/>
    <x v="0"/>
    <x v="2"/>
    <x v="0"/>
    <x v="0"/>
  </r>
  <r>
    <x v="373"/>
    <x v="10"/>
    <s v="Female"/>
    <x v="1"/>
    <x v="0"/>
    <s v="Low"/>
    <s v="Married"/>
    <s v="Alone"/>
    <x v="1"/>
    <x v="4"/>
    <x v="2"/>
    <n v="1.19"/>
    <n v="5.31"/>
    <n v="2.75"/>
    <n v="5.51"/>
    <n v="4"/>
    <n v="3.1"/>
    <n v="1.3"/>
    <n v="7.5"/>
    <s v="No"/>
    <n v="7.9"/>
    <n v="8.3000000000000007"/>
    <n v="5.3"/>
    <n v="3.6"/>
    <n v="4.5999999999999996"/>
    <n v="4.5999999999999996"/>
    <n v="7.5"/>
    <x v="0"/>
    <s v="No"/>
    <x v="0"/>
    <x v="2"/>
    <x v="1"/>
    <x v="0"/>
  </r>
  <r>
    <x v="374"/>
    <x v="19"/>
    <s v="Male"/>
    <x v="4"/>
    <x v="0"/>
    <s v="Lower-Middle"/>
    <s v="In a Relationship"/>
    <s v="With Partner"/>
    <x v="5"/>
    <x v="1"/>
    <x v="2"/>
    <n v="3.03"/>
    <n v="1.68"/>
    <n v="3.53"/>
    <n v="8.0500000000000007"/>
    <n v="0"/>
    <n v="8"/>
    <n v="7.7"/>
    <n v="3.5"/>
    <s v="Yes"/>
    <n v="5.9"/>
    <n v="4.2"/>
    <n v="4.9000000000000004"/>
    <n v="5.7"/>
    <n v="6.5"/>
    <n v="7.3"/>
    <n v="3.5"/>
    <x v="2"/>
    <s v="Yes"/>
    <x v="2"/>
    <x v="3"/>
    <x v="2"/>
    <x v="2"/>
  </r>
  <r>
    <x v="375"/>
    <x v="10"/>
    <s v="Female"/>
    <x v="2"/>
    <x v="1"/>
    <s v="Low"/>
    <s v="In a Relationship"/>
    <s v="With Roommates"/>
    <x v="3"/>
    <x v="1"/>
    <x v="2"/>
    <n v="0.45"/>
    <n v="2.64"/>
    <n v="3.65"/>
    <n v="6.48"/>
    <n v="6"/>
    <n v="6.5"/>
    <n v="6.5"/>
    <n v="4.5999999999999996"/>
    <s v="Yes"/>
    <n v="7.9"/>
    <n v="4.9000000000000004"/>
    <n v="3.3"/>
    <n v="6.2"/>
    <n v="4.9000000000000004"/>
    <n v="10"/>
    <n v="5.3"/>
    <x v="2"/>
    <s v="Yes"/>
    <x v="1"/>
    <x v="2"/>
    <x v="0"/>
    <x v="2"/>
  </r>
  <r>
    <x v="376"/>
    <x v="1"/>
    <s v="Male"/>
    <x v="1"/>
    <x v="3"/>
    <s v="High"/>
    <s v="Single"/>
    <s v="Alone"/>
    <x v="3"/>
    <x v="0"/>
    <x v="4"/>
    <n v="0"/>
    <n v="4.78"/>
    <n v="1.26"/>
    <n v="4.4000000000000004"/>
    <n v="6"/>
    <n v="3"/>
    <n v="1"/>
    <n v="7.6"/>
    <s v="No"/>
    <n v="7.4"/>
    <n v="10"/>
    <n v="5.7"/>
    <n v="3.4"/>
    <n v="1.7"/>
    <n v="3.3"/>
    <n v="8"/>
    <x v="0"/>
    <s v="No"/>
    <x v="0"/>
    <x v="1"/>
    <x v="0"/>
    <x v="1"/>
  </r>
  <r>
    <x v="377"/>
    <x v="4"/>
    <s v="Female"/>
    <x v="0"/>
    <x v="0"/>
    <s v="High"/>
    <s v="Single"/>
    <s v="Alone"/>
    <x v="3"/>
    <x v="0"/>
    <x v="4"/>
    <n v="2.68"/>
    <n v="2.0699999999999998"/>
    <n v="3.84"/>
    <n v="8.64"/>
    <n v="1"/>
    <n v="8.1"/>
    <n v="5.5"/>
    <n v="6.7"/>
    <s v="No"/>
    <n v="7.4"/>
    <n v="4.5"/>
    <n v="4.5"/>
    <n v="7.5"/>
    <n v="6.2"/>
    <n v="6.1"/>
    <n v="3.2"/>
    <x v="2"/>
    <s v="No"/>
    <x v="2"/>
    <x v="1"/>
    <x v="2"/>
    <x v="2"/>
  </r>
  <r>
    <x v="378"/>
    <x v="21"/>
    <s v="Male"/>
    <x v="3"/>
    <x v="1"/>
    <s v="Lower-Middle"/>
    <s v="Married"/>
    <s v="With Family"/>
    <x v="3"/>
    <x v="0"/>
    <x v="1"/>
    <n v="1.23"/>
    <n v="3.15"/>
    <n v="4.21"/>
    <n v="7.49"/>
    <n v="2"/>
    <n v="5.2"/>
    <n v="8.3000000000000007"/>
    <n v="3.6"/>
    <s v="Yes"/>
    <n v="7.8"/>
    <n v="5.8"/>
    <n v="4.2"/>
    <n v="5"/>
    <n v="5.6"/>
    <n v="7.4"/>
    <n v="5"/>
    <x v="2"/>
    <s v="No"/>
    <x v="2"/>
    <x v="1"/>
    <x v="1"/>
    <x v="0"/>
  </r>
  <r>
    <x v="379"/>
    <x v="5"/>
    <s v="Male"/>
    <x v="4"/>
    <x v="1"/>
    <s v="Upper-Middle"/>
    <s v="Single"/>
    <s v="With Partner"/>
    <x v="1"/>
    <x v="3"/>
    <x v="1"/>
    <n v="1.89"/>
    <n v="4.91"/>
    <n v="4.04"/>
    <n v="7.24"/>
    <n v="6"/>
    <n v="4.3"/>
    <n v="3.4"/>
    <n v="4.3"/>
    <s v="No"/>
    <n v="6.3"/>
    <n v="5.3"/>
    <n v="4.5999999999999996"/>
    <n v="4.7"/>
    <n v="5"/>
    <n v="4.2"/>
    <n v="6"/>
    <x v="1"/>
    <s v="No"/>
    <x v="0"/>
    <x v="0"/>
    <x v="1"/>
    <x v="0"/>
  </r>
  <r>
    <x v="380"/>
    <x v="11"/>
    <s v="Non-binary"/>
    <x v="0"/>
    <x v="1"/>
    <s v="Lower-Middle"/>
    <s v="Single"/>
    <s v="With Roommates"/>
    <x v="4"/>
    <x v="0"/>
    <x v="2"/>
    <n v="2.62"/>
    <n v="3.17"/>
    <n v="2.84"/>
    <n v="8.59"/>
    <n v="2"/>
    <n v="8"/>
    <n v="6.9"/>
    <n v="4.9000000000000004"/>
    <s v="Yes"/>
    <n v="6.8"/>
    <n v="4.2"/>
    <n v="0.8"/>
    <n v="4.7"/>
    <n v="6"/>
    <n v="5.5"/>
    <n v="4.4000000000000004"/>
    <x v="1"/>
    <s v="No"/>
    <x v="2"/>
    <x v="3"/>
    <x v="2"/>
    <x v="2"/>
  </r>
  <r>
    <x v="381"/>
    <x v="17"/>
    <s v="Female"/>
    <x v="1"/>
    <x v="2"/>
    <s v="Upper-Middle"/>
    <s v="Married"/>
    <s v="With Family"/>
    <x v="2"/>
    <x v="0"/>
    <x v="1"/>
    <n v="0"/>
    <n v="8.4700000000000006"/>
    <n v="0"/>
    <n v="2.12"/>
    <n v="6"/>
    <n v="1"/>
    <n v="1"/>
    <n v="10"/>
    <s v="Yes"/>
    <n v="9.1"/>
    <n v="10"/>
    <n v="4.3"/>
    <n v="1.8"/>
    <n v="1"/>
    <n v="1.7"/>
    <n v="8.6"/>
    <x v="0"/>
    <s v="No"/>
    <x v="0"/>
    <x v="0"/>
    <x v="0"/>
    <x v="1"/>
  </r>
  <r>
    <x v="382"/>
    <x v="5"/>
    <s v="Male"/>
    <x v="1"/>
    <x v="2"/>
    <s v="Upper-Middle"/>
    <s v="Single"/>
    <s v="Alone"/>
    <x v="1"/>
    <x v="1"/>
    <x v="3"/>
    <n v="0"/>
    <n v="8.74"/>
    <n v="0.25"/>
    <n v="2.02"/>
    <n v="8"/>
    <n v="1"/>
    <n v="1"/>
    <n v="10"/>
    <s v="No"/>
    <n v="7.9"/>
    <n v="10"/>
    <n v="6.7"/>
    <n v="1"/>
    <n v="1"/>
    <n v="1.5"/>
    <n v="10"/>
    <x v="0"/>
    <s v="No"/>
    <x v="0"/>
    <x v="0"/>
    <x v="0"/>
    <x v="1"/>
  </r>
  <r>
    <x v="383"/>
    <x v="1"/>
    <s v="Female"/>
    <x v="0"/>
    <x v="2"/>
    <s v="High"/>
    <s v="Divorced/Separated"/>
    <s v="With Family"/>
    <x v="4"/>
    <x v="3"/>
    <x v="1"/>
    <n v="0"/>
    <n v="5.6"/>
    <n v="2.5"/>
    <n v="4.1500000000000004"/>
    <n v="6"/>
    <n v="1.7"/>
    <n v="1.4"/>
    <n v="9.1"/>
    <s v="No"/>
    <n v="6.6"/>
    <n v="8.9"/>
    <n v="5.4"/>
    <n v="1.7"/>
    <n v="1"/>
    <n v="4.4000000000000004"/>
    <n v="6.6"/>
    <x v="0"/>
    <s v="No"/>
    <x v="0"/>
    <x v="1"/>
    <x v="0"/>
    <x v="1"/>
  </r>
  <r>
    <x v="384"/>
    <x v="16"/>
    <s v="Female"/>
    <x v="1"/>
    <x v="1"/>
    <s v="Lower-Middle"/>
    <s v="In a Relationship"/>
    <s v="With Partner"/>
    <x v="3"/>
    <x v="3"/>
    <x v="4"/>
    <n v="1.37"/>
    <n v="4.54"/>
    <n v="2.71"/>
    <n v="7.11"/>
    <n v="3"/>
    <n v="7.8"/>
    <n v="6.3"/>
    <n v="4.3"/>
    <s v="Yes"/>
    <n v="6.1"/>
    <n v="5.6"/>
    <n v="1"/>
    <n v="4.0999999999999996"/>
    <n v="6.6"/>
    <n v="3.5"/>
    <n v="5.2"/>
    <x v="0"/>
    <s v="Yes"/>
    <x v="2"/>
    <x v="2"/>
    <x v="1"/>
    <x v="2"/>
  </r>
  <r>
    <x v="385"/>
    <x v="12"/>
    <s v="Female"/>
    <x v="0"/>
    <x v="1"/>
    <s v="Upper-Middle"/>
    <s v="In a Relationship"/>
    <s v="With Family"/>
    <x v="3"/>
    <x v="0"/>
    <x v="3"/>
    <n v="2.59"/>
    <n v="1.41"/>
    <n v="5.28"/>
    <n v="9.61"/>
    <n v="2"/>
    <n v="7.2"/>
    <n v="7.1"/>
    <n v="3.8"/>
    <s v="No"/>
    <n v="5.9"/>
    <n v="5.0999999999999996"/>
    <n v="2.1"/>
    <n v="8"/>
    <n v="7"/>
    <n v="7.5"/>
    <n v="4"/>
    <x v="2"/>
    <s v="Yes"/>
    <x v="2"/>
    <x v="3"/>
    <x v="2"/>
    <x v="2"/>
  </r>
  <r>
    <x v="386"/>
    <x v="24"/>
    <s v="Female"/>
    <x v="1"/>
    <x v="0"/>
    <s v="Lower-Middle"/>
    <s v="Married"/>
    <s v="With Roommates"/>
    <x v="1"/>
    <x v="0"/>
    <x v="2"/>
    <n v="0"/>
    <n v="4.88"/>
    <n v="2.06"/>
    <n v="5.09"/>
    <n v="6"/>
    <n v="3.8"/>
    <n v="1"/>
    <n v="7"/>
    <s v="No"/>
    <n v="8.1999999999999993"/>
    <n v="8.6999999999999993"/>
    <n v="6.3"/>
    <n v="2.9"/>
    <n v="1.2"/>
    <n v="3.5"/>
    <n v="8.1999999999999993"/>
    <x v="0"/>
    <s v="No"/>
    <x v="0"/>
    <x v="1"/>
    <x v="0"/>
    <x v="0"/>
  </r>
  <r>
    <x v="387"/>
    <x v="16"/>
    <s v="Male"/>
    <x v="3"/>
    <x v="2"/>
    <s v="High"/>
    <s v="Single"/>
    <s v="With Family"/>
    <x v="2"/>
    <x v="2"/>
    <x v="4"/>
    <n v="1.1200000000000001"/>
    <n v="6.21"/>
    <n v="1.45"/>
    <n v="4.09"/>
    <n v="6"/>
    <n v="3.1"/>
    <n v="2.8"/>
    <n v="8.1"/>
    <s v="No"/>
    <n v="7.3"/>
    <n v="8.3000000000000007"/>
    <n v="4.9000000000000004"/>
    <n v="1"/>
    <n v="2.7"/>
    <n v="4.4000000000000004"/>
    <n v="7.5"/>
    <x v="1"/>
    <s v="No"/>
    <x v="0"/>
    <x v="2"/>
    <x v="1"/>
    <x v="0"/>
  </r>
  <r>
    <x v="388"/>
    <x v="20"/>
    <s v="Male"/>
    <x v="1"/>
    <x v="3"/>
    <s v="Low"/>
    <s v="Single"/>
    <s v="With Roommates"/>
    <x v="3"/>
    <x v="0"/>
    <x v="3"/>
    <n v="1.4"/>
    <n v="3.32"/>
    <n v="3.15"/>
    <n v="7.27"/>
    <n v="0"/>
    <n v="3.8"/>
    <n v="5.2"/>
    <n v="6.8"/>
    <s v="Yes"/>
    <n v="8.6999999999999993"/>
    <n v="6.2"/>
    <n v="4.3"/>
    <n v="6.4"/>
    <n v="3.3"/>
    <n v="5.8"/>
    <n v="5"/>
    <x v="0"/>
    <s v="Yes"/>
    <x v="0"/>
    <x v="2"/>
    <x v="1"/>
    <x v="0"/>
  </r>
  <r>
    <x v="389"/>
    <x v="12"/>
    <s v="Male"/>
    <x v="0"/>
    <x v="1"/>
    <s v="Upper-Middle"/>
    <s v="In a Relationship"/>
    <s v="With Roommates"/>
    <x v="1"/>
    <x v="4"/>
    <x v="3"/>
    <n v="0.62"/>
    <n v="6.03"/>
    <n v="1.57"/>
    <n v="4.4000000000000004"/>
    <n v="5"/>
    <n v="7.3"/>
    <n v="2.1"/>
    <n v="7.1"/>
    <s v="No"/>
    <n v="8.3000000000000007"/>
    <n v="6.5"/>
    <n v="5.5"/>
    <n v="4.0999999999999996"/>
    <n v="1"/>
    <n v="3.1"/>
    <n v="6.3"/>
    <x v="0"/>
    <s v="No"/>
    <x v="0"/>
    <x v="3"/>
    <x v="0"/>
    <x v="2"/>
  </r>
  <r>
    <x v="390"/>
    <x v="20"/>
    <s v="Female"/>
    <x v="0"/>
    <x v="3"/>
    <s v="Upper-Middle"/>
    <s v="Single"/>
    <s v="With Roommates"/>
    <x v="2"/>
    <x v="4"/>
    <x v="4"/>
    <n v="0.55000000000000004"/>
    <n v="5.72"/>
    <n v="2.19"/>
    <n v="3.78"/>
    <n v="4"/>
    <n v="4"/>
    <n v="2.6"/>
    <n v="5.5"/>
    <s v="Yes"/>
    <n v="7.8"/>
    <n v="8.8000000000000007"/>
    <n v="2.2999999999999998"/>
    <n v="5.0999999999999996"/>
    <n v="2.7"/>
    <n v="4.7"/>
    <n v="8.9"/>
    <x v="0"/>
    <s v="No"/>
    <x v="0"/>
    <x v="2"/>
    <x v="0"/>
    <x v="0"/>
  </r>
  <r>
    <x v="391"/>
    <x v="2"/>
    <s v="Female"/>
    <x v="0"/>
    <x v="1"/>
    <s v="Upper-Middle"/>
    <s v="In a Relationship"/>
    <s v="Alone"/>
    <x v="2"/>
    <x v="3"/>
    <x v="4"/>
    <n v="1.76"/>
    <n v="5.22"/>
    <n v="1.01"/>
    <n v="4.68"/>
    <n v="5"/>
    <n v="4.5"/>
    <n v="4.8"/>
    <n v="5.3"/>
    <s v="Yes"/>
    <n v="6.9"/>
    <n v="6.5"/>
    <n v="5.5"/>
    <n v="5.7"/>
    <n v="3.6"/>
    <n v="4.7"/>
    <n v="7.7"/>
    <x v="1"/>
    <s v="No"/>
    <x v="0"/>
    <x v="2"/>
    <x v="1"/>
    <x v="0"/>
  </r>
  <r>
    <x v="392"/>
    <x v="27"/>
    <s v="Male"/>
    <x v="1"/>
    <x v="2"/>
    <s v="Low"/>
    <s v="Married"/>
    <s v="With Partner"/>
    <x v="2"/>
    <x v="0"/>
    <x v="0"/>
    <n v="4.24"/>
    <n v="1.38"/>
    <n v="3.75"/>
    <n v="7.8"/>
    <n v="1"/>
    <n v="8.5"/>
    <n v="6.2"/>
    <n v="5.4"/>
    <s v="No"/>
    <n v="6.1"/>
    <n v="6.2"/>
    <n v="1.3"/>
    <n v="7"/>
    <n v="8.6"/>
    <n v="7.6"/>
    <n v="2.9"/>
    <x v="2"/>
    <s v="Yes"/>
    <x v="2"/>
    <x v="1"/>
    <x v="3"/>
    <x v="2"/>
  </r>
  <r>
    <x v="393"/>
    <x v="28"/>
    <s v="Male"/>
    <x v="0"/>
    <x v="2"/>
    <s v="High"/>
    <s v="Single"/>
    <s v="With Family"/>
    <x v="3"/>
    <x v="4"/>
    <x v="1"/>
    <n v="3.29"/>
    <n v="2.46"/>
    <n v="4.62"/>
    <n v="9.16"/>
    <n v="2"/>
    <n v="8"/>
    <n v="7.6"/>
    <n v="2.8"/>
    <s v="Yes"/>
    <n v="7.2"/>
    <n v="3.5"/>
    <n v="2.2999999999999998"/>
    <n v="7.8"/>
    <n v="4.9000000000000004"/>
    <n v="5.6"/>
    <n v="3.8"/>
    <x v="2"/>
    <s v="No"/>
    <x v="2"/>
    <x v="1"/>
    <x v="2"/>
    <x v="2"/>
  </r>
  <r>
    <x v="394"/>
    <x v="27"/>
    <s v="Female"/>
    <x v="0"/>
    <x v="1"/>
    <s v="Low"/>
    <s v="Single"/>
    <s v="With Family"/>
    <x v="3"/>
    <x v="3"/>
    <x v="4"/>
    <n v="1.64"/>
    <n v="4.62"/>
    <n v="3.29"/>
    <n v="5.35"/>
    <n v="5"/>
    <n v="7.6"/>
    <n v="3.9"/>
    <n v="6.9"/>
    <s v="No"/>
    <n v="7.8"/>
    <n v="6.8"/>
    <n v="3"/>
    <n v="3.9"/>
    <n v="4.7"/>
    <n v="3.9"/>
    <n v="6.3"/>
    <x v="1"/>
    <s v="No"/>
    <x v="2"/>
    <x v="1"/>
    <x v="1"/>
    <x v="2"/>
  </r>
  <r>
    <x v="395"/>
    <x v="14"/>
    <s v="Prefer not to say"/>
    <x v="0"/>
    <x v="0"/>
    <s v="Upper-Middle"/>
    <s v="Divorced/Separated"/>
    <s v="With Family"/>
    <x v="1"/>
    <x v="1"/>
    <x v="4"/>
    <n v="3.83"/>
    <n v="1.19"/>
    <n v="4.78"/>
    <n v="12.61"/>
    <n v="4"/>
    <n v="10"/>
    <n v="10"/>
    <n v="2.8"/>
    <s v="Yes"/>
    <n v="6.7"/>
    <n v="3.6"/>
    <n v="3.6"/>
    <n v="7.2"/>
    <n v="7.3"/>
    <n v="10"/>
    <n v="3.4"/>
    <x v="2"/>
    <s v="No"/>
    <x v="2"/>
    <x v="3"/>
    <x v="2"/>
    <x v="2"/>
  </r>
  <r>
    <x v="396"/>
    <x v="13"/>
    <s v="Female"/>
    <x v="0"/>
    <x v="2"/>
    <s v="Low"/>
    <s v="Single"/>
    <s v="With Partner"/>
    <x v="3"/>
    <x v="0"/>
    <x v="3"/>
    <n v="3.3"/>
    <n v="3.25"/>
    <n v="3.3"/>
    <n v="7.03"/>
    <n v="1"/>
    <n v="5"/>
    <n v="6.4"/>
    <n v="3.7"/>
    <s v="Yes"/>
    <n v="6.4"/>
    <n v="5.4"/>
    <n v="1.6"/>
    <n v="7.4"/>
    <n v="5.0999999999999996"/>
    <n v="7"/>
    <n v="5"/>
    <x v="1"/>
    <s v="No"/>
    <x v="1"/>
    <x v="2"/>
    <x v="2"/>
    <x v="0"/>
  </r>
  <r>
    <x v="397"/>
    <x v="12"/>
    <s v="Male"/>
    <x v="0"/>
    <x v="1"/>
    <s v="Lower-Middle"/>
    <s v="In a Relationship"/>
    <s v="With Family"/>
    <x v="4"/>
    <x v="0"/>
    <x v="3"/>
    <n v="3.38"/>
    <n v="3.48"/>
    <n v="3.81"/>
    <n v="11.78"/>
    <n v="3"/>
    <n v="10"/>
    <n v="8.3000000000000007"/>
    <n v="3"/>
    <s v="Yes"/>
    <n v="5.7"/>
    <n v="5.2"/>
    <n v="4.7"/>
    <n v="5.9"/>
    <n v="7.6"/>
    <n v="6.9"/>
    <n v="1.7"/>
    <x v="2"/>
    <s v="No"/>
    <x v="2"/>
    <x v="3"/>
    <x v="2"/>
    <x v="2"/>
  </r>
  <r>
    <x v="398"/>
    <x v="24"/>
    <s v="Male"/>
    <x v="3"/>
    <x v="0"/>
    <s v="Lower-Middle"/>
    <s v="Single"/>
    <s v="With Roommates"/>
    <x v="1"/>
    <x v="0"/>
    <x v="3"/>
    <n v="1.6"/>
    <n v="4.38"/>
    <n v="0.37"/>
    <n v="4.49"/>
    <n v="7"/>
    <n v="2.2999999999999998"/>
    <n v="1.8"/>
    <n v="9.9"/>
    <s v="No"/>
    <n v="6.3"/>
    <n v="9"/>
    <n v="8.6"/>
    <n v="3"/>
    <n v="1.6"/>
    <n v="3.5"/>
    <n v="7.6"/>
    <x v="0"/>
    <s v="No"/>
    <x v="0"/>
    <x v="1"/>
    <x v="1"/>
    <x v="1"/>
  </r>
  <r>
    <x v="399"/>
    <x v="2"/>
    <s v="Male"/>
    <x v="1"/>
    <x v="1"/>
    <s v="Lower-Middle"/>
    <s v="Married"/>
    <s v="With Roommates"/>
    <x v="3"/>
    <x v="1"/>
    <x v="4"/>
    <n v="0.31"/>
    <n v="3.87"/>
    <n v="1.64"/>
    <n v="3.44"/>
    <n v="6"/>
    <n v="3.9"/>
    <n v="3.9"/>
    <n v="10"/>
    <s v="No"/>
    <n v="7.9"/>
    <n v="8.3000000000000007"/>
    <n v="2.5"/>
    <n v="2.1"/>
    <n v="2.8"/>
    <n v="6.6"/>
    <n v="7.1"/>
    <x v="1"/>
    <s v="No"/>
    <x v="0"/>
    <x v="2"/>
    <x v="0"/>
    <x v="0"/>
  </r>
  <r>
    <x v="400"/>
    <x v="26"/>
    <s v="Female"/>
    <x v="3"/>
    <x v="2"/>
    <s v="Low"/>
    <s v="In a Relationship"/>
    <s v="With Family"/>
    <x v="2"/>
    <x v="1"/>
    <x v="0"/>
    <n v="0"/>
    <n v="2.93"/>
    <n v="2.02"/>
    <n v="4.82"/>
    <n v="7"/>
    <n v="1.8"/>
    <n v="3.9"/>
    <n v="6.9"/>
    <s v="No"/>
    <n v="6.1"/>
    <n v="6.4"/>
    <n v="3.9"/>
    <n v="2.4"/>
    <n v="3.9"/>
    <n v="3.9"/>
    <n v="9.6999999999999993"/>
    <x v="1"/>
    <s v="No"/>
    <x v="0"/>
    <x v="0"/>
    <x v="0"/>
    <x v="1"/>
  </r>
  <r>
    <x v="401"/>
    <x v="11"/>
    <s v="Male"/>
    <x v="0"/>
    <x v="3"/>
    <s v="Low"/>
    <s v="Married"/>
    <s v="With Family"/>
    <x v="1"/>
    <x v="0"/>
    <x v="1"/>
    <n v="0.85"/>
    <n v="3.71"/>
    <n v="1.29"/>
    <n v="3.5"/>
    <n v="3"/>
    <n v="6.1"/>
    <n v="4.9000000000000004"/>
    <n v="5.7"/>
    <s v="Yes"/>
    <n v="7"/>
    <n v="5.3"/>
    <n v="5"/>
    <n v="3.7"/>
    <n v="5.0999999999999996"/>
    <n v="4.7"/>
    <n v="9.4"/>
    <x v="0"/>
    <s v="No"/>
    <x v="0"/>
    <x v="3"/>
    <x v="0"/>
    <x v="2"/>
  </r>
  <r>
    <x v="402"/>
    <x v="19"/>
    <s v="Female"/>
    <x v="1"/>
    <x v="0"/>
    <s v="Lower-Middle"/>
    <s v="Married"/>
    <s v="With Family"/>
    <x v="3"/>
    <x v="1"/>
    <x v="1"/>
    <n v="1.1299999999999999"/>
    <n v="4.71"/>
    <n v="0.81"/>
    <n v="2.5299999999999998"/>
    <n v="6"/>
    <n v="4.8"/>
    <n v="4.3"/>
    <n v="3.8"/>
    <s v="No"/>
    <n v="6.6"/>
    <n v="4.9000000000000004"/>
    <n v="2.4"/>
    <n v="6.4"/>
    <n v="2.7"/>
    <n v="4.0999999999999996"/>
    <n v="6.7"/>
    <x v="0"/>
    <s v="No"/>
    <x v="1"/>
    <x v="3"/>
    <x v="1"/>
    <x v="0"/>
  </r>
  <r>
    <x v="403"/>
    <x v="11"/>
    <s v="Male"/>
    <x v="1"/>
    <x v="2"/>
    <s v="Upper-Middle"/>
    <s v="Single"/>
    <s v="Alone"/>
    <x v="0"/>
    <x v="0"/>
    <x v="1"/>
    <n v="3.21"/>
    <n v="2.77"/>
    <n v="3.95"/>
    <n v="9.24"/>
    <n v="2"/>
    <n v="4.3"/>
    <n v="5.5"/>
    <n v="3.2"/>
    <s v="Yes"/>
    <n v="7"/>
    <n v="5.6"/>
    <n v="3.2"/>
    <n v="5.8"/>
    <n v="3.9"/>
    <n v="5.3"/>
    <n v="4.5999999999999996"/>
    <x v="2"/>
    <s v="No"/>
    <x v="1"/>
    <x v="3"/>
    <x v="2"/>
    <x v="0"/>
  </r>
  <r>
    <x v="404"/>
    <x v="19"/>
    <s v="Female"/>
    <x v="1"/>
    <x v="2"/>
    <s v="High"/>
    <s v="Single"/>
    <s v="With Family"/>
    <x v="0"/>
    <x v="3"/>
    <x v="1"/>
    <n v="4.6500000000000004"/>
    <n v="1.85"/>
    <n v="4.5199999999999996"/>
    <n v="11.88"/>
    <n v="1"/>
    <n v="10"/>
    <n v="7"/>
    <n v="1"/>
    <s v="No"/>
    <n v="6.7"/>
    <n v="5.5"/>
    <n v="1.9"/>
    <n v="9.5"/>
    <n v="8"/>
    <n v="6.3"/>
    <n v="3.1"/>
    <x v="2"/>
    <s v="Yes"/>
    <x v="2"/>
    <x v="3"/>
    <x v="3"/>
    <x v="2"/>
  </r>
  <r>
    <x v="405"/>
    <x v="28"/>
    <s v="Female"/>
    <x v="3"/>
    <x v="2"/>
    <s v="Low"/>
    <s v="Married"/>
    <s v="With Family"/>
    <x v="2"/>
    <x v="2"/>
    <x v="2"/>
    <n v="1.93"/>
    <n v="2.98"/>
    <n v="3.43"/>
    <n v="8.64"/>
    <n v="2"/>
    <n v="8.3000000000000007"/>
    <n v="8.3000000000000007"/>
    <n v="4"/>
    <s v="Yes"/>
    <n v="7.7"/>
    <n v="5.0999999999999996"/>
    <n v="2.1"/>
    <n v="3.8"/>
    <n v="6.5"/>
    <n v="6.9"/>
    <n v="2.6"/>
    <x v="1"/>
    <s v="No"/>
    <x v="2"/>
    <x v="1"/>
    <x v="1"/>
    <x v="2"/>
  </r>
  <r>
    <x v="406"/>
    <x v="6"/>
    <s v="Female"/>
    <x v="0"/>
    <x v="1"/>
    <s v="Lower-Middle"/>
    <s v="Single"/>
    <s v="With Partner"/>
    <x v="3"/>
    <x v="0"/>
    <x v="0"/>
    <n v="1.48"/>
    <n v="3.9"/>
    <n v="2.54"/>
    <n v="6.52"/>
    <n v="4"/>
    <n v="5.6"/>
    <n v="2.5"/>
    <n v="7"/>
    <s v="No"/>
    <n v="8"/>
    <n v="9.9"/>
    <n v="4.7"/>
    <n v="3.5"/>
    <n v="2.6"/>
    <n v="5.6"/>
    <n v="6.3"/>
    <x v="0"/>
    <s v="Yes"/>
    <x v="0"/>
    <x v="2"/>
    <x v="1"/>
    <x v="0"/>
  </r>
  <r>
    <x v="407"/>
    <x v="24"/>
    <s v="Male"/>
    <x v="3"/>
    <x v="1"/>
    <s v="Low"/>
    <s v="Married"/>
    <s v="With Partner"/>
    <x v="1"/>
    <x v="1"/>
    <x v="1"/>
    <n v="1.39"/>
    <n v="4.84"/>
    <n v="1.51"/>
    <n v="4.38"/>
    <n v="1"/>
    <n v="3.2"/>
    <n v="4.0999999999999996"/>
    <n v="6.9"/>
    <s v="No"/>
    <n v="6.3"/>
    <n v="6.5"/>
    <n v="5.4"/>
    <n v="4"/>
    <n v="4.0999999999999996"/>
    <n v="6.5"/>
    <n v="4.0999999999999996"/>
    <x v="1"/>
    <s v="No"/>
    <x v="1"/>
    <x v="1"/>
    <x v="1"/>
    <x v="0"/>
  </r>
  <r>
    <x v="408"/>
    <x v="1"/>
    <s v="Male"/>
    <x v="0"/>
    <x v="0"/>
    <s v="Low"/>
    <s v="Married"/>
    <s v="With Family"/>
    <x v="2"/>
    <x v="0"/>
    <x v="2"/>
    <n v="4.76"/>
    <n v="3.99"/>
    <n v="3.6"/>
    <n v="11.75"/>
    <n v="0"/>
    <n v="10"/>
    <n v="6.5"/>
    <n v="3.3"/>
    <s v="Yes"/>
    <n v="5.9"/>
    <n v="4"/>
    <n v="2.1"/>
    <n v="8.1"/>
    <n v="8.6999999999999993"/>
    <n v="6.7"/>
    <n v="3.8"/>
    <x v="2"/>
    <s v="Yes"/>
    <x v="2"/>
    <x v="1"/>
    <x v="3"/>
    <x v="2"/>
  </r>
  <r>
    <x v="409"/>
    <x v="10"/>
    <s v="Male"/>
    <x v="0"/>
    <x v="2"/>
    <s v="Upper-Middle"/>
    <s v="In a Relationship"/>
    <s v="With Family"/>
    <x v="3"/>
    <x v="1"/>
    <x v="2"/>
    <n v="2.25"/>
    <n v="4.1399999999999997"/>
    <n v="4.79"/>
    <n v="10.199999999999999"/>
    <n v="5"/>
    <n v="6.4"/>
    <n v="7.2"/>
    <n v="5.4"/>
    <s v="Yes"/>
    <n v="5.7"/>
    <n v="5.8"/>
    <n v="1.5"/>
    <n v="9"/>
    <n v="5.2"/>
    <n v="3.6"/>
    <n v="3.1"/>
    <x v="2"/>
    <s v="Yes"/>
    <x v="2"/>
    <x v="2"/>
    <x v="1"/>
    <x v="2"/>
  </r>
  <r>
    <x v="410"/>
    <x v="5"/>
    <s v="Female"/>
    <x v="1"/>
    <x v="2"/>
    <s v="Upper-Middle"/>
    <s v="In a Relationship"/>
    <s v="With Family"/>
    <x v="3"/>
    <x v="3"/>
    <x v="0"/>
    <n v="2.21"/>
    <n v="1.66"/>
    <n v="3.5"/>
    <n v="7.98"/>
    <n v="0"/>
    <n v="10"/>
    <n v="8.6999999999999993"/>
    <n v="2.2000000000000002"/>
    <s v="No"/>
    <n v="5.4"/>
    <n v="3.5"/>
    <n v="4"/>
    <n v="4.5999999999999996"/>
    <n v="8.9"/>
    <n v="7.9"/>
    <n v="2.8"/>
    <x v="2"/>
    <s v="No"/>
    <x v="2"/>
    <x v="0"/>
    <x v="1"/>
    <x v="2"/>
  </r>
  <r>
    <x v="411"/>
    <x v="0"/>
    <s v="Female"/>
    <x v="1"/>
    <x v="2"/>
    <s v="Low"/>
    <s v="Married"/>
    <s v="With Roommates"/>
    <x v="0"/>
    <x v="2"/>
    <x v="4"/>
    <n v="0.72"/>
    <n v="6.52"/>
    <n v="1.75"/>
    <n v="5.69"/>
    <n v="5"/>
    <n v="4.7"/>
    <n v="3"/>
    <n v="6.9"/>
    <s v="Yes"/>
    <n v="7.8"/>
    <n v="7.6"/>
    <n v="6.7"/>
    <n v="4"/>
    <n v="1.1000000000000001"/>
    <n v="5.8"/>
    <n v="6.9"/>
    <x v="1"/>
    <s v="No"/>
    <x v="0"/>
    <x v="0"/>
    <x v="0"/>
    <x v="0"/>
  </r>
  <r>
    <x v="412"/>
    <x v="12"/>
    <s v="Female"/>
    <x v="0"/>
    <x v="3"/>
    <s v="Low"/>
    <s v="Married"/>
    <s v="With Partner"/>
    <x v="3"/>
    <x v="0"/>
    <x v="3"/>
    <n v="0.31"/>
    <n v="5.78"/>
    <n v="1.1200000000000001"/>
    <n v="5.61"/>
    <n v="3"/>
    <n v="3.7"/>
    <n v="1"/>
    <n v="6.9"/>
    <s v="No"/>
    <n v="6.6"/>
    <n v="5.7"/>
    <n v="5.4"/>
    <n v="5.7"/>
    <n v="2"/>
    <n v="1.9"/>
    <n v="7.3"/>
    <x v="0"/>
    <s v="No"/>
    <x v="0"/>
    <x v="3"/>
    <x v="0"/>
    <x v="0"/>
  </r>
  <r>
    <x v="413"/>
    <x v="21"/>
    <s v="Female"/>
    <x v="1"/>
    <x v="1"/>
    <s v="Low"/>
    <s v="Single"/>
    <s v="With Family"/>
    <x v="2"/>
    <x v="2"/>
    <x v="4"/>
    <n v="0"/>
    <n v="4.3099999999999996"/>
    <n v="1.06"/>
    <n v="2.52"/>
    <n v="4"/>
    <n v="3.5"/>
    <n v="2"/>
    <n v="5.7"/>
    <s v="No"/>
    <n v="7.1"/>
    <n v="6.7"/>
    <n v="3.4"/>
    <n v="2.5"/>
    <n v="1"/>
    <n v="3.4"/>
    <n v="6.8"/>
    <x v="0"/>
    <s v="No"/>
    <x v="0"/>
    <x v="1"/>
    <x v="0"/>
    <x v="0"/>
  </r>
  <r>
    <x v="414"/>
    <x v="19"/>
    <s v="Female"/>
    <x v="1"/>
    <x v="1"/>
    <s v="Upper-Middle"/>
    <s v="Single"/>
    <s v="With Family"/>
    <x v="1"/>
    <x v="0"/>
    <x v="2"/>
    <n v="1.45"/>
    <n v="3.67"/>
    <n v="3.2"/>
    <n v="5.75"/>
    <n v="6"/>
    <n v="4.0999999999999996"/>
    <n v="4.0999999999999996"/>
    <n v="4.2"/>
    <s v="No"/>
    <n v="6.3"/>
    <n v="5.2"/>
    <n v="3.2"/>
    <n v="3.9"/>
    <n v="3.3"/>
    <n v="4.7"/>
    <n v="7.2"/>
    <x v="1"/>
    <s v="No"/>
    <x v="0"/>
    <x v="3"/>
    <x v="1"/>
    <x v="0"/>
  </r>
  <r>
    <x v="415"/>
    <x v="24"/>
    <s v="Male"/>
    <x v="0"/>
    <x v="1"/>
    <s v="High"/>
    <s v="Single"/>
    <s v="With Roommates"/>
    <x v="1"/>
    <x v="1"/>
    <x v="4"/>
    <n v="1.26"/>
    <n v="6.29"/>
    <n v="0"/>
    <n v="2.68"/>
    <n v="6"/>
    <n v="1.8"/>
    <n v="2.2000000000000002"/>
    <n v="7.3"/>
    <s v="Yes"/>
    <n v="8.3000000000000007"/>
    <n v="9.3000000000000007"/>
    <n v="1.7"/>
    <n v="3.2"/>
    <n v="2.7"/>
    <n v="2.2000000000000002"/>
    <n v="6.5"/>
    <x v="0"/>
    <s v="No"/>
    <x v="0"/>
    <x v="1"/>
    <x v="1"/>
    <x v="1"/>
  </r>
  <r>
    <x v="416"/>
    <x v="15"/>
    <s v="Female"/>
    <x v="3"/>
    <x v="2"/>
    <s v="Low"/>
    <s v="In a Relationship"/>
    <s v="Alone"/>
    <x v="3"/>
    <x v="0"/>
    <x v="3"/>
    <n v="0.99"/>
    <n v="3.85"/>
    <n v="2.34"/>
    <n v="3.97"/>
    <n v="3"/>
    <n v="4.4000000000000004"/>
    <n v="5.2"/>
    <n v="2.2000000000000002"/>
    <s v="No"/>
    <n v="6.5"/>
    <n v="4.3"/>
    <n v="2.8"/>
    <n v="2.5"/>
    <n v="4.4000000000000004"/>
    <n v="3.4"/>
    <n v="7.5"/>
    <x v="0"/>
    <s v="No"/>
    <x v="1"/>
    <x v="1"/>
    <x v="0"/>
    <x v="0"/>
  </r>
  <r>
    <x v="417"/>
    <x v="22"/>
    <s v="Male"/>
    <x v="2"/>
    <x v="3"/>
    <s v="Low"/>
    <s v="In a Relationship"/>
    <s v="With Family"/>
    <x v="0"/>
    <x v="4"/>
    <x v="1"/>
    <n v="2.68"/>
    <n v="2.81"/>
    <n v="3.04"/>
    <n v="8.31"/>
    <n v="5"/>
    <n v="5.3"/>
    <n v="4.7"/>
    <n v="3.9"/>
    <s v="No"/>
    <n v="4.8"/>
    <n v="7.6"/>
    <n v="5.2"/>
    <n v="5.4"/>
    <n v="4.0999999999999996"/>
    <n v="4.5999999999999996"/>
    <n v="4.2"/>
    <x v="1"/>
    <s v="No"/>
    <x v="2"/>
    <x v="2"/>
    <x v="2"/>
    <x v="0"/>
  </r>
  <r>
    <x v="418"/>
    <x v="8"/>
    <s v="Male"/>
    <x v="2"/>
    <x v="1"/>
    <s v="Upper-Middle"/>
    <s v="In a Relationship"/>
    <s v="With Roommates"/>
    <x v="1"/>
    <x v="1"/>
    <x v="1"/>
    <n v="2.76"/>
    <n v="2.38"/>
    <n v="5.54"/>
    <n v="8.68"/>
    <n v="2"/>
    <n v="9.4"/>
    <n v="5.8"/>
    <n v="4"/>
    <s v="No"/>
    <n v="7.5"/>
    <n v="4.5"/>
    <n v="1.4"/>
    <n v="6.2"/>
    <n v="5.2"/>
    <n v="6.6"/>
    <n v="3.5"/>
    <x v="2"/>
    <s v="No"/>
    <x v="2"/>
    <x v="1"/>
    <x v="2"/>
    <x v="2"/>
  </r>
  <r>
    <x v="419"/>
    <x v="13"/>
    <s v="Female"/>
    <x v="0"/>
    <x v="1"/>
    <s v="High"/>
    <s v="Single"/>
    <s v="With Family"/>
    <x v="1"/>
    <x v="3"/>
    <x v="3"/>
    <n v="0"/>
    <n v="5.53"/>
    <n v="0"/>
    <n v="3.27"/>
    <n v="8"/>
    <n v="1"/>
    <n v="1.4"/>
    <n v="9.8000000000000007"/>
    <s v="No"/>
    <n v="9.1"/>
    <n v="10"/>
    <n v="4.7"/>
    <n v="3.4"/>
    <n v="2.2999999999999998"/>
    <n v="1"/>
    <n v="10"/>
    <x v="0"/>
    <s v="No"/>
    <x v="0"/>
    <x v="2"/>
    <x v="0"/>
    <x v="1"/>
  </r>
  <r>
    <x v="420"/>
    <x v="9"/>
    <s v="Male"/>
    <x v="0"/>
    <x v="1"/>
    <s v="Lower-Middle"/>
    <s v="In a Relationship"/>
    <s v="With Family"/>
    <x v="2"/>
    <x v="4"/>
    <x v="2"/>
    <n v="0.17"/>
    <n v="4.21"/>
    <n v="0.25"/>
    <n v="1.75"/>
    <n v="4"/>
    <n v="4.5"/>
    <n v="1"/>
    <n v="7.9"/>
    <s v="No"/>
    <n v="5.8"/>
    <n v="7.4"/>
    <n v="6.7"/>
    <n v="2.4"/>
    <n v="2"/>
    <n v="4.7"/>
    <n v="8.6"/>
    <x v="1"/>
    <s v="No"/>
    <x v="0"/>
    <x v="2"/>
    <x v="0"/>
    <x v="0"/>
  </r>
  <r>
    <x v="421"/>
    <x v="13"/>
    <s v="Male"/>
    <x v="0"/>
    <x v="2"/>
    <s v="Low"/>
    <s v="Single"/>
    <s v="With Roommates"/>
    <x v="2"/>
    <x v="0"/>
    <x v="3"/>
    <n v="2.5299999999999998"/>
    <n v="4.13"/>
    <n v="2.4500000000000002"/>
    <n v="8.33"/>
    <n v="1"/>
    <n v="6.9"/>
    <n v="6.2"/>
    <n v="5.9"/>
    <s v="No"/>
    <n v="7.1"/>
    <n v="3.7"/>
    <n v="4.8"/>
    <n v="5.3"/>
    <n v="5.0999999999999996"/>
    <n v="8.1999999999999993"/>
    <n v="5.4"/>
    <x v="2"/>
    <s v="No"/>
    <x v="2"/>
    <x v="2"/>
    <x v="2"/>
    <x v="2"/>
  </r>
  <r>
    <x v="422"/>
    <x v="28"/>
    <s v="Female"/>
    <x v="3"/>
    <x v="1"/>
    <s v="Low"/>
    <s v="In a Relationship"/>
    <s v="With Roommates"/>
    <x v="4"/>
    <x v="0"/>
    <x v="2"/>
    <n v="2.12"/>
    <n v="4.58"/>
    <n v="3.39"/>
    <n v="4.95"/>
    <n v="4"/>
    <n v="6.3"/>
    <n v="3.7"/>
    <n v="4.7"/>
    <s v="No"/>
    <n v="8.1999999999999993"/>
    <n v="5.8"/>
    <n v="3"/>
    <n v="5.9"/>
    <n v="6.3"/>
    <n v="5.3"/>
    <n v="3.7"/>
    <x v="1"/>
    <s v="No"/>
    <x v="2"/>
    <x v="1"/>
    <x v="1"/>
    <x v="2"/>
  </r>
  <r>
    <x v="423"/>
    <x v="16"/>
    <s v="Male"/>
    <x v="1"/>
    <x v="0"/>
    <s v="Lower-Middle"/>
    <s v="In a Relationship"/>
    <s v="Alone"/>
    <x v="1"/>
    <x v="4"/>
    <x v="4"/>
    <n v="0.74"/>
    <n v="4.79"/>
    <n v="2.67"/>
    <n v="5.0199999999999996"/>
    <n v="4"/>
    <n v="6.1"/>
    <n v="5.8"/>
    <n v="6.8"/>
    <s v="No"/>
    <n v="6.8"/>
    <n v="7.7"/>
    <n v="4.7"/>
    <n v="5.2"/>
    <n v="3.7"/>
    <n v="6"/>
    <n v="4.8"/>
    <x v="1"/>
    <s v="No"/>
    <x v="1"/>
    <x v="2"/>
    <x v="0"/>
    <x v="2"/>
  </r>
  <r>
    <x v="424"/>
    <x v="17"/>
    <s v="Female"/>
    <x v="1"/>
    <x v="2"/>
    <s v="Lower-Middle"/>
    <s v="Single"/>
    <s v="With Partner"/>
    <x v="1"/>
    <x v="0"/>
    <x v="1"/>
    <n v="4.18"/>
    <n v="3.43"/>
    <n v="2.3199999999999998"/>
    <n v="7.21"/>
    <n v="1"/>
    <n v="8.9"/>
    <n v="8.1999999999999993"/>
    <n v="2.4"/>
    <s v="Yes"/>
    <n v="6.2"/>
    <n v="6.8"/>
    <n v="1.2"/>
    <n v="8.1"/>
    <n v="5.6"/>
    <n v="5.4"/>
    <n v="3.8"/>
    <x v="2"/>
    <s v="No"/>
    <x v="2"/>
    <x v="0"/>
    <x v="3"/>
    <x v="2"/>
  </r>
  <r>
    <x v="425"/>
    <x v="17"/>
    <s v="Male"/>
    <x v="3"/>
    <x v="2"/>
    <s v="Low"/>
    <s v="Single"/>
    <s v="Alone"/>
    <x v="4"/>
    <x v="0"/>
    <x v="1"/>
    <n v="0.59"/>
    <n v="4.1900000000000004"/>
    <n v="1.59"/>
    <n v="5.53"/>
    <n v="5"/>
    <n v="2.8"/>
    <n v="1.6"/>
    <n v="8.4"/>
    <s v="No"/>
    <n v="7.4"/>
    <n v="8.9"/>
    <n v="4.7"/>
    <n v="4.8"/>
    <n v="1"/>
    <n v="3.1"/>
    <n v="8.5"/>
    <x v="0"/>
    <s v="No"/>
    <x v="0"/>
    <x v="0"/>
    <x v="0"/>
    <x v="1"/>
  </r>
  <r>
    <x v="426"/>
    <x v="29"/>
    <s v="Male"/>
    <x v="1"/>
    <x v="3"/>
    <s v="Lower-Middle"/>
    <s v="In a Relationship"/>
    <s v="With Roommates"/>
    <x v="2"/>
    <x v="1"/>
    <x v="4"/>
    <n v="1.22"/>
    <n v="4.2"/>
    <n v="3.32"/>
    <n v="8.2200000000000006"/>
    <n v="7"/>
    <n v="3.5"/>
    <n v="3.6"/>
    <n v="7.7"/>
    <s v="Yes"/>
    <n v="8"/>
    <n v="6.2"/>
    <n v="2.1"/>
    <n v="2.2999999999999998"/>
    <n v="1.4"/>
    <n v="3.1"/>
    <n v="8.9"/>
    <x v="0"/>
    <s v="No"/>
    <x v="0"/>
    <x v="1"/>
    <x v="1"/>
    <x v="0"/>
  </r>
  <r>
    <x v="427"/>
    <x v="8"/>
    <s v="Male"/>
    <x v="0"/>
    <x v="1"/>
    <s v="Low"/>
    <s v="In a Relationship"/>
    <s v="Alone"/>
    <x v="3"/>
    <x v="1"/>
    <x v="3"/>
    <n v="0"/>
    <n v="6.39"/>
    <n v="1.92"/>
    <n v="1.57"/>
    <n v="5"/>
    <n v="4.2"/>
    <n v="1"/>
    <n v="8"/>
    <s v="No"/>
    <n v="8.5"/>
    <n v="6.9"/>
    <n v="5.6"/>
    <n v="4.9000000000000004"/>
    <n v="1"/>
    <n v="4.0999999999999996"/>
    <n v="7"/>
    <x v="1"/>
    <s v="No"/>
    <x v="0"/>
    <x v="1"/>
    <x v="0"/>
    <x v="0"/>
  </r>
  <r>
    <x v="428"/>
    <x v="13"/>
    <s v="Male"/>
    <x v="0"/>
    <x v="1"/>
    <s v="Upper-Middle"/>
    <s v="Single"/>
    <s v="With Partner"/>
    <x v="3"/>
    <x v="0"/>
    <x v="3"/>
    <n v="0"/>
    <n v="6.32"/>
    <n v="0.65"/>
    <n v="3.52"/>
    <n v="4"/>
    <n v="1"/>
    <n v="1"/>
    <n v="9.5"/>
    <s v="No"/>
    <n v="7.3"/>
    <n v="8.3000000000000007"/>
    <n v="6.3"/>
    <n v="2.7"/>
    <n v="1"/>
    <n v="1"/>
    <n v="8.6999999999999993"/>
    <x v="0"/>
    <s v="No"/>
    <x v="0"/>
    <x v="2"/>
    <x v="0"/>
    <x v="1"/>
  </r>
  <r>
    <x v="429"/>
    <x v="5"/>
    <s v="Female"/>
    <x v="1"/>
    <x v="1"/>
    <s v="Lower-Middle"/>
    <s v="Divorced/Separated"/>
    <s v="With Partner"/>
    <x v="0"/>
    <x v="0"/>
    <x v="3"/>
    <n v="2.62"/>
    <n v="2.38"/>
    <n v="2.86"/>
    <n v="8.5500000000000007"/>
    <n v="1"/>
    <n v="3.9"/>
    <n v="3.6"/>
    <n v="6.1"/>
    <s v="No"/>
    <n v="6.3"/>
    <n v="6.1"/>
    <n v="2.8"/>
    <n v="3.8"/>
    <n v="7.2"/>
    <n v="4.9000000000000004"/>
    <n v="5.0999999999999996"/>
    <x v="1"/>
    <s v="Yes"/>
    <x v="0"/>
    <x v="0"/>
    <x v="2"/>
    <x v="0"/>
  </r>
  <r>
    <x v="430"/>
    <x v="22"/>
    <s v="Male"/>
    <x v="1"/>
    <x v="2"/>
    <s v="Low"/>
    <s v="In a Relationship"/>
    <s v="With Family"/>
    <x v="1"/>
    <x v="0"/>
    <x v="2"/>
    <n v="0"/>
    <n v="4.79"/>
    <n v="2.39"/>
    <n v="4.72"/>
    <n v="8"/>
    <n v="3.3"/>
    <n v="4.5"/>
    <n v="7.6"/>
    <s v="No"/>
    <n v="7.5"/>
    <n v="7.1"/>
    <n v="4.5"/>
    <n v="2.6"/>
    <n v="1.5"/>
    <n v="4.9000000000000004"/>
    <n v="9.6999999999999993"/>
    <x v="2"/>
    <s v="No"/>
    <x v="0"/>
    <x v="2"/>
    <x v="0"/>
    <x v="0"/>
  </r>
  <r>
    <x v="431"/>
    <x v="22"/>
    <s v="Female"/>
    <x v="1"/>
    <x v="3"/>
    <s v="Lower-Middle"/>
    <s v="Divorced/Separated"/>
    <s v="With Partner"/>
    <x v="2"/>
    <x v="1"/>
    <x v="3"/>
    <n v="0.67"/>
    <n v="5.46"/>
    <n v="0.5"/>
    <n v="3.75"/>
    <n v="7"/>
    <n v="3.7"/>
    <n v="3.2"/>
    <n v="5.6"/>
    <s v="No"/>
    <n v="7.8"/>
    <n v="7.7"/>
    <n v="4.5999999999999996"/>
    <n v="3.1"/>
    <n v="1"/>
    <n v="4"/>
    <n v="9.1999999999999993"/>
    <x v="0"/>
    <s v="No"/>
    <x v="0"/>
    <x v="2"/>
    <x v="0"/>
    <x v="0"/>
  </r>
  <r>
    <x v="432"/>
    <x v="14"/>
    <s v="Female"/>
    <x v="1"/>
    <x v="2"/>
    <s v="Lower-Middle"/>
    <s v="Single"/>
    <s v="With Partner"/>
    <x v="1"/>
    <x v="4"/>
    <x v="4"/>
    <n v="1.1299999999999999"/>
    <n v="5.53"/>
    <n v="1.35"/>
    <n v="5"/>
    <n v="5"/>
    <n v="5.3"/>
    <n v="3.1"/>
    <n v="8.9"/>
    <s v="Yes"/>
    <n v="8"/>
    <n v="6.9"/>
    <n v="3.9"/>
    <n v="2.4"/>
    <n v="2.4"/>
    <n v="4.4000000000000004"/>
    <n v="7.5"/>
    <x v="1"/>
    <s v="No"/>
    <x v="0"/>
    <x v="3"/>
    <x v="1"/>
    <x v="0"/>
  </r>
  <r>
    <x v="433"/>
    <x v="6"/>
    <s v="Female"/>
    <x v="1"/>
    <x v="2"/>
    <s v="High"/>
    <s v="In a Relationship"/>
    <s v="With Roommates"/>
    <x v="3"/>
    <x v="2"/>
    <x v="4"/>
    <n v="1.38"/>
    <n v="3.08"/>
    <n v="2.2999999999999998"/>
    <n v="6.55"/>
    <n v="5"/>
    <n v="5"/>
    <n v="3.8"/>
    <n v="4.4000000000000004"/>
    <s v="No"/>
    <n v="6.8"/>
    <n v="5.0999999999999996"/>
    <n v="4.5999999999999996"/>
    <n v="6.5"/>
    <n v="3.9"/>
    <n v="4.3"/>
    <n v="7.6"/>
    <x v="0"/>
    <s v="No"/>
    <x v="2"/>
    <x v="2"/>
    <x v="1"/>
    <x v="0"/>
  </r>
  <r>
    <x v="434"/>
    <x v="16"/>
    <s v="Non-binary"/>
    <x v="3"/>
    <x v="0"/>
    <s v="Lower-Middle"/>
    <s v="Married"/>
    <s v="With Family"/>
    <x v="2"/>
    <x v="3"/>
    <x v="3"/>
    <n v="1.4"/>
    <n v="6.77"/>
    <n v="1.22"/>
    <n v="3.52"/>
    <n v="6"/>
    <n v="5.6"/>
    <n v="3.5"/>
    <n v="6.5"/>
    <s v="No"/>
    <n v="6.8"/>
    <n v="8.1"/>
    <n v="4.5"/>
    <n v="1.9"/>
    <n v="3.1"/>
    <n v="1"/>
    <n v="6.8"/>
    <x v="1"/>
    <s v="No"/>
    <x v="0"/>
    <x v="2"/>
    <x v="1"/>
    <x v="0"/>
  </r>
  <r>
    <x v="435"/>
    <x v="19"/>
    <s v="Female"/>
    <x v="1"/>
    <x v="1"/>
    <s v="Lower-Middle"/>
    <s v="In a Relationship"/>
    <s v="With Roommates"/>
    <x v="3"/>
    <x v="0"/>
    <x v="4"/>
    <n v="1.57"/>
    <n v="2.2599999999999998"/>
    <n v="3.41"/>
    <n v="8.18"/>
    <n v="6"/>
    <n v="6.1"/>
    <n v="3.7"/>
    <n v="5.9"/>
    <s v="Yes"/>
    <n v="7.7"/>
    <n v="6.7"/>
    <n v="3.5"/>
    <n v="5.2"/>
    <n v="3.8"/>
    <n v="6.7"/>
    <n v="6.7"/>
    <x v="0"/>
    <s v="No"/>
    <x v="1"/>
    <x v="3"/>
    <x v="1"/>
    <x v="2"/>
  </r>
  <r>
    <x v="436"/>
    <x v="18"/>
    <s v="Male"/>
    <x v="0"/>
    <x v="1"/>
    <s v="Upper-Middle"/>
    <s v="In a Relationship"/>
    <s v="With Partner"/>
    <x v="1"/>
    <x v="2"/>
    <x v="4"/>
    <n v="1.07"/>
    <n v="3.61"/>
    <n v="2.33"/>
    <n v="5.61"/>
    <n v="2"/>
    <n v="5.5"/>
    <n v="4.4000000000000004"/>
    <n v="5.9"/>
    <s v="No"/>
    <n v="5.6"/>
    <n v="4.3"/>
    <n v="1.3"/>
    <n v="4.5"/>
    <n v="3.9"/>
    <n v="6.7"/>
    <n v="3.5"/>
    <x v="1"/>
    <s v="No"/>
    <x v="1"/>
    <x v="2"/>
    <x v="1"/>
    <x v="0"/>
  </r>
  <r>
    <x v="437"/>
    <x v="3"/>
    <s v="Male"/>
    <x v="1"/>
    <x v="2"/>
    <s v="Lower-Middle"/>
    <s v="Single"/>
    <s v="With Family"/>
    <x v="1"/>
    <x v="1"/>
    <x v="1"/>
    <n v="1.42"/>
    <n v="6.06"/>
    <n v="1.85"/>
    <n v="5.41"/>
    <n v="3"/>
    <n v="5.7"/>
    <n v="3.6"/>
    <n v="6.9"/>
    <s v="No"/>
    <n v="6.8"/>
    <n v="7.6"/>
    <n v="4.2"/>
    <n v="4"/>
    <n v="5.4"/>
    <n v="6.4"/>
    <n v="7"/>
    <x v="1"/>
    <s v="No"/>
    <x v="0"/>
    <x v="1"/>
    <x v="1"/>
    <x v="0"/>
  </r>
  <r>
    <x v="438"/>
    <x v="19"/>
    <s v="Male"/>
    <x v="2"/>
    <x v="0"/>
    <s v="High"/>
    <s v="Single"/>
    <s v="With Partner"/>
    <x v="1"/>
    <x v="0"/>
    <x v="3"/>
    <n v="1.19"/>
    <n v="4.99"/>
    <n v="0.88"/>
    <n v="4.63"/>
    <n v="7"/>
    <n v="3.9"/>
    <n v="2.5"/>
    <n v="7.1"/>
    <s v="No"/>
    <n v="7.3"/>
    <n v="8.3000000000000007"/>
    <n v="4.2"/>
    <n v="6.3"/>
    <n v="1.3"/>
    <n v="4.5"/>
    <n v="7.9"/>
    <x v="1"/>
    <s v="Yes"/>
    <x v="0"/>
    <x v="3"/>
    <x v="1"/>
    <x v="0"/>
  </r>
  <r>
    <x v="439"/>
    <x v="25"/>
    <s v="Female"/>
    <x v="1"/>
    <x v="1"/>
    <s v="Lower-Middle"/>
    <s v="Single"/>
    <s v="With Family"/>
    <x v="2"/>
    <x v="2"/>
    <x v="1"/>
    <n v="3.89"/>
    <n v="4.63"/>
    <n v="3.06"/>
    <n v="7.68"/>
    <n v="1"/>
    <n v="5.7"/>
    <n v="5.8"/>
    <n v="4.2"/>
    <s v="No"/>
    <n v="7.3"/>
    <n v="3.4"/>
    <n v="2.5"/>
    <n v="7.1"/>
    <n v="4.8"/>
    <n v="5.8"/>
    <n v="5.3"/>
    <x v="1"/>
    <s v="No"/>
    <x v="1"/>
    <x v="3"/>
    <x v="2"/>
    <x v="0"/>
  </r>
  <r>
    <x v="440"/>
    <x v="18"/>
    <s v="Male"/>
    <x v="0"/>
    <x v="0"/>
    <s v="Lower-Middle"/>
    <s v="Single"/>
    <s v="With Family"/>
    <x v="0"/>
    <x v="3"/>
    <x v="2"/>
    <n v="0.71"/>
    <n v="2.98"/>
    <n v="3.41"/>
    <n v="4.57"/>
    <n v="4"/>
    <n v="3.3"/>
    <n v="3.9"/>
    <n v="5.4"/>
    <s v="Yes"/>
    <n v="6.8"/>
    <n v="8.4"/>
    <n v="4.8"/>
    <n v="4.9000000000000004"/>
    <n v="4.8"/>
    <n v="7.7"/>
    <n v="6.8"/>
    <x v="0"/>
    <s v="No"/>
    <x v="0"/>
    <x v="2"/>
    <x v="0"/>
    <x v="0"/>
  </r>
  <r>
    <x v="441"/>
    <x v="2"/>
    <s v="Female"/>
    <x v="4"/>
    <x v="1"/>
    <s v="Low"/>
    <s v="Single"/>
    <s v="Alone"/>
    <x v="2"/>
    <x v="3"/>
    <x v="3"/>
    <n v="3.03"/>
    <n v="2.88"/>
    <n v="3.47"/>
    <n v="8.3800000000000008"/>
    <n v="2"/>
    <n v="6.1"/>
    <n v="6.4"/>
    <n v="1"/>
    <s v="Yes"/>
    <n v="6.7"/>
    <n v="4.9000000000000004"/>
    <n v="0"/>
    <n v="7.9"/>
    <n v="7.8"/>
    <n v="5"/>
    <n v="2.8"/>
    <x v="2"/>
    <s v="No"/>
    <x v="2"/>
    <x v="2"/>
    <x v="2"/>
    <x v="2"/>
  </r>
  <r>
    <x v="442"/>
    <x v="24"/>
    <s v="Female"/>
    <x v="4"/>
    <x v="3"/>
    <s v="Lower-Middle"/>
    <s v="Single"/>
    <s v="Alone"/>
    <x v="3"/>
    <x v="3"/>
    <x v="1"/>
    <n v="1.33"/>
    <n v="3.61"/>
    <n v="3.63"/>
    <n v="8.5"/>
    <n v="5"/>
    <n v="6.4"/>
    <n v="3.8"/>
    <n v="4.2"/>
    <s v="No"/>
    <n v="7.9"/>
    <n v="7.1"/>
    <n v="2.9"/>
    <n v="5.7"/>
    <n v="4.3"/>
    <n v="6.1"/>
    <n v="5.8"/>
    <x v="1"/>
    <s v="No"/>
    <x v="2"/>
    <x v="1"/>
    <x v="1"/>
    <x v="2"/>
  </r>
  <r>
    <x v="443"/>
    <x v="8"/>
    <s v="Male"/>
    <x v="1"/>
    <x v="2"/>
    <s v="Upper-Middle"/>
    <s v="Divorced/Separated"/>
    <s v="With Roommates"/>
    <x v="3"/>
    <x v="0"/>
    <x v="2"/>
    <n v="2.81"/>
    <n v="1.66"/>
    <n v="3.45"/>
    <n v="7.07"/>
    <n v="3"/>
    <n v="8.6999999999999993"/>
    <n v="8"/>
    <n v="2.1"/>
    <s v="Yes"/>
    <n v="5.7"/>
    <n v="3.3"/>
    <n v="3.2"/>
    <n v="6.3"/>
    <n v="4.8"/>
    <n v="8.3000000000000007"/>
    <n v="3.3"/>
    <x v="2"/>
    <s v="Yes"/>
    <x v="2"/>
    <x v="1"/>
    <x v="2"/>
    <x v="2"/>
  </r>
  <r>
    <x v="444"/>
    <x v="11"/>
    <s v="Female"/>
    <x v="3"/>
    <x v="0"/>
    <s v="Upper-Middle"/>
    <s v="Single"/>
    <s v="With Family"/>
    <x v="1"/>
    <x v="0"/>
    <x v="3"/>
    <n v="2.15"/>
    <n v="4.1900000000000004"/>
    <n v="0.57999999999999996"/>
    <n v="4.91"/>
    <n v="3"/>
    <n v="8.6999999999999993"/>
    <n v="2.9"/>
    <n v="4.8"/>
    <s v="No"/>
    <n v="6.9"/>
    <n v="6.3"/>
    <n v="6.4"/>
    <n v="8"/>
    <n v="7.1"/>
    <n v="6.3"/>
    <n v="5.8"/>
    <x v="2"/>
    <s v="No"/>
    <x v="2"/>
    <x v="3"/>
    <x v="1"/>
    <x v="2"/>
  </r>
  <r>
    <x v="445"/>
    <x v="12"/>
    <s v="Male"/>
    <x v="0"/>
    <x v="1"/>
    <s v="Low"/>
    <s v="In a Relationship"/>
    <s v="With Partner"/>
    <x v="4"/>
    <x v="3"/>
    <x v="3"/>
    <n v="0"/>
    <n v="4.63"/>
    <n v="1.1299999999999999"/>
    <n v="2.41"/>
    <n v="5"/>
    <n v="1.1000000000000001"/>
    <n v="1"/>
    <n v="10"/>
    <s v="No"/>
    <n v="8.1"/>
    <n v="10"/>
    <n v="3.5"/>
    <n v="3.4"/>
    <n v="1"/>
    <n v="2.8"/>
    <n v="7"/>
    <x v="0"/>
    <s v="No"/>
    <x v="0"/>
    <x v="3"/>
    <x v="0"/>
    <x v="1"/>
  </r>
  <r>
    <x v="446"/>
    <x v="21"/>
    <s v="Male"/>
    <x v="0"/>
    <x v="1"/>
    <s v="Low"/>
    <s v="Married"/>
    <s v="With Family"/>
    <x v="0"/>
    <x v="0"/>
    <x v="3"/>
    <n v="1.1499999999999999"/>
    <n v="3.91"/>
    <n v="1.77"/>
    <n v="4.0599999999999996"/>
    <n v="3"/>
    <n v="5.5"/>
    <n v="4.8"/>
    <n v="8.1"/>
    <s v="Yes"/>
    <n v="7.1"/>
    <n v="6.7"/>
    <n v="4.8"/>
    <n v="3.7"/>
    <n v="4.7"/>
    <n v="2.2999999999999998"/>
    <n v="5.8"/>
    <x v="1"/>
    <s v="No"/>
    <x v="0"/>
    <x v="1"/>
    <x v="1"/>
    <x v="0"/>
  </r>
  <r>
    <x v="447"/>
    <x v="21"/>
    <s v="Female"/>
    <x v="1"/>
    <x v="2"/>
    <s v="Upper-Middle"/>
    <s v="In a Relationship"/>
    <s v="With Family"/>
    <x v="0"/>
    <x v="1"/>
    <x v="4"/>
    <n v="1.27"/>
    <n v="4.49"/>
    <n v="2.5499999999999998"/>
    <n v="6.32"/>
    <n v="4"/>
    <n v="6.5"/>
    <n v="4"/>
    <n v="3.2"/>
    <s v="No"/>
    <n v="5.3"/>
    <n v="7.5"/>
    <n v="4.9000000000000004"/>
    <n v="4.0999999999999996"/>
    <n v="4.3"/>
    <n v="6.7"/>
    <n v="7.7"/>
    <x v="1"/>
    <s v="No"/>
    <x v="2"/>
    <x v="1"/>
    <x v="1"/>
    <x v="2"/>
  </r>
  <r>
    <x v="448"/>
    <x v="15"/>
    <s v="Female"/>
    <x v="1"/>
    <x v="3"/>
    <s v="High"/>
    <s v="Single"/>
    <s v="With Family"/>
    <x v="3"/>
    <x v="4"/>
    <x v="3"/>
    <n v="3.71"/>
    <n v="2.9"/>
    <n v="3.62"/>
    <n v="10.09"/>
    <n v="4"/>
    <n v="6.3"/>
    <n v="7.4"/>
    <n v="2.2999999999999998"/>
    <s v="No"/>
    <n v="6.7"/>
    <n v="4.8"/>
    <n v="3.1"/>
    <n v="6.1"/>
    <n v="5.2"/>
    <n v="7.8"/>
    <n v="1.4"/>
    <x v="1"/>
    <s v="Yes"/>
    <x v="2"/>
    <x v="1"/>
    <x v="2"/>
    <x v="2"/>
  </r>
  <r>
    <x v="449"/>
    <x v="18"/>
    <s v="Female"/>
    <x v="3"/>
    <x v="0"/>
    <s v="Low"/>
    <s v="In a Relationship"/>
    <s v="Alone"/>
    <x v="1"/>
    <x v="4"/>
    <x v="1"/>
    <n v="3.49"/>
    <n v="2.0499999999999998"/>
    <n v="3.74"/>
    <n v="8.44"/>
    <n v="1"/>
    <n v="10"/>
    <n v="9.6"/>
    <n v="1"/>
    <s v="No"/>
    <n v="6.1"/>
    <n v="2.2999999999999998"/>
    <n v="0"/>
    <n v="8.8000000000000007"/>
    <n v="8.5"/>
    <n v="9.8000000000000007"/>
    <n v="1.6"/>
    <x v="2"/>
    <s v="No"/>
    <x v="2"/>
    <x v="2"/>
    <x v="2"/>
    <x v="2"/>
  </r>
  <r>
    <x v="450"/>
    <x v="16"/>
    <s v="Male"/>
    <x v="0"/>
    <x v="2"/>
    <s v="Lower-Middle"/>
    <s v="In a Relationship"/>
    <s v="With Partner"/>
    <x v="1"/>
    <x v="1"/>
    <x v="0"/>
    <n v="2.36"/>
    <n v="4.33"/>
    <n v="3.49"/>
    <n v="9.23"/>
    <n v="7"/>
    <n v="5.0999999999999996"/>
    <n v="3.1"/>
    <n v="4.7"/>
    <s v="Yes"/>
    <n v="8.3000000000000007"/>
    <n v="7.1"/>
    <n v="3.9"/>
    <n v="3.5"/>
    <n v="4.4000000000000004"/>
    <n v="4.2"/>
    <n v="6.7"/>
    <x v="1"/>
    <s v="No"/>
    <x v="1"/>
    <x v="2"/>
    <x v="1"/>
    <x v="0"/>
  </r>
  <r>
    <x v="451"/>
    <x v="2"/>
    <s v="Male"/>
    <x v="0"/>
    <x v="1"/>
    <s v="Lower-Middle"/>
    <s v="In a Relationship"/>
    <s v="With Roommates"/>
    <x v="3"/>
    <x v="4"/>
    <x v="2"/>
    <n v="1.79"/>
    <n v="5.35"/>
    <n v="2.4900000000000002"/>
    <n v="6.7"/>
    <n v="5"/>
    <n v="6.5"/>
    <n v="2.6"/>
    <n v="5.5"/>
    <s v="No"/>
    <n v="6.7"/>
    <n v="6.6"/>
    <n v="0.3"/>
    <n v="6"/>
    <n v="4.2"/>
    <n v="4.7"/>
    <n v="6.3"/>
    <x v="0"/>
    <s v="No"/>
    <x v="2"/>
    <x v="2"/>
    <x v="1"/>
    <x v="2"/>
  </r>
  <r>
    <x v="452"/>
    <x v="28"/>
    <s v="Female"/>
    <x v="3"/>
    <x v="1"/>
    <s v="Upper-Middle"/>
    <s v="Married"/>
    <s v="With Partner"/>
    <x v="3"/>
    <x v="4"/>
    <x v="3"/>
    <n v="3.56"/>
    <n v="2.2000000000000002"/>
    <n v="3.1"/>
    <n v="8.42"/>
    <n v="4"/>
    <n v="9.4"/>
    <n v="4.8"/>
    <n v="4.7"/>
    <s v="No"/>
    <n v="5.8"/>
    <n v="4.7"/>
    <n v="3"/>
    <n v="6.7"/>
    <n v="4.8"/>
    <n v="6.4"/>
    <n v="3.9"/>
    <x v="1"/>
    <s v="No"/>
    <x v="2"/>
    <x v="1"/>
    <x v="2"/>
    <x v="2"/>
  </r>
  <r>
    <x v="453"/>
    <x v="6"/>
    <s v="Female"/>
    <x v="3"/>
    <x v="0"/>
    <s v="Low"/>
    <s v="Divorced/Separated"/>
    <s v="With Family"/>
    <x v="4"/>
    <x v="3"/>
    <x v="4"/>
    <n v="1.52"/>
    <n v="3.6"/>
    <n v="3.19"/>
    <n v="7.05"/>
    <n v="4"/>
    <n v="6.2"/>
    <n v="2.7"/>
    <n v="4.4000000000000004"/>
    <s v="No"/>
    <n v="6.2"/>
    <n v="5.7"/>
    <n v="1.9"/>
    <n v="3.2"/>
    <n v="1.7"/>
    <n v="6.9"/>
    <n v="4.8"/>
    <x v="1"/>
    <s v="No"/>
    <x v="0"/>
    <x v="2"/>
    <x v="1"/>
    <x v="2"/>
  </r>
  <r>
    <x v="454"/>
    <x v="17"/>
    <s v="Female"/>
    <x v="1"/>
    <x v="1"/>
    <s v="Low"/>
    <s v="In a Relationship"/>
    <s v="Alone"/>
    <x v="3"/>
    <x v="0"/>
    <x v="4"/>
    <n v="3.01"/>
    <n v="2.67"/>
    <n v="4.16"/>
    <n v="11.21"/>
    <n v="1"/>
    <n v="6.1"/>
    <n v="9"/>
    <n v="2.4"/>
    <s v="No"/>
    <n v="3.2"/>
    <n v="4"/>
    <n v="2.7"/>
    <n v="6.4"/>
    <n v="6.9"/>
    <n v="7.5"/>
    <n v="4.3"/>
    <x v="2"/>
    <s v="No"/>
    <x v="2"/>
    <x v="0"/>
    <x v="2"/>
    <x v="2"/>
  </r>
  <r>
    <x v="455"/>
    <x v="12"/>
    <s v="Male"/>
    <x v="0"/>
    <x v="2"/>
    <s v="Upper-Middle"/>
    <s v="Single"/>
    <s v="Alone"/>
    <x v="3"/>
    <x v="0"/>
    <x v="1"/>
    <n v="0"/>
    <n v="4.49"/>
    <n v="3.72"/>
    <n v="6.47"/>
    <n v="9"/>
    <n v="2.4"/>
    <n v="2.1"/>
    <n v="9"/>
    <s v="Yes"/>
    <n v="7.6"/>
    <n v="9.6"/>
    <n v="4.5999999999999996"/>
    <n v="3"/>
    <n v="2.1"/>
    <n v="4.5"/>
    <n v="9.8000000000000007"/>
    <x v="0"/>
    <s v="No"/>
    <x v="0"/>
    <x v="3"/>
    <x v="0"/>
    <x v="1"/>
  </r>
  <r>
    <x v="456"/>
    <x v="18"/>
    <s v="Female"/>
    <x v="1"/>
    <x v="2"/>
    <s v="Low"/>
    <s v="In a Relationship"/>
    <s v="Alone"/>
    <x v="3"/>
    <x v="0"/>
    <x v="1"/>
    <n v="1.27"/>
    <n v="2.2200000000000002"/>
    <n v="2.97"/>
    <n v="5.54"/>
    <n v="4"/>
    <n v="4.5999999999999996"/>
    <n v="5.0999999999999996"/>
    <n v="5.6"/>
    <s v="No"/>
    <n v="9"/>
    <n v="5.5"/>
    <n v="2.1"/>
    <n v="4.5"/>
    <n v="4.2"/>
    <n v="6"/>
    <n v="4.3"/>
    <x v="1"/>
    <s v="No"/>
    <x v="1"/>
    <x v="2"/>
    <x v="1"/>
    <x v="0"/>
  </r>
  <r>
    <x v="457"/>
    <x v="26"/>
    <s v="Male"/>
    <x v="3"/>
    <x v="0"/>
    <s v="Lower-Middle"/>
    <s v="Single"/>
    <s v="With Family"/>
    <x v="4"/>
    <x v="0"/>
    <x v="1"/>
    <n v="2.2799999999999998"/>
    <n v="3.4"/>
    <n v="3.52"/>
    <n v="7.78"/>
    <n v="3"/>
    <n v="6.7"/>
    <n v="6"/>
    <n v="4.9000000000000004"/>
    <s v="No"/>
    <n v="7.7"/>
    <n v="3.4"/>
    <n v="3.4"/>
    <n v="5.4"/>
    <n v="6.2"/>
    <n v="5.0999999999999996"/>
    <n v="2.6"/>
    <x v="1"/>
    <s v="Yes"/>
    <x v="2"/>
    <x v="0"/>
    <x v="1"/>
    <x v="2"/>
  </r>
  <r>
    <x v="458"/>
    <x v="25"/>
    <s v="Male"/>
    <x v="0"/>
    <x v="1"/>
    <s v="Lower-Middle"/>
    <s v="Married"/>
    <s v="With Roommates"/>
    <x v="2"/>
    <x v="0"/>
    <x v="1"/>
    <n v="3.14"/>
    <n v="3.6"/>
    <n v="2.9"/>
    <n v="8.17"/>
    <n v="5"/>
    <n v="7.6"/>
    <n v="7.3"/>
    <n v="4.0999999999999996"/>
    <s v="Yes"/>
    <n v="5.3"/>
    <n v="3.7"/>
    <n v="3"/>
    <n v="6.3"/>
    <n v="6.5"/>
    <n v="4.5"/>
    <n v="4.2"/>
    <x v="2"/>
    <s v="Yes"/>
    <x v="2"/>
    <x v="3"/>
    <x v="2"/>
    <x v="2"/>
  </r>
  <r>
    <x v="459"/>
    <x v="10"/>
    <s v="Female"/>
    <x v="2"/>
    <x v="0"/>
    <s v="Lower-Middle"/>
    <s v="Single"/>
    <s v="Alone"/>
    <x v="2"/>
    <x v="0"/>
    <x v="4"/>
    <n v="1.62"/>
    <n v="4.93"/>
    <n v="3.43"/>
    <n v="7.72"/>
    <n v="5"/>
    <n v="4.4000000000000004"/>
    <n v="4.7"/>
    <n v="5.8"/>
    <s v="No"/>
    <n v="6.5"/>
    <n v="5.4"/>
    <n v="5.2"/>
    <n v="3.1"/>
    <n v="5"/>
    <n v="5.8"/>
    <n v="6.1"/>
    <x v="1"/>
    <s v="No"/>
    <x v="0"/>
    <x v="2"/>
    <x v="1"/>
    <x v="0"/>
  </r>
  <r>
    <x v="460"/>
    <x v="2"/>
    <s v="Male"/>
    <x v="1"/>
    <x v="2"/>
    <s v="Lower-Middle"/>
    <s v="Single"/>
    <s v="With Roommates"/>
    <x v="4"/>
    <x v="1"/>
    <x v="0"/>
    <n v="3.72"/>
    <n v="3.11"/>
    <n v="3.7"/>
    <n v="9.66"/>
    <n v="1"/>
    <n v="5.7"/>
    <n v="5.7"/>
    <n v="2.9"/>
    <s v="No"/>
    <n v="5.9"/>
    <n v="7"/>
    <n v="2.5"/>
    <n v="6.7"/>
    <n v="3.1"/>
    <n v="7.4"/>
    <n v="3.5"/>
    <x v="2"/>
    <s v="No"/>
    <x v="2"/>
    <x v="2"/>
    <x v="2"/>
    <x v="0"/>
  </r>
  <r>
    <x v="461"/>
    <x v="21"/>
    <s v="Non-binary"/>
    <x v="1"/>
    <x v="2"/>
    <s v="Lower-Middle"/>
    <s v="Married"/>
    <s v="Alone"/>
    <x v="3"/>
    <x v="2"/>
    <x v="4"/>
    <n v="1.06"/>
    <n v="3.6"/>
    <n v="1.91"/>
    <n v="6.86"/>
    <n v="4"/>
    <n v="3.8"/>
    <n v="5.9"/>
    <n v="5.5"/>
    <s v="Yes"/>
    <n v="8.4"/>
    <n v="7.1"/>
    <n v="4.0999999999999996"/>
    <n v="3.9"/>
    <n v="1.8"/>
    <n v="3.2"/>
    <n v="4.0999999999999996"/>
    <x v="1"/>
    <s v="Yes"/>
    <x v="0"/>
    <x v="1"/>
    <x v="1"/>
    <x v="0"/>
  </r>
  <r>
    <x v="462"/>
    <x v="28"/>
    <s v="Male"/>
    <x v="1"/>
    <x v="1"/>
    <s v="Low"/>
    <s v="In a Relationship"/>
    <s v="With Family"/>
    <x v="2"/>
    <x v="0"/>
    <x v="0"/>
    <n v="0"/>
    <n v="5.16"/>
    <n v="0.83"/>
    <n v="2.6"/>
    <n v="6"/>
    <n v="2.8"/>
    <n v="3.4"/>
    <n v="5.9"/>
    <s v="Yes"/>
    <n v="9.6"/>
    <n v="7.6"/>
    <n v="2.9"/>
    <n v="2.1"/>
    <n v="1.8"/>
    <n v="5.4"/>
    <n v="7.2"/>
    <x v="1"/>
    <s v="No"/>
    <x v="0"/>
    <x v="1"/>
    <x v="0"/>
    <x v="1"/>
  </r>
  <r>
    <x v="463"/>
    <x v="6"/>
    <s v="Male"/>
    <x v="1"/>
    <x v="1"/>
    <s v="Lower-Middle"/>
    <s v="Single"/>
    <s v="With Roommates"/>
    <x v="3"/>
    <x v="3"/>
    <x v="0"/>
    <n v="3.1"/>
    <n v="5.61"/>
    <n v="0.24"/>
    <n v="3.62"/>
    <n v="8"/>
    <n v="2.8"/>
    <n v="2.2999999999999998"/>
    <n v="9.8000000000000007"/>
    <s v="No"/>
    <n v="7.7"/>
    <n v="7.5"/>
    <n v="7.3"/>
    <n v="5.0999999999999996"/>
    <n v="4.3"/>
    <n v="1.7"/>
    <n v="8.6999999999999993"/>
    <x v="0"/>
    <s v="Yes"/>
    <x v="0"/>
    <x v="2"/>
    <x v="2"/>
    <x v="1"/>
  </r>
  <r>
    <x v="464"/>
    <x v="12"/>
    <s v="Female"/>
    <x v="1"/>
    <x v="1"/>
    <s v="Upper-Middle"/>
    <s v="In a Relationship"/>
    <s v="With Family"/>
    <x v="3"/>
    <x v="3"/>
    <x v="1"/>
    <n v="0"/>
    <n v="5.85"/>
    <n v="1.48"/>
    <n v="3.69"/>
    <n v="10"/>
    <n v="2"/>
    <n v="1"/>
    <n v="7"/>
    <s v="No"/>
    <n v="8.1999999999999993"/>
    <n v="8.9"/>
    <n v="4.3"/>
    <n v="1"/>
    <n v="1"/>
    <n v="3.4"/>
    <n v="9.8000000000000007"/>
    <x v="0"/>
    <s v="No"/>
    <x v="0"/>
    <x v="3"/>
    <x v="0"/>
    <x v="1"/>
  </r>
  <r>
    <x v="465"/>
    <x v="18"/>
    <s v="Female"/>
    <x v="4"/>
    <x v="2"/>
    <s v="Upper-Middle"/>
    <s v="Married"/>
    <s v="With Partner"/>
    <x v="0"/>
    <x v="0"/>
    <x v="2"/>
    <n v="1.7"/>
    <n v="5.72"/>
    <n v="0.67"/>
    <n v="3.93"/>
    <n v="5"/>
    <n v="4.7"/>
    <n v="2.4"/>
    <n v="8.1"/>
    <s v="No"/>
    <n v="7.8"/>
    <n v="8.1999999999999993"/>
    <n v="5.6"/>
    <n v="2.6"/>
    <n v="2.9"/>
    <n v="5.2"/>
    <n v="6.8"/>
    <x v="2"/>
    <s v="No"/>
    <x v="0"/>
    <x v="2"/>
    <x v="1"/>
    <x v="0"/>
  </r>
  <r>
    <x v="466"/>
    <x v="19"/>
    <s v="Female"/>
    <x v="1"/>
    <x v="2"/>
    <s v="Low"/>
    <s v="Single"/>
    <s v="Alone"/>
    <x v="2"/>
    <x v="2"/>
    <x v="1"/>
    <n v="0.7"/>
    <n v="2.64"/>
    <n v="4.12"/>
    <n v="5.32"/>
    <n v="4"/>
    <n v="5.3"/>
    <n v="5.7"/>
    <n v="3.5"/>
    <s v="Yes"/>
    <n v="6.8"/>
    <n v="3.7"/>
    <n v="4.7"/>
    <n v="4.4000000000000004"/>
    <n v="7.2"/>
    <n v="6.8"/>
    <n v="4.7"/>
    <x v="2"/>
    <s v="Yes"/>
    <x v="0"/>
    <x v="3"/>
    <x v="0"/>
    <x v="0"/>
  </r>
  <r>
    <x v="467"/>
    <x v="1"/>
    <s v="Female"/>
    <x v="1"/>
    <x v="2"/>
    <s v="Low"/>
    <s v="Married"/>
    <s v="With Family"/>
    <x v="1"/>
    <x v="1"/>
    <x v="3"/>
    <n v="1.43"/>
    <n v="3.53"/>
    <n v="1.03"/>
    <n v="3.75"/>
    <n v="3"/>
    <n v="6.1"/>
    <n v="3.4"/>
    <n v="7.4"/>
    <s v="No"/>
    <n v="7.4"/>
    <n v="7.2"/>
    <n v="4.8"/>
    <n v="2.5"/>
    <n v="4.0999999999999996"/>
    <n v="2.2999999999999998"/>
    <n v="7.3"/>
    <x v="0"/>
    <s v="No"/>
    <x v="1"/>
    <x v="1"/>
    <x v="1"/>
    <x v="2"/>
  </r>
  <r>
    <x v="468"/>
    <x v="2"/>
    <s v="Female"/>
    <x v="3"/>
    <x v="1"/>
    <s v="Lower-Middle"/>
    <s v="Single"/>
    <s v="With Partner"/>
    <x v="1"/>
    <x v="0"/>
    <x v="1"/>
    <n v="1.1200000000000001"/>
    <n v="4.88"/>
    <n v="2.52"/>
    <n v="5.28"/>
    <n v="2"/>
    <n v="5.4"/>
    <n v="5.0999999999999996"/>
    <n v="6.9"/>
    <s v="No"/>
    <n v="6.9"/>
    <n v="5.5"/>
    <n v="3.4"/>
    <n v="7.6"/>
    <n v="5.4"/>
    <n v="6.6"/>
    <n v="4.3"/>
    <x v="2"/>
    <s v="Yes"/>
    <x v="1"/>
    <x v="2"/>
    <x v="1"/>
    <x v="0"/>
  </r>
  <r>
    <x v="469"/>
    <x v="6"/>
    <s v="Female"/>
    <x v="0"/>
    <x v="3"/>
    <s v="Lower-Middle"/>
    <s v="Married"/>
    <s v="Alone"/>
    <x v="1"/>
    <x v="3"/>
    <x v="1"/>
    <n v="0.85"/>
    <n v="1.17"/>
    <n v="2.85"/>
    <n v="6.84"/>
    <n v="0"/>
    <n v="8.8000000000000007"/>
    <n v="5.2"/>
    <n v="5"/>
    <s v="No"/>
    <n v="6.6"/>
    <n v="4.8"/>
    <n v="2"/>
    <n v="9.6999999999999993"/>
    <n v="5.8"/>
    <n v="6.9"/>
    <n v="2"/>
    <x v="1"/>
    <s v="No"/>
    <x v="2"/>
    <x v="2"/>
    <x v="0"/>
    <x v="2"/>
  </r>
  <r>
    <x v="470"/>
    <x v="9"/>
    <s v="Female"/>
    <x v="3"/>
    <x v="0"/>
    <s v="Lower-Middle"/>
    <s v="Married"/>
    <s v="With Family"/>
    <x v="3"/>
    <x v="0"/>
    <x v="3"/>
    <n v="0.6"/>
    <n v="4.03"/>
    <n v="2.02"/>
    <n v="3.13"/>
    <n v="5"/>
    <n v="3.5"/>
    <n v="2.6"/>
    <n v="5.7"/>
    <s v="No"/>
    <n v="5.6"/>
    <n v="8.4"/>
    <n v="4.5"/>
    <n v="2.6"/>
    <n v="4.3"/>
    <n v="3.7"/>
    <n v="6.9"/>
    <x v="1"/>
    <s v="No"/>
    <x v="0"/>
    <x v="2"/>
    <x v="0"/>
    <x v="0"/>
  </r>
  <r>
    <x v="471"/>
    <x v="19"/>
    <s v="Male"/>
    <x v="1"/>
    <x v="1"/>
    <s v="Upper-Middle"/>
    <s v="Single"/>
    <s v="With Roommates"/>
    <x v="3"/>
    <x v="3"/>
    <x v="1"/>
    <n v="4.5"/>
    <n v="0.69"/>
    <n v="4.87"/>
    <n v="11.72"/>
    <n v="2"/>
    <n v="10"/>
    <n v="10"/>
    <n v="1.5"/>
    <s v="Yes"/>
    <n v="4.9000000000000004"/>
    <n v="1.5"/>
    <n v="0"/>
    <n v="10"/>
    <n v="10"/>
    <n v="10"/>
    <n v="3.4"/>
    <x v="2"/>
    <s v="No"/>
    <x v="2"/>
    <x v="3"/>
    <x v="3"/>
    <x v="2"/>
  </r>
  <r>
    <x v="472"/>
    <x v="12"/>
    <s v="Female"/>
    <x v="0"/>
    <x v="0"/>
    <s v="Low"/>
    <s v="Single"/>
    <s v="With Family"/>
    <x v="3"/>
    <x v="0"/>
    <x v="3"/>
    <n v="2.31"/>
    <n v="1.61"/>
    <n v="3.7"/>
    <n v="10.23"/>
    <n v="4"/>
    <n v="7.2"/>
    <n v="7.5"/>
    <n v="3.7"/>
    <s v="Yes"/>
    <n v="5.4"/>
    <n v="3.5"/>
    <n v="3.1"/>
    <n v="6.7"/>
    <n v="6.2"/>
    <n v="7.4"/>
    <n v="6.5"/>
    <x v="2"/>
    <s v="No"/>
    <x v="2"/>
    <x v="3"/>
    <x v="1"/>
    <x v="2"/>
  </r>
  <r>
    <x v="473"/>
    <x v="27"/>
    <s v="Male"/>
    <x v="1"/>
    <x v="2"/>
    <s v="Low"/>
    <s v="Single"/>
    <s v="With Roommates"/>
    <x v="3"/>
    <x v="4"/>
    <x v="1"/>
    <n v="1.44"/>
    <n v="4.03"/>
    <n v="0.78"/>
    <n v="4.04"/>
    <n v="4"/>
    <n v="6.5"/>
    <n v="2.9"/>
    <n v="5.2"/>
    <s v="No"/>
    <n v="7.8"/>
    <n v="6.5"/>
    <n v="6.5"/>
    <n v="6.1"/>
    <n v="3.5"/>
    <n v="2.2999999999999998"/>
    <n v="4.8"/>
    <x v="1"/>
    <s v="Yes"/>
    <x v="1"/>
    <x v="1"/>
    <x v="1"/>
    <x v="2"/>
  </r>
  <r>
    <x v="474"/>
    <x v="20"/>
    <s v="Prefer not to say"/>
    <x v="1"/>
    <x v="2"/>
    <s v="Lower-Middle"/>
    <s v="In a Relationship"/>
    <s v="With Roommates"/>
    <x v="0"/>
    <x v="1"/>
    <x v="1"/>
    <n v="1"/>
    <n v="4.99"/>
    <n v="1.52"/>
    <n v="4.3099999999999996"/>
    <n v="6"/>
    <n v="3.7"/>
    <n v="2.2000000000000002"/>
    <n v="6.5"/>
    <s v="No"/>
    <n v="6.4"/>
    <n v="8.4"/>
    <n v="3.9"/>
    <n v="3.9"/>
    <n v="4.2"/>
    <n v="3.1"/>
    <n v="5.9"/>
    <x v="1"/>
    <s v="No"/>
    <x v="0"/>
    <x v="2"/>
    <x v="0"/>
    <x v="0"/>
  </r>
  <r>
    <x v="475"/>
    <x v="23"/>
    <s v="Non-binary"/>
    <x v="4"/>
    <x v="2"/>
    <s v="Upper-Middle"/>
    <s v="In a Relationship"/>
    <s v="With Partner"/>
    <x v="3"/>
    <x v="3"/>
    <x v="4"/>
    <n v="0.24"/>
    <n v="5.27"/>
    <n v="2.46"/>
    <n v="5.43"/>
    <n v="10"/>
    <n v="2.2000000000000002"/>
    <n v="2.6"/>
    <n v="9.1"/>
    <s v="No"/>
    <n v="6.3"/>
    <n v="9.3000000000000007"/>
    <n v="5.2"/>
    <n v="3"/>
    <n v="1"/>
    <n v="4.7"/>
    <n v="10"/>
    <x v="0"/>
    <s v="No"/>
    <x v="0"/>
    <x v="0"/>
    <x v="0"/>
    <x v="1"/>
  </r>
  <r>
    <x v="476"/>
    <x v="13"/>
    <s v="Male"/>
    <x v="1"/>
    <x v="2"/>
    <s v="Low"/>
    <s v="In a Relationship"/>
    <s v="Alone"/>
    <x v="3"/>
    <x v="0"/>
    <x v="4"/>
    <n v="1.6"/>
    <n v="4.83"/>
    <n v="3.13"/>
    <n v="7.26"/>
    <n v="3"/>
    <n v="4.5999999999999996"/>
    <n v="4.4000000000000004"/>
    <n v="5.3"/>
    <s v="No"/>
    <n v="5.4"/>
    <n v="6.1"/>
    <n v="2.5"/>
    <n v="6.1"/>
    <n v="5.3"/>
    <n v="5.5"/>
    <n v="5.2"/>
    <x v="1"/>
    <s v="No"/>
    <x v="1"/>
    <x v="2"/>
    <x v="1"/>
    <x v="0"/>
  </r>
  <r>
    <x v="477"/>
    <x v="7"/>
    <s v="Female"/>
    <x v="0"/>
    <x v="2"/>
    <s v="Upper-Middle"/>
    <s v="Single"/>
    <s v="Alone"/>
    <x v="1"/>
    <x v="3"/>
    <x v="4"/>
    <n v="0"/>
    <n v="7.57"/>
    <n v="0"/>
    <n v="3.42"/>
    <n v="4"/>
    <n v="3.2"/>
    <n v="1"/>
    <n v="10"/>
    <s v="No"/>
    <n v="8.9"/>
    <n v="9.6"/>
    <n v="6.9"/>
    <n v="1.7"/>
    <n v="1"/>
    <n v="1.5"/>
    <n v="10"/>
    <x v="0"/>
    <s v="No"/>
    <x v="0"/>
    <x v="2"/>
    <x v="0"/>
    <x v="0"/>
  </r>
  <r>
    <x v="478"/>
    <x v="12"/>
    <s v="Non-binary"/>
    <x v="1"/>
    <x v="2"/>
    <s v="Lower-Middle"/>
    <s v="Single"/>
    <s v="With Roommates"/>
    <x v="0"/>
    <x v="3"/>
    <x v="4"/>
    <n v="3"/>
    <n v="2.23"/>
    <n v="4.13"/>
    <n v="8.9600000000000009"/>
    <n v="3"/>
    <n v="7.5"/>
    <n v="5.5"/>
    <n v="2.2999999999999998"/>
    <s v="Yes"/>
    <n v="5.3"/>
    <n v="3.6"/>
    <n v="1.3"/>
    <n v="7.2"/>
    <n v="6.3"/>
    <n v="6"/>
    <n v="4.8"/>
    <x v="1"/>
    <s v="Yes"/>
    <x v="2"/>
    <x v="3"/>
    <x v="2"/>
    <x v="2"/>
  </r>
  <r>
    <x v="479"/>
    <x v="5"/>
    <s v="Male"/>
    <x v="1"/>
    <x v="1"/>
    <s v="High"/>
    <s v="Single"/>
    <s v="With Family"/>
    <x v="3"/>
    <x v="1"/>
    <x v="4"/>
    <n v="0"/>
    <n v="9.75"/>
    <n v="0"/>
    <n v="2.7"/>
    <n v="10"/>
    <n v="1"/>
    <n v="1"/>
    <n v="10"/>
    <s v="No"/>
    <n v="8.8000000000000007"/>
    <n v="10"/>
    <n v="8.6999999999999993"/>
    <n v="1"/>
    <n v="1"/>
    <n v="1"/>
    <n v="10"/>
    <x v="0"/>
    <s v="No"/>
    <x v="0"/>
    <x v="0"/>
    <x v="0"/>
    <x v="1"/>
  </r>
  <r>
    <x v="480"/>
    <x v="28"/>
    <s v="Female"/>
    <x v="4"/>
    <x v="2"/>
    <s v="High"/>
    <s v="Single"/>
    <s v="Alone"/>
    <x v="3"/>
    <x v="1"/>
    <x v="2"/>
    <n v="2.0299999999999998"/>
    <n v="3.61"/>
    <n v="1.95"/>
    <n v="6.7"/>
    <n v="2"/>
    <n v="6.7"/>
    <n v="4.5"/>
    <n v="5.5"/>
    <s v="No"/>
    <n v="8.4"/>
    <n v="7.4"/>
    <n v="5.7"/>
    <n v="3.7"/>
    <n v="5.4"/>
    <n v="6.5"/>
    <n v="5.4"/>
    <x v="1"/>
    <s v="No"/>
    <x v="1"/>
    <x v="1"/>
    <x v="1"/>
    <x v="2"/>
  </r>
  <r>
    <x v="481"/>
    <x v="10"/>
    <s v="Female"/>
    <x v="1"/>
    <x v="0"/>
    <s v="Lower-Middle"/>
    <s v="In a Relationship"/>
    <s v="Alone"/>
    <x v="1"/>
    <x v="1"/>
    <x v="4"/>
    <n v="0"/>
    <n v="5.05"/>
    <n v="1.1299999999999999"/>
    <n v="2.79"/>
    <n v="7"/>
    <n v="2.6"/>
    <n v="3.4"/>
    <n v="7.9"/>
    <s v="Yes"/>
    <n v="8.1"/>
    <n v="9.6999999999999993"/>
    <n v="7.4"/>
    <n v="1"/>
    <n v="1"/>
    <n v="5.8"/>
    <n v="7.7"/>
    <x v="1"/>
    <s v="No"/>
    <x v="0"/>
    <x v="2"/>
    <x v="0"/>
    <x v="1"/>
  </r>
  <r>
    <x v="482"/>
    <x v="27"/>
    <s v="Male"/>
    <x v="0"/>
    <x v="1"/>
    <s v="Low"/>
    <s v="Married"/>
    <s v="With Family"/>
    <x v="2"/>
    <x v="4"/>
    <x v="3"/>
    <n v="0.3"/>
    <n v="4.0599999999999996"/>
    <n v="3.36"/>
    <n v="5.54"/>
    <n v="5"/>
    <n v="3.2"/>
    <n v="1.5"/>
    <n v="8.3000000000000007"/>
    <s v="No"/>
    <n v="7"/>
    <n v="7.3"/>
    <n v="2.7"/>
    <n v="4"/>
    <n v="1.4"/>
    <n v="3.4"/>
    <n v="6.2"/>
    <x v="1"/>
    <s v="No"/>
    <x v="0"/>
    <x v="1"/>
    <x v="0"/>
    <x v="0"/>
  </r>
  <r>
    <x v="483"/>
    <x v="3"/>
    <s v="Female"/>
    <x v="2"/>
    <x v="2"/>
    <s v="Lower-Middle"/>
    <s v="In a Relationship"/>
    <s v="Alone"/>
    <x v="1"/>
    <x v="1"/>
    <x v="4"/>
    <n v="1.17"/>
    <n v="5.17"/>
    <n v="0.89"/>
    <n v="4.04"/>
    <n v="5"/>
    <n v="3"/>
    <n v="3.8"/>
    <n v="5.5"/>
    <s v="No"/>
    <n v="6.3"/>
    <n v="6.9"/>
    <n v="5.8"/>
    <n v="3.6"/>
    <n v="3.6"/>
    <n v="5.0999999999999996"/>
    <n v="8"/>
    <x v="1"/>
    <s v="No"/>
    <x v="0"/>
    <x v="1"/>
    <x v="1"/>
    <x v="1"/>
  </r>
  <r>
    <x v="484"/>
    <x v="13"/>
    <s v="Male"/>
    <x v="0"/>
    <x v="2"/>
    <s v="Low"/>
    <s v="Single"/>
    <s v="With Partner"/>
    <x v="0"/>
    <x v="4"/>
    <x v="2"/>
    <n v="4.17"/>
    <n v="1.59"/>
    <n v="3.02"/>
    <n v="7.96"/>
    <n v="0"/>
    <n v="9.8000000000000007"/>
    <n v="6.8"/>
    <n v="5"/>
    <s v="No"/>
    <n v="6"/>
    <n v="2.2000000000000002"/>
    <n v="2.7"/>
    <n v="8.6999999999999993"/>
    <n v="6"/>
    <n v="10"/>
    <n v="1"/>
    <x v="2"/>
    <s v="Yes"/>
    <x v="2"/>
    <x v="2"/>
    <x v="3"/>
    <x v="2"/>
  </r>
  <r>
    <x v="485"/>
    <x v="9"/>
    <s v="Non-binary"/>
    <x v="2"/>
    <x v="1"/>
    <s v="Upper-Middle"/>
    <s v="Divorced/Separated"/>
    <s v="With Partner"/>
    <x v="4"/>
    <x v="4"/>
    <x v="1"/>
    <n v="0"/>
    <n v="5.13"/>
    <n v="1.85"/>
    <n v="3.46"/>
    <n v="4"/>
    <n v="3.8"/>
    <n v="2.2999999999999998"/>
    <n v="5.9"/>
    <s v="No"/>
    <n v="7.7"/>
    <n v="7.9"/>
    <n v="4.7"/>
    <n v="2.2999999999999998"/>
    <n v="3.4"/>
    <n v="1.4"/>
    <n v="7.9"/>
    <x v="1"/>
    <s v="No"/>
    <x v="0"/>
    <x v="2"/>
    <x v="0"/>
    <x v="0"/>
  </r>
  <r>
    <x v="486"/>
    <x v="14"/>
    <s v="Prefer not to say"/>
    <x v="1"/>
    <x v="2"/>
    <s v="Upper-Middle"/>
    <s v="In a Relationship"/>
    <s v="With Family"/>
    <x v="0"/>
    <x v="1"/>
    <x v="1"/>
    <n v="3.69"/>
    <n v="2.79"/>
    <n v="3.39"/>
    <n v="10.57"/>
    <n v="1"/>
    <n v="8"/>
    <n v="8.5"/>
    <n v="4.5"/>
    <s v="Yes"/>
    <n v="6.9"/>
    <n v="4"/>
    <n v="4.7"/>
    <n v="5"/>
    <n v="6.1"/>
    <n v="8.6999999999999993"/>
    <n v="6.2"/>
    <x v="1"/>
    <s v="Yes"/>
    <x v="2"/>
    <x v="3"/>
    <x v="2"/>
    <x v="2"/>
  </r>
  <r>
    <x v="487"/>
    <x v="22"/>
    <s v="Non-binary"/>
    <x v="1"/>
    <x v="0"/>
    <s v="Upper-Middle"/>
    <s v="Married"/>
    <s v="With Family"/>
    <x v="2"/>
    <x v="0"/>
    <x v="1"/>
    <n v="2.06"/>
    <n v="2.5"/>
    <n v="4.87"/>
    <n v="9.9600000000000009"/>
    <n v="3"/>
    <n v="7"/>
    <n v="7.5"/>
    <n v="3.3"/>
    <s v="Yes"/>
    <n v="4"/>
    <n v="4.2"/>
    <n v="3.2"/>
    <n v="7.2"/>
    <n v="8.1"/>
    <n v="7.2"/>
    <n v="4.5"/>
    <x v="2"/>
    <s v="No"/>
    <x v="2"/>
    <x v="2"/>
    <x v="1"/>
    <x v="2"/>
  </r>
  <r>
    <x v="488"/>
    <x v="23"/>
    <s v="Female"/>
    <x v="1"/>
    <x v="2"/>
    <s v="Upper-Middle"/>
    <s v="In a Relationship"/>
    <s v="With Family"/>
    <x v="1"/>
    <x v="1"/>
    <x v="1"/>
    <n v="0"/>
    <n v="6.73"/>
    <n v="0"/>
    <n v="1.42"/>
    <n v="7"/>
    <n v="1"/>
    <n v="1"/>
    <n v="9.8000000000000007"/>
    <s v="No"/>
    <n v="9.6999999999999993"/>
    <n v="10"/>
    <n v="8.9"/>
    <n v="1"/>
    <n v="1"/>
    <n v="1.1000000000000001"/>
    <n v="10"/>
    <x v="0"/>
    <s v="No"/>
    <x v="0"/>
    <x v="0"/>
    <x v="0"/>
    <x v="1"/>
  </r>
  <r>
    <x v="489"/>
    <x v="14"/>
    <s v="Female"/>
    <x v="3"/>
    <x v="3"/>
    <s v="Lower-Middle"/>
    <s v="Single"/>
    <s v="With Partner"/>
    <x v="3"/>
    <x v="4"/>
    <x v="3"/>
    <n v="1.23"/>
    <n v="4.2300000000000004"/>
    <n v="3.1"/>
    <n v="6.31"/>
    <n v="5"/>
    <n v="1"/>
    <n v="4.5"/>
    <n v="7"/>
    <s v="No"/>
    <n v="5.9"/>
    <n v="8.4"/>
    <n v="2.8"/>
    <n v="2.2000000000000002"/>
    <n v="1.9"/>
    <n v="3.3"/>
    <n v="5.2"/>
    <x v="1"/>
    <s v="No"/>
    <x v="0"/>
    <x v="3"/>
    <x v="1"/>
    <x v="1"/>
  </r>
  <r>
    <x v="490"/>
    <x v="7"/>
    <s v="Female"/>
    <x v="2"/>
    <x v="2"/>
    <s v="Low"/>
    <s v="Single"/>
    <s v="With Family"/>
    <x v="5"/>
    <x v="0"/>
    <x v="4"/>
    <n v="4.83"/>
    <n v="1.96"/>
    <n v="4"/>
    <n v="11.8"/>
    <n v="2"/>
    <n v="7.1"/>
    <n v="8.5"/>
    <n v="3.9"/>
    <s v="Yes"/>
    <n v="5.5"/>
    <n v="2.8"/>
    <n v="1.1000000000000001"/>
    <n v="7.4"/>
    <n v="8.4"/>
    <n v="7.1"/>
    <n v="2"/>
    <x v="2"/>
    <s v="No"/>
    <x v="2"/>
    <x v="2"/>
    <x v="3"/>
    <x v="2"/>
  </r>
  <r>
    <x v="491"/>
    <x v="21"/>
    <s v="Male"/>
    <x v="1"/>
    <x v="1"/>
    <s v="Upper-Middle"/>
    <s v="In a Relationship"/>
    <s v="With Roommates"/>
    <x v="1"/>
    <x v="1"/>
    <x v="0"/>
    <n v="0"/>
    <n v="6.52"/>
    <n v="1.71"/>
    <n v="4.16"/>
    <n v="4"/>
    <n v="1.7"/>
    <n v="1.5"/>
    <n v="9.6999999999999993"/>
    <s v="No"/>
    <n v="9.1999999999999993"/>
    <n v="9"/>
    <n v="5.7"/>
    <n v="1.1000000000000001"/>
    <n v="1"/>
    <n v="1.9"/>
    <n v="9.9"/>
    <x v="0"/>
    <s v="No"/>
    <x v="0"/>
    <x v="1"/>
    <x v="0"/>
    <x v="1"/>
  </r>
  <r>
    <x v="492"/>
    <x v="5"/>
    <s v="Female"/>
    <x v="0"/>
    <x v="2"/>
    <s v="Lower-Middle"/>
    <s v="Single"/>
    <s v="With Family"/>
    <x v="3"/>
    <x v="4"/>
    <x v="1"/>
    <n v="3.39"/>
    <n v="2.39"/>
    <n v="5.32"/>
    <n v="11.51"/>
    <n v="2"/>
    <n v="7.6"/>
    <n v="6.2"/>
    <n v="3.3"/>
    <s v="No"/>
    <n v="4.2"/>
    <n v="5.0999999999999996"/>
    <n v="4.3"/>
    <n v="6.6"/>
    <n v="5"/>
    <n v="5.9"/>
    <n v="3.9"/>
    <x v="2"/>
    <s v="No"/>
    <x v="2"/>
    <x v="0"/>
    <x v="2"/>
    <x v="2"/>
  </r>
  <r>
    <x v="493"/>
    <x v="19"/>
    <s v="Male"/>
    <x v="1"/>
    <x v="0"/>
    <s v="Upper-Middle"/>
    <s v="Single"/>
    <s v="With Roommates"/>
    <x v="2"/>
    <x v="0"/>
    <x v="1"/>
    <n v="0.52"/>
    <n v="4.4000000000000004"/>
    <n v="2.31"/>
    <n v="5.37"/>
    <n v="4"/>
    <n v="4.5999999999999996"/>
    <n v="4.9000000000000004"/>
    <n v="6.5"/>
    <s v="No"/>
    <n v="6.9"/>
    <n v="5.4"/>
    <n v="4.7"/>
    <n v="3.1"/>
    <n v="4.5999999999999996"/>
    <n v="5.5"/>
    <n v="4.8"/>
    <x v="1"/>
    <s v="No"/>
    <x v="0"/>
    <x v="3"/>
    <x v="0"/>
    <x v="0"/>
  </r>
  <r>
    <x v="494"/>
    <x v="26"/>
    <s v="Female"/>
    <x v="0"/>
    <x v="2"/>
    <s v="Lower-Middle"/>
    <s v="In a Relationship"/>
    <s v="With Family"/>
    <x v="3"/>
    <x v="3"/>
    <x v="2"/>
    <n v="0.68"/>
    <n v="3.18"/>
    <n v="3.48"/>
    <n v="6.38"/>
    <n v="6"/>
    <n v="8.1999999999999993"/>
    <n v="3.5"/>
    <n v="4.4000000000000004"/>
    <s v="No"/>
    <n v="6.8"/>
    <n v="6.8"/>
    <n v="2.7"/>
    <n v="4.0999999999999996"/>
    <n v="2"/>
    <n v="6.2"/>
    <n v="6.9"/>
    <x v="1"/>
    <s v="No"/>
    <x v="1"/>
    <x v="0"/>
    <x v="0"/>
    <x v="2"/>
  </r>
  <r>
    <x v="495"/>
    <x v="4"/>
    <s v="Male"/>
    <x v="0"/>
    <x v="1"/>
    <s v="Low"/>
    <s v="In a Relationship"/>
    <s v="With Roommates"/>
    <x v="2"/>
    <x v="0"/>
    <x v="1"/>
    <n v="2.5"/>
    <n v="3.48"/>
    <n v="1.96"/>
    <n v="6.29"/>
    <n v="6"/>
    <n v="5.7"/>
    <n v="5"/>
    <n v="5.6"/>
    <s v="No"/>
    <n v="6.9"/>
    <n v="7.8"/>
    <n v="6.6"/>
    <n v="6.6"/>
    <n v="5.9"/>
    <n v="3.9"/>
    <n v="5.2"/>
    <x v="1"/>
    <s v="No"/>
    <x v="1"/>
    <x v="1"/>
    <x v="1"/>
    <x v="0"/>
  </r>
  <r>
    <x v="496"/>
    <x v="13"/>
    <s v="Male"/>
    <x v="2"/>
    <x v="0"/>
    <s v="High"/>
    <s v="In a Relationship"/>
    <s v="With Family"/>
    <x v="2"/>
    <x v="0"/>
    <x v="2"/>
    <n v="2.2400000000000002"/>
    <n v="2.39"/>
    <n v="3.07"/>
    <n v="6.11"/>
    <n v="2"/>
    <n v="4.3"/>
    <n v="5.4"/>
    <n v="5.8"/>
    <s v="No"/>
    <n v="7.1"/>
    <n v="5.6"/>
    <n v="3.1"/>
    <n v="4.5999999999999996"/>
    <n v="4.9000000000000004"/>
    <n v="4.7"/>
    <n v="8.4"/>
    <x v="1"/>
    <s v="No"/>
    <x v="2"/>
    <x v="2"/>
    <x v="1"/>
    <x v="0"/>
  </r>
  <r>
    <x v="497"/>
    <x v="24"/>
    <s v="Male"/>
    <x v="0"/>
    <x v="2"/>
    <s v="Low"/>
    <s v="Single"/>
    <s v="With Roommates"/>
    <x v="1"/>
    <x v="4"/>
    <x v="1"/>
    <n v="1.19"/>
    <n v="6.91"/>
    <n v="0.1"/>
    <n v="3.98"/>
    <n v="6"/>
    <n v="3.7"/>
    <n v="3.5"/>
    <n v="4.9000000000000004"/>
    <s v="No"/>
    <n v="7.7"/>
    <n v="5.8"/>
    <n v="3.8"/>
    <n v="1.8"/>
    <n v="1"/>
    <n v="3.7"/>
    <n v="8.5"/>
    <x v="1"/>
    <s v="No"/>
    <x v="0"/>
    <x v="1"/>
    <x v="1"/>
    <x v="0"/>
  </r>
  <r>
    <x v="498"/>
    <x v="0"/>
    <s v="Female"/>
    <x v="1"/>
    <x v="2"/>
    <s v="High"/>
    <s v="Single"/>
    <s v="With Family"/>
    <x v="0"/>
    <x v="0"/>
    <x v="2"/>
    <n v="2.0299999999999998"/>
    <n v="5.66"/>
    <n v="1.74"/>
    <n v="5.54"/>
    <n v="1"/>
    <n v="4.9000000000000004"/>
    <n v="3.2"/>
    <n v="6.6"/>
    <s v="No"/>
    <n v="6"/>
    <n v="3.9"/>
    <n v="3.1"/>
    <n v="3.2"/>
    <n v="4.8"/>
    <n v="3.2"/>
    <n v="5.4"/>
    <x v="2"/>
    <s v="Yes"/>
    <x v="0"/>
    <x v="0"/>
    <x v="1"/>
    <x v="0"/>
  </r>
  <r>
    <x v="499"/>
    <x v="2"/>
    <s v="Male"/>
    <x v="1"/>
    <x v="2"/>
    <s v="High"/>
    <s v="In a Relationship"/>
    <s v="With Roommates"/>
    <x v="3"/>
    <x v="0"/>
    <x v="4"/>
    <n v="0.31"/>
    <n v="4.1900000000000004"/>
    <n v="1.81"/>
    <n v="2.4700000000000002"/>
    <n v="5"/>
    <n v="4.5999999999999996"/>
    <n v="5.2"/>
    <n v="5"/>
    <s v="No"/>
    <n v="6.8"/>
    <n v="6.2"/>
    <n v="1.6"/>
    <n v="5"/>
    <n v="6.2"/>
    <n v="5.9"/>
    <n v="6.4"/>
    <x v="1"/>
    <s v="No"/>
    <x v="0"/>
    <x v="2"/>
    <x v="0"/>
    <x v="0"/>
  </r>
  <r>
    <x v="500"/>
    <x v="23"/>
    <s v="Female"/>
    <x v="1"/>
    <x v="3"/>
    <s v="Upper-Middle"/>
    <s v="Divorced/Separated"/>
    <s v="With Partner"/>
    <x v="1"/>
    <x v="4"/>
    <x v="2"/>
    <n v="0.77"/>
    <n v="5.96"/>
    <n v="3.9"/>
    <n v="6.13"/>
    <n v="5"/>
    <n v="5.7"/>
    <n v="5.9"/>
    <n v="7.3"/>
    <s v="No"/>
    <n v="6.9"/>
    <n v="6.3"/>
    <n v="0.4"/>
    <n v="7"/>
    <n v="4.4000000000000004"/>
    <n v="5"/>
    <n v="7.6"/>
    <x v="2"/>
    <s v="Yes"/>
    <x v="0"/>
    <x v="0"/>
    <x v="0"/>
    <x v="0"/>
  </r>
  <r>
    <x v="501"/>
    <x v="9"/>
    <s v="Male"/>
    <x v="1"/>
    <x v="0"/>
    <s v="Upper-Middle"/>
    <s v="In a Relationship"/>
    <s v="With Family"/>
    <x v="1"/>
    <x v="0"/>
    <x v="2"/>
    <n v="2.17"/>
    <n v="4.3899999999999997"/>
    <n v="4.59"/>
    <n v="9.61"/>
    <n v="0"/>
    <n v="6.4"/>
    <n v="5.0999999999999996"/>
    <n v="5.5"/>
    <s v="No"/>
    <n v="6.7"/>
    <n v="6.1"/>
    <n v="3.4"/>
    <n v="6.9"/>
    <n v="7.5"/>
    <n v="3.6"/>
    <n v="5.3"/>
    <x v="1"/>
    <s v="No"/>
    <x v="1"/>
    <x v="2"/>
    <x v="1"/>
    <x v="2"/>
  </r>
  <r>
    <x v="502"/>
    <x v="7"/>
    <s v="Male"/>
    <x v="1"/>
    <x v="2"/>
    <s v="Lower-Middle"/>
    <s v="Married"/>
    <s v="With Partner"/>
    <x v="2"/>
    <x v="2"/>
    <x v="4"/>
    <n v="0"/>
    <n v="4.62"/>
    <n v="1.43"/>
    <n v="1.51"/>
    <n v="5"/>
    <n v="4.5999999999999996"/>
    <n v="2.7"/>
    <n v="8.1"/>
    <s v="No"/>
    <n v="9.4"/>
    <n v="8.4"/>
    <n v="2.5"/>
    <n v="2.9"/>
    <n v="5.2"/>
    <n v="4.3"/>
    <n v="6.4"/>
    <x v="1"/>
    <s v="No"/>
    <x v="0"/>
    <x v="2"/>
    <x v="0"/>
    <x v="0"/>
  </r>
  <r>
    <x v="503"/>
    <x v="12"/>
    <s v="Female"/>
    <x v="4"/>
    <x v="0"/>
    <s v="Upper-Middle"/>
    <s v="Married"/>
    <s v="Alone"/>
    <x v="2"/>
    <x v="2"/>
    <x v="4"/>
    <n v="1.48"/>
    <n v="3.68"/>
    <n v="2.36"/>
    <n v="4.8099999999999996"/>
    <n v="2"/>
    <n v="4.3"/>
    <n v="5.5"/>
    <n v="4.4000000000000004"/>
    <s v="No"/>
    <n v="7.8"/>
    <n v="3.6"/>
    <n v="3.7"/>
    <n v="5"/>
    <n v="5.7"/>
    <n v="5.4"/>
    <n v="4.9000000000000004"/>
    <x v="1"/>
    <s v="No"/>
    <x v="2"/>
    <x v="3"/>
    <x v="1"/>
    <x v="0"/>
  </r>
  <r>
    <x v="504"/>
    <x v="27"/>
    <s v="Female"/>
    <x v="0"/>
    <x v="3"/>
    <s v="Lower-Middle"/>
    <s v="In a Relationship"/>
    <s v="With Family"/>
    <x v="1"/>
    <x v="0"/>
    <x v="1"/>
    <n v="2.81"/>
    <n v="5.22"/>
    <n v="1.31"/>
    <n v="6.26"/>
    <n v="3"/>
    <n v="6.1"/>
    <n v="4.5999999999999996"/>
    <n v="6.6"/>
    <s v="Yes"/>
    <n v="8.6"/>
    <n v="5.3"/>
    <n v="5.3"/>
    <n v="2.6"/>
    <n v="5.5"/>
    <n v="6.4"/>
    <n v="5"/>
    <x v="1"/>
    <s v="No"/>
    <x v="1"/>
    <x v="1"/>
    <x v="2"/>
    <x v="2"/>
  </r>
  <r>
    <x v="505"/>
    <x v="20"/>
    <s v="Male"/>
    <x v="0"/>
    <x v="0"/>
    <s v="Lower-Middle"/>
    <s v="Single"/>
    <s v="Alone"/>
    <x v="2"/>
    <x v="0"/>
    <x v="0"/>
    <n v="0"/>
    <n v="4.8600000000000003"/>
    <n v="1.18"/>
    <n v="4.59"/>
    <n v="6"/>
    <n v="3.2"/>
    <n v="1.5"/>
    <n v="9.9"/>
    <s v="No"/>
    <n v="8.4"/>
    <n v="9.9"/>
    <n v="6.5"/>
    <n v="1"/>
    <n v="2.2999999999999998"/>
    <n v="2.1"/>
    <n v="8.6999999999999993"/>
    <x v="0"/>
    <s v="No"/>
    <x v="0"/>
    <x v="2"/>
    <x v="0"/>
    <x v="0"/>
  </r>
  <r>
    <x v="506"/>
    <x v="10"/>
    <s v="Female"/>
    <x v="1"/>
    <x v="2"/>
    <s v="Upper-Middle"/>
    <s v="In a Relationship"/>
    <s v="With Family"/>
    <x v="3"/>
    <x v="3"/>
    <x v="4"/>
    <n v="1.38"/>
    <n v="3.41"/>
    <n v="1.37"/>
    <n v="5.74"/>
    <n v="5"/>
    <n v="6.1"/>
    <n v="5.4"/>
    <n v="5.4"/>
    <s v="No"/>
    <n v="9"/>
    <n v="8.3000000000000007"/>
    <n v="4.7"/>
    <n v="1.1000000000000001"/>
    <n v="1.5"/>
    <n v="3.2"/>
    <n v="5.3"/>
    <x v="0"/>
    <s v="No"/>
    <x v="1"/>
    <x v="2"/>
    <x v="1"/>
    <x v="2"/>
  </r>
  <r>
    <x v="507"/>
    <x v="29"/>
    <s v="Female"/>
    <x v="4"/>
    <x v="1"/>
    <s v="Lower-Middle"/>
    <s v="In a Relationship"/>
    <s v="With Roommates"/>
    <x v="4"/>
    <x v="1"/>
    <x v="1"/>
    <n v="0.31"/>
    <n v="5.39"/>
    <n v="1.06"/>
    <n v="4.87"/>
    <n v="7"/>
    <n v="1.6"/>
    <n v="1"/>
    <n v="8.1999999999999993"/>
    <s v="No"/>
    <n v="6.9"/>
    <n v="7.8"/>
    <n v="2.8"/>
    <n v="3.6"/>
    <n v="2.5"/>
    <n v="3.4"/>
    <n v="8.8000000000000007"/>
    <x v="0"/>
    <s v="No"/>
    <x v="0"/>
    <x v="1"/>
    <x v="0"/>
    <x v="1"/>
  </r>
  <r>
    <x v="508"/>
    <x v="18"/>
    <s v="Female"/>
    <x v="3"/>
    <x v="1"/>
    <s v="Lower-Middle"/>
    <s v="In a Relationship"/>
    <s v="With Roommates"/>
    <x v="1"/>
    <x v="0"/>
    <x v="4"/>
    <n v="0"/>
    <n v="4.41"/>
    <n v="3.22"/>
    <n v="5.43"/>
    <n v="5"/>
    <n v="2.8"/>
    <n v="1"/>
    <n v="9.4"/>
    <s v="No"/>
    <n v="7.3"/>
    <n v="6.4"/>
    <n v="6.4"/>
    <n v="4.3"/>
    <n v="1.3"/>
    <n v="4.9000000000000004"/>
    <n v="6.3"/>
    <x v="0"/>
    <s v="No"/>
    <x v="0"/>
    <x v="2"/>
    <x v="0"/>
    <x v="1"/>
  </r>
  <r>
    <x v="509"/>
    <x v="7"/>
    <s v="Male"/>
    <x v="1"/>
    <x v="2"/>
    <s v="Lower-Middle"/>
    <s v="In a Relationship"/>
    <s v="With Family"/>
    <x v="2"/>
    <x v="3"/>
    <x v="1"/>
    <n v="0"/>
    <n v="2.2599999999999998"/>
    <n v="1.73"/>
    <n v="3.52"/>
    <n v="3"/>
    <n v="3.9"/>
    <n v="3.2"/>
    <n v="8.1999999999999993"/>
    <s v="No"/>
    <n v="6.8"/>
    <n v="7.8"/>
    <n v="7.5"/>
    <n v="3.1"/>
    <n v="2"/>
    <n v="6.4"/>
    <n v="7.6"/>
    <x v="1"/>
    <s v="No"/>
    <x v="0"/>
    <x v="2"/>
    <x v="0"/>
    <x v="0"/>
  </r>
  <r>
    <x v="510"/>
    <x v="0"/>
    <s v="Male"/>
    <x v="0"/>
    <x v="2"/>
    <s v="Lower-Middle"/>
    <s v="In a Relationship"/>
    <s v="Alone"/>
    <x v="3"/>
    <x v="0"/>
    <x v="3"/>
    <n v="2.48"/>
    <n v="2.08"/>
    <n v="3.7"/>
    <n v="9.0299999999999994"/>
    <n v="3"/>
    <n v="7.2"/>
    <n v="6"/>
    <n v="4.8"/>
    <s v="No"/>
    <n v="6.1"/>
    <n v="5.5"/>
    <n v="5.4"/>
    <n v="6.2"/>
    <n v="5.4"/>
    <n v="6.8"/>
    <n v="4.5"/>
    <x v="2"/>
    <s v="No"/>
    <x v="1"/>
    <x v="0"/>
    <x v="1"/>
    <x v="2"/>
  </r>
  <r>
    <x v="511"/>
    <x v="20"/>
    <s v="Female"/>
    <x v="0"/>
    <x v="2"/>
    <s v="Upper-Middle"/>
    <s v="Single"/>
    <s v="With Roommates"/>
    <x v="3"/>
    <x v="4"/>
    <x v="0"/>
    <n v="1.85"/>
    <n v="4.38"/>
    <n v="1.93"/>
    <n v="4.88"/>
    <n v="5"/>
    <n v="3.4"/>
    <n v="2.7"/>
    <n v="7.7"/>
    <s v="No"/>
    <n v="7.5"/>
    <n v="6.4"/>
    <n v="2.8"/>
    <n v="1.9"/>
    <n v="2.9"/>
    <n v="3.2"/>
    <n v="7.5"/>
    <x v="1"/>
    <s v="No"/>
    <x v="0"/>
    <x v="2"/>
    <x v="1"/>
    <x v="0"/>
  </r>
  <r>
    <x v="512"/>
    <x v="11"/>
    <s v="Male"/>
    <x v="1"/>
    <x v="2"/>
    <s v="Low"/>
    <s v="In a Relationship"/>
    <s v="With Partner"/>
    <x v="1"/>
    <x v="0"/>
    <x v="1"/>
    <n v="1.27"/>
    <n v="3.8"/>
    <n v="1.37"/>
    <n v="3.66"/>
    <n v="4"/>
    <n v="4.5999999999999996"/>
    <n v="4.4000000000000004"/>
    <n v="6.7"/>
    <s v="No"/>
    <n v="7"/>
    <n v="3.7"/>
    <n v="3.6"/>
    <n v="2.6"/>
    <n v="2.5"/>
    <n v="5.4"/>
    <n v="5"/>
    <x v="1"/>
    <s v="No"/>
    <x v="1"/>
    <x v="3"/>
    <x v="1"/>
    <x v="0"/>
  </r>
  <r>
    <x v="513"/>
    <x v="29"/>
    <s v="Female"/>
    <x v="0"/>
    <x v="0"/>
    <s v="High"/>
    <s v="Single"/>
    <s v="Alone"/>
    <x v="0"/>
    <x v="0"/>
    <x v="2"/>
    <n v="1.63"/>
    <n v="4.01"/>
    <n v="0.72"/>
    <n v="3.2"/>
    <n v="3"/>
    <n v="5.4"/>
    <n v="3.2"/>
    <n v="4.4000000000000004"/>
    <s v="Yes"/>
    <n v="7.3"/>
    <n v="7.1"/>
    <n v="3.5"/>
    <n v="4.7"/>
    <n v="4.5"/>
    <n v="5"/>
    <n v="6.1"/>
    <x v="1"/>
    <s v="No"/>
    <x v="1"/>
    <x v="1"/>
    <x v="1"/>
    <x v="0"/>
  </r>
  <r>
    <x v="514"/>
    <x v="1"/>
    <s v="Female"/>
    <x v="0"/>
    <x v="2"/>
    <s v="Upper-Middle"/>
    <s v="Married"/>
    <s v="With Partner"/>
    <x v="1"/>
    <x v="0"/>
    <x v="1"/>
    <n v="0"/>
    <n v="6.86"/>
    <n v="2.21"/>
    <n v="5.3"/>
    <n v="6"/>
    <n v="2.9"/>
    <n v="1.9"/>
    <n v="8.1999999999999993"/>
    <s v="No"/>
    <n v="9.1"/>
    <n v="7.2"/>
    <n v="4.3"/>
    <n v="3.4"/>
    <n v="2.1"/>
    <n v="3.5"/>
    <n v="8"/>
    <x v="1"/>
    <s v="No"/>
    <x v="0"/>
    <x v="1"/>
    <x v="0"/>
    <x v="1"/>
  </r>
  <r>
    <x v="515"/>
    <x v="19"/>
    <s v="Non-binary"/>
    <x v="1"/>
    <x v="2"/>
    <s v="Upper-Middle"/>
    <s v="Single"/>
    <s v="Alone"/>
    <x v="4"/>
    <x v="2"/>
    <x v="4"/>
    <n v="0.51"/>
    <n v="4.17"/>
    <n v="3.86"/>
    <n v="5.54"/>
    <n v="6"/>
    <n v="4.9000000000000004"/>
    <n v="4.7"/>
    <n v="4.0999999999999996"/>
    <s v="No"/>
    <n v="5.9"/>
    <n v="7.3"/>
    <n v="4.5"/>
    <n v="5.9"/>
    <n v="5"/>
    <n v="4.0999999999999996"/>
    <n v="6.2"/>
    <x v="1"/>
    <s v="No"/>
    <x v="0"/>
    <x v="3"/>
    <x v="0"/>
    <x v="0"/>
  </r>
  <r>
    <x v="516"/>
    <x v="5"/>
    <s v="Female"/>
    <x v="2"/>
    <x v="2"/>
    <s v="Lower-Middle"/>
    <s v="Single"/>
    <s v="With Family"/>
    <x v="1"/>
    <x v="3"/>
    <x v="1"/>
    <n v="2.9"/>
    <n v="3.33"/>
    <n v="3.68"/>
    <n v="9.58"/>
    <n v="1"/>
    <n v="5.9"/>
    <n v="6.7"/>
    <n v="5.4"/>
    <s v="No"/>
    <n v="5.3"/>
    <n v="5.0999999999999996"/>
    <n v="6.2"/>
    <n v="8.6999999999999993"/>
    <n v="7.2"/>
    <n v="5.3"/>
    <n v="2.2999999999999998"/>
    <x v="1"/>
    <s v="No"/>
    <x v="1"/>
    <x v="0"/>
    <x v="2"/>
    <x v="0"/>
  </r>
  <r>
    <x v="517"/>
    <x v="28"/>
    <s v="Prefer not to say"/>
    <x v="4"/>
    <x v="1"/>
    <s v="Upper-Middle"/>
    <s v="Single"/>
    <s v="With Partner"/>
    <x v="1"/>
    <x v="4"/>
    <x v="3"/>
    <n v="2.29"/>
    <n v="2.21"/>
    <n v="3.27"/>
    <n v="7.71"/>
    <n v="4"/>
    <n v="4.0999999999999996"/>
    <n v="5.7"/>
    <n v="5.2"/>
    <s v="Yes"/>
    <n v="4.7"/>
    <n v="4.9000000000000004"/>
    <n v="4"/>
    <n v="4.5"/>
    <n v="3.3"/>
    <n v="6.4"/>
    <n v="6.1"/>
    <x v="1"/>
    <s v="No"/>
    <x v="0"/>
    <x v="1"/>
    <x v="1"/>
    <x v="0"/>
  </r>
  <r>
    <x v="518"/>
    <x v="24"/>
    <s v="Male"/>
    <x v="0"/>
    <x v="3"/>
    <s v="Low"/>
    <s v="In a Relationship"/>
    <s v="Alone"/>
    <x v="3"/>
    <x v="1"/>
    <x v="0"/>
    <n v="2.66"/>
    <n v="3.37"/>
    <n v="2.14"/>
    <n v="7.9"/>
    <n v="5"/>
    <n v="7.8"/>
    <n v="4.4000000000000004"/>
    <n v="4.8"/>
    <s v="No"/>
    <n v="5.9"/>
    <n v="6"/>
    <n v="2.7"/>
    <n v="6.7"/>
    <n v="6.7"/>
    <n v="7"/>
    <n v="5.4"/>
    <x v="1"/>
    <s v="No"/>
    <x v="2"/>
    <x v="1"/>
    <x v="2"/>
    <x v="2"/>
  </r>
  <r>
    <x v="519"/>
    <x v="28"/>
    <s v="Female"/>
    <x v="0"/>
    <x v="2"/>
    <s v="Upper-Middle"/>
    <s v="Single"/>
    <s v="Alone"/>
    <x v="0"/>
    <x v="0"/>
    <x v="2"/>
    <n v="1.53"/>
    <n v="2.93"/>
    <n v="4.79"/>
    <n v="7.21"/>
    <n v="1"/>
    <n v="10"/>
    <n v="9.3000000000000007"/>
    <n v="2.7"/>
    <s v="No"/>
    <n v="5.7"/>
    <n v="3.2"/>
    <n v="2.9"/>
    <n v="7.4"/>
    <n v="7.3"/>
    <n v="7.2"/>
    <n v="1.9"/>
    <x v="2"/>
    <s v="No"/>
    <x v="2"/>
    <x v="1"/>
    <x v="1"/>
    <x v="2"/>
  </r>
  <r>
    <x v="520"/>
    <x v="15"/>
    <s v="Male"/>
    <x v="1"/>
    <x v="0"/>
    <s v="Low"/>
    <s v="Single"/>
    <s v="Alone"/>
    <x v="3"/>
    <x v="0"/>
    <x v="4"/>
    <n v="1.7"/>
    <n v="2.15"/>
    <n v="3.94"/>
    <n v="7.01"/>
    <n v="5"/>
    <n v="8.1"/>
    <n v="4.9000000000000004"/>
    <n v="5.0999999999999996"/>
    <s v="No"/>
    <n v="6.1"/>
    <n v="3.9"/>
    <n v="1.5"/>
    <n v="5.4"/>
    <n v="4.7"/>
    <n v="7.2"/>
    <n v="4"/>
    <x v="2"/>
    <s v="No"/>
    <x v="1"/>
    <x v="1"/>
    <x v="1"/>
    <x v="2"/>
  </r>
  <r>
    <x v="521"/>
    <x v="8"/>
    <s v="Female"/>
    <x v="0"/>
    <x v="0"/>
    <s v="High"/>
    <s v="In a Relationship"/>
    <s v="With Partner"/>
    <x v="4"/>
    <x v="1"/>
    <x v="4"/>
    <n v="0"/>
    <n v="5.18"/>
    <n v="0"/>
    <n v="2.4500000000000002"/>
    <n v="7"/>
    <n v="1"/>
    <n v="1"/>
    <n v="10"/>
    <s v="No"/>
    <n v="7.3"/>
    <n v="8"/>
    <n v="5.2"/>
    <n v="1"/>
    <n v="1"/>
    <n v="2.4"/>
    <n v="9.1999999999999993"/>
    <x v="0"/>
    <s v="Yes"/>
    <x v="0"/>
    <x v="1"/>
    <x v="0"/>
    <x v="1"/>
  </r>
  <r>
    <x v="522"/>
    <x v="9"/>
    <s v="Female"/>
    <x v="0"/>
    <x v="3"/>
    <s v="High"/>
    <s v="Single"/>
    <s v="With Partner"/>
    <x v="4"/>
    <x v="1"/>
    <x v="4"/>
    <n v="1.6"/>
    <n v="4.1900000000000004"/>
    <n v="3.32"/>
    <n v="6.49"/>
    <n v="2"/>
    <n v="6.9"/>
    <n v="5"/>
    <n v="6.4"/>
    <s v="No"/>
    <n v="6.9"/>
    <n v="6"/>
    <n v="5.2"/>
    <n v="4.9000000000000004"/>
    <n v="3.2"/>
    <n v="4.0999999999999996"/>
    <n v="2.7"/>
    <x v="1"/>
    <s v="No"/>
    <x v="0"/>
    <x v="2"/>
    <x v="1"/>
    <x v="2"/>
  </r>
  <r>
    <x v="523"/>
    <x v="3"/>
    <s v="Female"/>
    <x v="1"/>
    <x v="2"/>
    <s v="Lower-Middle"/>
    <s v="Married"/>
    <s v="Alone"/>
    <x v="4"/>
    <x v="3"/>
    <x v="0"/>
    <n v="0.61"/>
    <n v="4.13"/>
    <n v="0.12"/>
    <n v="1"/>
    <n v="3"/>
    <n v="2.8"/>
    <n v="2.4"/>
    <n v="8.9"/>
    <s v="No"/>
    <n v="7.1"/>
    <n v="9.5"/>
    <n v="5"/>
    <n v="3.1"/>
    <n v="1.2"/>
    <n v="3.5"/>
    <n v="8"/>
    <x v="1"/>
    <s v="No"/>
    <x v="0"/>
    <x v="1"/>
    <x v="0"/>
    <x v="1"/>
  </r>
  <r>
    <x v="524"/>
    <x v="18"/>
    <s v="Prefer not to say"/>
    <x v="0"/>
    <x v="0"/>
    <s v="Low"/>
    <s v="Married"/>
    <s v="With Family"/>
    <x v="1"/>
    <x v="0"/>
    <x v="2"/>
    <n v="4.71"/>
    <n v="1.91"/>
    <n v="5.03"/>
    <n v="10.37"/>
    <n v="2"/>
    <n v="9.6"/>
    <n v="9.4"/>
    <n v="2.4"/>
    <s v="Yes"/>
    <n v="4.9000000000000004"/>
    <n v="3.3"/>
    <n v="5"/>
    <n v="10"/>
    <n v="5.6"/>
    <n v="9.9"/>
    <n v="2"/>
    <x v="2"/>
    <s v="Yes"/>
    <x v="2"/>
    <x v="2"/>
    <x v="3"/>
    <x v="2"/>
  </r>
  <r>
    <x v="525"/>
    <x v="14"/>
    <s v="Female"/>
    <x v="3"/>
    <x v="2"/>
    <s v="Upper-Middle"/>
    <s v="In a Relationship"/>
    <s v="Alone"/>
    <x v="2"/>
    <x v="2"/>
    <x v="2"/>
    <n v="2.2599999999999998"/>
    <n v="4.0999999999999996"/>
    <n v="2.33"/>
    <n v="5.47"/>
    <n v="4"/>
    <n v="5.2"/>
    <n v="6.2"/>
    <n v="3"/>
    <s v="No"/>
    <n v="6.9"/>
    <n v="7.9"/>
    <n v="3.9"/>
    <n v="5.6"/>
    <n v="4.9000000000000004"/>
    <n v="5.2"/>
    <n v="5.6"/>
    <x v="2"/>
    <s v="No"/>
    <x v="1"/>
    <x v="3"/>
    <x v="1"/>
    <x v="0"/>
  </r>
  <r>
    <x v="526"/>
    <x v="14"/>
    <s v="Male"/>
    <x v="0"/>
    <x v="2"/>
    <s v="Lower-Middle"/>
    <s v="Single"/>
    <s v="Alone"/>
    <x v="2"/>
    <x v="0"/>
    <x v="1"/>
    <n v="1.86"/>
    <n v="6.69"/>
    <n v="0.68"/>
    <n v="3.49"/>
    <n v="7"/>
    <n v="5.2"/>
    <n v="6.3"/>
    <n v="8.9"/>
    <s v="No"/>
    <n v="6.9"/>
    <n v="9.3000000000000007"/>
    <n v="2.8"/>
    <n v="5.4"/>
    <n v="1"/>
    <n v="3.2"/>
    <n v="5.9"/>
    <x v="0"/>
    <s v="No"/>
    <x v="0"/>
    <x v="3"/>
    <x v="1"/>
    <x v="0"/>
  </r>
  <r>
    <x v="527"/>
    <x v="9"/>
    <s v="Male"/>
    <x v="1"/>
    <x v="2"/>
    <s v="Upper-Middle"/>
    <s v="In a Relationship"/>
    <s v="With Family"/>
    <x v="3"/>
    <x v="2"/>
    <x v="1"/>
    <n v="1.68"/>
    <n v="3.16"/>
    <n v="3.47"/>
    <n v="7.83"/>
    <n v="4"/>
    <n v="7.6"/>
    <n v="6.6"/>
    <n v="3"/>
    <s v="Yes"/>
    <n v="7.6"/>
    <n v="6.1"/>
    <n v="0.9"/>
    <n v="4.5999999999999996"/>
    <n v="4.0999999999999996"/>
    <n v="6.8"/>
    <n v="7.3"/>
    <x v="2"/>
    <s v="No"/>
    <x v="2"/>
    <x v="2"/>
    <x v="1"/>
    <x v="2"/>
  </r>
  <r>
    <x v="528"/>
    <x v="13"/>
    <s v="Female"/>
    <x v="3"/>
    <x v="2"/>
    <s v="Low"/>
    <s v="Single"/>
    <s v="With Roommates"/>
    <x v="2"/>
    <x v="0"/>
    <x v="1"/>
    <n v="0.48"/>
    <n v="5.67"/>
    <n v="0.82"/>
    <n v="3.64"/>
    <n v="4"/>
    <n v="7.7"/>
    <n v="5.5"/>
    <n v="5.3"/>
    <s v="Yes"/>
    <n v="6.8"/>
    <n v="8.1999999999999993"/>
    <n v="5.4"/>
    <n v="1.3"/>
    <n v="5"/>
    <n v="4.8"/>
    <n v="4.0999999999999996"/>
    <x v="0"/>
    <s v="No"/>
    <x v="0"/>
    <x v="2"/>
    <x v="0"/>
    <x v="2"/>
  </r>
  <r>
    <x v="529"/>
    <x v="8"/>
    <s v="Male"/>
    <x v="1"/>
    <x v="0"/>
    <s v="Low"/>
    <s v="In a Relationship"/>
    <s v="Alone"/>
    <x v="3"/>
    <x v="1"/>
    <x v="4"/>
    <n v="0.43"/>
    <n v="3.93"/>
    <n v="1.1200000000000001"/>
    <n v="3.72"/>
    <n v="7"/>
    <n v="1"/>
    <n v="1.8"/>
    <n v="8.8000000000000007"/>
    <s v="No"/>
    <n v="7.9"/>
    <n v="10"/>
    <n v="4.5"/>
    <n v="1"/>
    <n v="2.2000000000000002"/>
    <n v="2.8"/>
    <n v="8.6999999999999993"/>
    <x v="1"/>
    <s v="No"/>
    <x v="0"/>
    <x v="1"/>
    <x v="0"/>
    <x v="1"/>
  </r>
  <r>
    <x v="530"/>
    <x v="20"/>
    <s v="Male"/>
    <x v="1"/>
    <x v="3"/>
    <s v="High"/>
    <s v="Single"/>
    <s v="With Family"/>
    <x v="1"/>
    <x v="0"/>
    <x v="1"/>
    <n v="2.97"/>
    <n v="3.2"/>
    <n v="2.23"/>
    <n v="9.2100000000000009"/>
    <n v="3"/>
    <n v="8.8000000000000007"/>
    <n v="7.2"/>
    <n v="4.3"/>
    <s v="Yes"/>
    <n v="6.6"/>
    <n v="6.4"/>
    <n v="1.3"/>
    <n v="5.2"/>
    <n v="4.4000000000000004"/>
    <n v="6.4"/>
    <n v="5.8"/>
    <x v="1"/>
    <s v="No"/>
    <x v="2"/>
    <x v="2"/>
    <x v="2"/>
    <x v="2"/>
  </r>
  <r>
    <x v="531"/>
    <x v="7"/>
    <s v="Male"/>
    <x v="1"/>
    <x v="2"/>
    <s v="Upper-Middle"/>
    <s v="Married"/>
    <s v="With Family"/>
    <x v="3"/>
    <x v="1"/>
    <x v="4"/>
    <n v="0.38"/>
    <n v="4.1100000000000003"/>
    <n v="0.75"/>
    <n v="4.3"/>
    <n v="4"/>
    <n v="4.7"/>
    <n v="3.5"/>
    <n v="5.2"/>
    <s v="No"/>
    <n v="5.5"/>
    <n v="5"/>
    <n v="3.7"/>
    <n v="1.9"/>
    <n v="3.9"/>
    <n v="3.4"/>
    <n v="5.4"/>
    <x v="1"/>
    <s v="No"/>
    <x v="0"/>
    <x v="2"/>
    <x v="0"/>
    <x v="0"/>
  </r>
  <r>
    <x v="532"/>
    <x v="16"/>
    <s v="Male"/>
    <x v="1"/>
    <x v="1"/>
    <s v="Upper-Middle"/>
    <s v="Single"/>
    <s v="With Family"/>
    <x v="3"/>
    <x v="1"/>
    <x v="4"/>
    <n v="3.7"/>
    <n v="1.9"/>
    <n v="3.98"/>
    <n v="10.48"/>
    <n v="1"/>
    <n v="8.1999999999999993"/>
    <n v="8.3000000000000007"/>
    <n v="1.5"/>
    <s v="Yes"/>
    <n v="7.1"/>
    <n v="3.7"/>
    <n v="3.8"/>
    <n v="8.9"/>
    <n v="6.6"/>
    <n v="6.6"/>
    <n v="3.4"/>
    <x v="2"/>
    <s v="Yes"/>
    <x v="2"/>
    <x v="2"/>
    <x v="2"/>
    <x v="2"/>
  </r>
  <r>
    <x v="533"/>
    <x v="2"/>
    <s v="Male"/>
    <x v="3"/>
    <x v="1"/>
    <s v="Lower-Middle"/>
    <s v="In a Relationship"/>
    <s v="With Partner"/>
    <x v="1"/>
    <x v="1"/>
    <x v="0"/>
    <n v="2.0099999999999998"/>
    <n v="4.79"/>
    <n v="2.2000000000000002"/>
    <n v="4.71"/>
    <n v="2"/>
    <n v="5.0999999999999996"/>
    <n v="5.2"/>
    <n v="6.2"/>
    <s v="No"/>
    <n v="7.8"/>
    <n v="5.9"/>
    <n v="3.6"/>
    <n v="2.6"/>
    <n v="3.1"/>
    <n v="2.8"/>
    <n v="7"/>
    <x v="2"/>
    <s v="Yes"/>
    <x v="1"/>
    <x v="2"/>
    <x v="1"/>
    <x v="0"/>
  </r>
  <r>
    <x v="534"/>
    <x v="13"/>
    <s v="Male"/>
    <x v="0"/>
    <x v="2"/>
    <s v="Upper-Middle"/>
    <s v="In a Relationship"/>
    <s v="With Family"/>
    <x v="1"/>
    <x v="1"/>
    <x v="2"/>
    <n v="3.47"/>
    <n v="2.2000000000000002"/>
    <n v="5.4"/>
    <n v="10.92"/>
    <n v="1"/>
    <n v="10"/>
    <n v="9.6"/>
    <n v="2.1"/>
    <s v="Yes"/>
    <n v="5.3"/>
    <n v="5.3"/>
    <n v="1"/>
    <n v="8.1"/>
    <n v="7.2"/>
    <n v="6.1"/>
    <n v="1.5"/>
    <x v="2"/>
    <s v="Yes"/>
    <x v="2"/>
    <x v="2"/>
    <x v="2"/>
    <x v="2"/>
  </r>
  <r>
    <x v="535"/>
    <x v="7"/>
    <s v="Male"/>
    <x v="1"/>
    <x v="2"/>
    <s v="Lower-Middle"/>
    <s v="In a Relationship"/>
    <s v="With Family"/>
    <x v="2"/>
    <x v="3"/>
    <x v="1"/>
    <n v="1.47"/>
    <n v="1.51"/>
    <n v="1.64"/>
    <n v="5.41"/>
    <n v="3"/>
    <n v="5.8"/>
    <n v="3.7"/>
    <n v="6.9"/>
    <s v="No"/>
    <n v="5.7"/>
    <n v="5.4"/>
    <n v="5.3"/>
    <n v="7.8"/>
    <n v="4.0999999999999996"/>
    <n v="6.5"/>
    <n v="4.4000000000000004"/>
    <x v="1"/>
    <s v="No"/>
    <x v="1"/>
    <x v="2"/>
    <x v="1"/>
    <x v="0"/>
  </r>
  <r>
    <x v="536"/>
    <x v="7"/>
    <s v="Male"/>
    <x v="4"/>
    <x v="2"/>
    <s v="Upper-Middle"/>
    <s v="Single"/>
    <s v="Alone"/>
    <x v="3"/>
    <x v="3"/>
    <x v="1"/>
    <n v="2.41"/>
    <n v="1.34"/>
    <n v="4.8499999999999996"/>
    <n v="8.85"/>
    <n v="0"/>
    <n v="7"/>
    <n v="4.5999999999999996"/>
    <n v="3.3"/>
    <s v="No"/>
    <n v="5.4"/>
    <n v="6.8"/>
    <n v="4.4000000000000004"/>
    <n v="5.0999999999999996"/>
    <n v="5.9"/>
    <n v="8.1"/>
    <n v="4.4000000000000004"/>
    <x v="2"/>
    <s v="No"/>
    <x v="2"/>
    <x v="2"/>
    <x v="1"/>
    <x v="2"/>
  </r>
  <r>
    <x v="537"/>
    <x v="13"/>
    <s v="Prefer not to say"/>
    <x v="4"/>
    <x v="2"/>
    <s v="Upper-Middle"/>
    <s v="Divorced/Separated"/>
    <s v="With Family"/>
    <x v="1"/>
    <x v="4"/>
    <x v="1"/>
    <n v="1.0900000000000001"/>
    <n v="5.26"/>
    <n v="0.87"/>
    <n v="5.67"/>
    <n v="4"/>
    <n v="1.4"/>
    <n v="4.9000000000000004"/>
    <n v="5.6"/>
    <s v="No"/>
    <n v="6.1"/>
    <n v="7.5"/>
    <n v="7.1"/>
    <n v="3.2"/>
    <n v="3.1"/>
    <n v="3.4"/>
    <n v="7.5"/>
    <x v="0"/>
    <s v="No"/>
    <x v="0"/>
    <x v="2"/>
    <x v="1"/>
    <x v="1"/>
  </r>
  <r>
    <x v="538"/>
    <x v="21"/>
    <s v="Male"/>
    <x v="4"/>
    <x v="1"/>
    <s v="Lower-Middle"/>
    <s v="In a Relationship"/>
    <s v="With Family"/>
    <x v="3"/>
    <x v="0"/>
    <x v="2"/>
    <n v="2.12"/>
    <n v="1.97"/>
    <n v="3.77"/>
    <n v="7.94"/>
    <n v="5"/>
    <n v="5.6"/>
    <n v="4.4000000000000004"/>
    <n v="7.5"/>
    <s v="No"/>
    <n v="5.2"/>
    <n v="5.8"/>
    <n v="5.6"/>
    <n v="6.8"/>
    <n v="6.1"/>
    <n v="4"/>
    <n v="4.3"/>
    <x v="1"/>
    <s v="No"/>
    <x v="0"/>
    <x v="1"/>
    <x v="1"/>
    <x v="0"/>
  </r>
  <r>
    <x v="539"/>
    <x v="1"/>
    <s v="Male"/>
    <x v="1"/>
    <x v="3"/>
    <s v="Lower-Middle"/>
    <s v="In a Relationship"/>
    <s v="With Family"/>
    <x v="2"/>
    <x v="1"/>
    <x v="2"/>
    <n v="0.23"/>
    <n v="6.65"/>
    <n v="1.88"/>
    <n v="2.88"/>
    <n v="9"/>
    <n v="1.5"/>
    <n v="1"/>
    <n v="10"/>
    <s v="No"/>
    <n v="6.9"/>
    <n v="9.1999999999999993"/>
    <n v="7.7"/>
    <n v="1"/>
    <n v="2"/>
    <n v="3.4"/>
    <n v="10"/>
    <x v="0"/>
    <s v="No"/>
    <x v="0"/>
    <x v="1"/>
    <x v="0"/>
    <x v="1"/>
  </r>
  <r>
    <x v="540"/>
    <x v="23"/>
    <s v="Female"/>
    <x v="0"/>
    <x v="0"/>
    <s v="Lower-Middle"/>
    <s v="Single"/>
    <s v="Alone"/>
    <x v="2"/>
    <x v="1"/>
    <x v="2"/>
    <n v="1.1100000000000001"/>
    <n v="4.26"/>
    <n v="2.69"/>
    <n v="4.8099999999999996"/>
    <n v="3"/>
    <n v="3.8"/>
    <n v="2.1"/>
    <n v="9.8000000000000007"/>
    <s v="No"/>
    <n v="4.7"/>
    <n v="6.5"/>
    <n v="3"/>
    <n v="4.5999999999999996"/>
    <n v="3"/>
    <n v="6.2"/>
    <n v="6.8"/>
    <x v="0"/>
    <s v="No"/>
    <x v="0"/>
    <x v="0"/>
    <x v="1"/>
    <x v="0"/>
  </r>
  <r>
    <x v="541"/>
    <x v="17"/>
    <s v="Male"/>
    <x v="2"/>
    <x v="0"/>
    <s v="Upper-Middle"/>
    <s v="In a Relationship"/>
    <s v="Alone"/>
    <x v="1"/>
    <x v="0"/>
    <x v="2"/>
    <n v="0"/>
    <n v="5.46"/>
    <n v="0.22"/>
    <n v="4.51"/>
    <n v="5"/>
    <n v="1"/>
    <n v="3.1"/>
    <n v="6.5"/>
    <s v="No"/>
    <n v="7.7"/>
    <n v="9.5"/>
    <n v="6.8"/>
    <n v="2.2999999999999998"/>
    <n v="1"/>
    <n v="3.3"/>
    <n v="9.8000000000000007"/>
    <x v="0"/>
    <s v="No"/>
    <x v="0"/>
    <x v="0"/>
    <x v="0"/>
    <x v="1"/>
  </r>
  <r>
    <x v="542"/>
    <x v="3"/>
    <s v="Non-binary"/>
    <x v="3"/>
    <x v="3"/>
    <s v="Low"/>
    <s v="Single"/>
    <s v="With Family"/>
    <x v="2"/>
    <x v="1"/>
    <x v="4"/>
    <n v="2.08"/>
    <n v="5.18"/>
    <n v="0"/>
    <n v="3.66"/>
    <n v="5"/>
    <n v="1"/>
    <n v="2.8"/>
    <n v="8.6"/>
    <s v="No"/>
    <n v="7.7"/>
    <n v="8.5"/>
    <n v="7.2"/>
    <n v="2.4"/>
    <n v="2.6"/>
    <n v="1.3"/>
    <n v="9"/>
    <x v="1"/>
    <s v="No"/>
    <x v="0"/>
    <x v="1"/>
    <x v="1"/>
    <x v="1"/>
  </r>
  <r>
    <x v="543"/>
    <x v="13"/>
    <s v="Female"/>
    <x v="1"/>
    <x v="1"/>
    <s v="Upper-Middle"/>
    <s v="Single"/>
    <s v="Alone"/>
    <x v="3"/>
    <x v="0"/>
    <x v="1"/>
    <n v="0.48"/>
    <n v="5.49"/>
    <n v="0"/>
    <n v="1"/>
    <n v="4"/>
    <n v="2.2999999999999998"/>
    <n v="1.4"/>
    <n v="8.4"/>
    <s v="No"/>
    <n v="8.8000000000000007"/>
    <n v="7.5"/>
    <n v="7.9"/>
    <n v="2.2000000000000002"/>
    <n v="1.9"/>
    <n v="4.0999999999999996"/>
    <n v="5.8"/>
    <x v="0"/>
    <s v="No"/>
    <x v="0"/>
    <x v="2"/>
    <x v="0"/>
    <x v="1"/>
  </r>
  <r>
    <x v="544"/>
    <x v="4"/>
    <s v="Male"/>
    <x v="1"/>
    <x v="1"/>
    <s v="Low"/>
    <s v="Single"/>
    <s v="With Partner"/>
    <x v="2"/>
    <x v="0"/>
    <x v="1"/>
    <n v="3.03"/>
    <n v="2.1"/>
    <n v="5.01"/>
    <n v="9.44"/>
    <n v="5"/>
    <n v="8.1999999999999993"/>
    <n v="5.2"/>
    <n v="4.7"/>
    <s v="No"/>
    <n v="7.4"/>
    <n v="4.8"/>
    <n v="3.5"/>
    <n v="4.9000000000000004"/>
    <n v="6.2"/>
    <n v="6.8"/>
    <n v="4.5999999999999996"/>
    <x v="2"/>
    <s v="No"/>
    <x v="1"/>
    <x v="1"/>
    <x v="2"/>
    <x v="2"/>
  </r>
  <r>
    <x v="545"/>
    <x v="18"/>
    <s v="Male"/>
    <x v="0"/>
    <x v="0"/>
    <s v="Upper-Middle"/>
    <s v="Married"/>
    <s v="With Family"/>
    <x v="1"/>
    <x v="0"/>
    <x v="1"/>
    <n v="1.73"/>
    <n v="4.2"/>
    <n v="2.06"/>
    <n v="3.96"/>
    <n v="7"/>
    <n v="2.9"/>
    <n v="4.2"/>
    <n v="5.8"/>
    <s v="No"/>
    <n v="6.4"/>
    <n v="9"/>
    <n v="3.4"/>
    <n v="2.9"/>
    <n v="4.8"/>
    <n v="5.8"/>
    <n v="6.3"/>
    <x v="1"/>
    <s v="No"/>
    <x v="0"/>
    <x v="2"/>
    <x v="1"/>
    <x v="1"/>
  </r>
  <r>
    <x v="546"/>
    <x v="25"/>
    <s v="Female"/>
    <x v="4"/>
    <x v="2"/>
    <s v="Upper-Middle"/>
    <s v="Single"/>
    <s v="With Family"/>
    <x v="1"/>
    <x v="0"/>
    <x v="2"/>
    <n v="1.69"/>
    <n v="2.83"/>
    <n v="1.43"/>
    <n v="6.03"/>
    <n v="1"/>
    <n v="6"/>
    <n v="5.6"/>
    <n v="7.6"/>
    <s v="No"/>
    <n v="6.8"/>
    <n v="8.8000000000000007"/>
    <n v="2.6"/>
    <n v="5.3"/>
    <n v="5.3"/>
    <n v="5.2"/>
    <n v="5.6"/>
    <x v="1"/>
    <s v="No"/>
    <x v="1"/>
    <x v="3"/>
    <x v="1"/>
    <x v="0"/>
  </r>
  <r>
    <x v="547"/>
    <x v="19"/>
    <s v="Non-binary"/>
    <x v="0"/>
    <x v="1"/>
    <s v="Low"/>
    <s v="Single"/>
    <s v="With Family"/>
    <x v="2"/>
    <x v="3"/>
    <x v="1"/>
    <n v="1.0900000000000001"/>
    <n v="4.3600000000000003"/>
    <n v="1.18"/>
    <n v="2.3199999999999998"/>
    <n v="3"/>
    <n v="5.7"/>
    <n v="3.7"/>
    <n v="7"/>
    <s v="No"/>
    <n v="8.1"/>
    <n v="6.2"/>
    <n v="5.7"/>
    <n v="3.4"/>
    <n v="3.7"/>
    <n v="3.8"/>
    <n v="6.6"/>
    <x v="1"/>
    <s v="No"/>
    <x v="0"/>
    <x v="3"/>
    <x v="1"/>
    <x v="0"/>
  </r>
  <r>
    <x v="548"/>
    <x v="5"/>
    <s v="Female"/>
    <x v="0"/>
    <x v="1"/>
    <s v="Low"/>
    <s v="In a Relationship"/>
    <s v="Alone"/>
    <x v="3"/>
    <x v="3"/>
    <x v="4"/>
    <n v="0.66"/>
    <n v="3.46"/>
    <n v="3.75"/>
    <n v="5.01"/>
    <n v="0"/>
    <n v="10"/>
    <n v="6.2"/>
    <n v="1.6"/>
    <s v="Yes"/>
    <n v="5.8"/>
    <n v="5.6"/>
    <n v="1.7"/>
    <n v="8.1"/>
    <n v="4.9000000000000004"/>
    <n v="6.4"/>
    <n v="1.4"/>
    <x v="2"/>
    <s v="Yes"/>
    <x v="2"/>
    <x v="0"/>
    <x v="0"/>
    <x v="2"/>
  </r>
  <r>
    <x v="549"/>
    <x v="6"/>
    <s v="Female"/>
    <x v="1"/>
    <x v="2"/>
    <s v="Low"/>
    <s v="Married"/>
    <s v="With Roommates"/>
    <x v="2"/>
    <x v="2"/>
    <x v="1"/>
    <n v="0.65"/>
    <n v="4.16"/>
    <n v="2.11"/>
    <n v="4.7699999999999996"/>
    <n v="4"/>
    <n v="6.3"/>
    <n v="5.9"/>
    <n v="4.9000000000000004"/>
    <s v="No"/>
    <n v="7.2"/>
    <n v="5.5"/>
    <n v="4.2"/>
    <n v="6.4"/>
    <n v="3.8"/>
    <n v="6.4"/>
    <n v="6.1"/>
    <x v="1"/>
    <s v="No"/>
    <x v="1"/>
    <x v="2"/>
    <x v="0"/>
    <x v="2"/>
  </r>
  <r>
    <x v="550"/>
    <x v="18"/>
    <s v="Male"/>
    <x v="0"/>
    <x v="0"/>
    <s v="Upper-Middle"/>
    <s v="Single"/>
    <s v="With Family"/>
    <x v="2"/>
    <x v="3"/>
    <x v="0"/>
    <n v="2.09"/>
    <n v="4.33"/>
    <n v="0.83"/>
    <n v="6.03"/>
    <n v="3"/>
    <n v="6.7"/>
    <n v="5.0999999999999996"/>
    <n v="4"/>
    <s v="No"/>
    <n v="6.3"/>
    <n v="5.7"/>
    <n v="2.4"/>
    <n v="3.6"/>
    <n v="3.9"/>
    <n v="5.9"/>
    <n v="5.2"/>
    <x v="1"/>
    <s v="No"/>
    <x v="1"/>
    <x v="2"/>
    <x v="1"/>
    <x v="2"/>
  </r>
  <r>
    <x v="551"/>
    <x v="15"/>
    <s v="Prefer not to say"/>
    <x v="3"/>
    <x v="2"/>
    <s v="Upper-Middle"/>
    <s v="In a Relationship"/>
    <s v="With Roommates"/>
    <x v="3"/>
    <x v="0"/>
    <x v="4"/>
    <n v="0"/>
    <n v="3.93"/>
    <n v="2.79"/>
    <n v="4.72"/>
    <n v="5"/>
    <n v="4.2"/>
    <n v="2.9"/>
    <n v="7"/>
    <s v="No"/>
    <n v="7.4"/>
    <n v="6.2"/>
    <n v="4.4000000000000004"/>
    <n v="4.2"/>
    <n v="3.7"/>
    <n v="2.5"/>
    <n v="4.5"/>
    <x v="1"/>
    <s v="No"/>
    <x v="0"/>
    <x v="1"/>
    <x v="0"/>
    <x v="0"/>
  </r>
  <r>
    <x v="552"/>
    <x v="15"/>
    <s v="Male"/>
    <x v="1"/>
    <x v="2"/>
    <s v="Low"/>
    <s v="Single"/>
    <s v="With Family"/>
    <x v="3"/>
    <x v="4"/>
    <x v="3"/>
    <n v="3.05"/>
    <n v="2.67"/>
    <n v="3.98"/>
    <n v="7.78"/>
    <n v="3"/>
    <n v="7.5"/>
    <n v="8"/>
    <n v="4.9000000000000004"/>
    <s v="Yes"/>
    <n v="6.3"/>
    <n v="5.7"/>
    <n v="3.3"/>
    <n v="9.3000000000000007"/>
    <n v="8.1999999999999993"/>
    <n v="9"/>
    <n v="4.3"/>
    <x v="2"/>
    <s v="No"/>
    <x v="2"/>
    <x v="1"/>
    <x v="2"/>
    <x v="2"/>
  </r>
  <r>
    <x v="553"/>
    <x v="25"/>
    <s v="Non-binary"/>
    <x v="3"/>
    <x v="2"/>
    <s v="Upper-Middle"/>
    <s v="Single"/>
    <s v="Alone"/>
    <x v="3"/>
    <x v="4"/>
    <x v="1"/>
    <n v="3.62"/>
    <n v="2.42"/>
    <n v="5.56"/>
    <n v="11.37"/>
    <n v="3"/>
    <n v="8.6999999999999993"/>
    <n v="4.9000000000000004"/>
    <n v="3.1"/>
    <s v="Yes"/>
    <n v="5.8"/>
    <n v="4.9000000000000004"/>
    <n v="2.9"/>
    <n v="5.9"/>
    <n v="8.4"/>
    <n v="8.5"/>
    <n v="2.2999999999999998"/>
    <x v="2"/>
    <s v="Yes"/>
    <x v="2"/>
    <x v="3"/>
    <x v="2"/>
    <x v="2"/>
  </r>
  <r>
    <x v="554"/>
    <x v="0"/>
    <s v="Female"/>
    <x v="2"/>
    <x v="3"/>
    <s v="Lower-Middle"/>
    <s v="Single"/>
    <s v="With Roommates"/>
    <x v="4"/>
    <x v="1"/>
    <x v="4"/>
    <n v="2.12"/>
    <n v="3.74"/>
    <n v="3.6"/>
    <n v="7.25"/>
    <n v="2"/>
    <n v="6.4"/>
    <n v="5"/>
    <n v="5.7"/>
    <s v="No"/>
    <n v="8"/>
    <n v="7.4"/>
    <n v="5.2"/>
    <n v="5.9"/>
    <n v="5"/>
    <n v="6.9"/>
    <n v="5.6"/>
    <x v="1"/>
    <s v="No"/>
    <x v="0"/>
    <x v="0"/>
    <x v="1"/>
    <x v="2"/>
  </r>
  <r>
    <x v="555"/>
    <x v="11"/>
    <s v="Female"/>
    <x v="1"/>
    <x v="2"/>
    <s v="Lower-Middle"/>
    <s v="Married"/>
    <s v="With Family"/>
    <x v="2"/>
    <x v="1"/>
    <x v="1"/>
    <n v="1.22"/>
    <n v="3.84"/>
    <n v="0"/>
    <n v="4.3499999999999996"/>
    <n v="5"/>
    <n v="3.9"/>
    <n v="3.6"/>
    <n v="5.9"/>
    <s v="No"/>
    <n v="6.6"/>
    <n v="8.6"/>
    <n v="2.6"/>
    <n v="4"/>
    <n v="1.7"/>
    <n v="5.4"/>
    <n v="6.8"/>
    <x v="2"/>
    <s v="No"/>
    <x v="0"/>
    <x v="3"/>
    <x v="1"/>
    <x v="0"/>
  </r>
  <r>
    <x v="556"/>
    <x v="17"/>
    <s v="Female"/>
    <x v="0"/>
    <x v="1"/>
    <s v="High"/>
    <s v="Single"/>
    <s v="Alone"/>
    <x v="3"/>
    <x v="2"/>
    <x v="2"/>
    <n v="0.17"/>
    <n v="5.35"/>
    <n v="2.2999999999999998"/>
    <n v="5.32"/>
    <n v="4"/>
    <n v="3"/>
    <n v="1"/>
    <n v="10"/>
    <s v="No"/>
    <n v="8.1999999999999993"/>
    <n v="8.4"/>
    <n v="5.8"/>
    <n v="2.4"/>
    <n v="2.2999999999999998"/>
    <n v="1.1000000000000001"/>
    <n v="6.9"/>
    <x v="1"/>
    <s v="No"/>
    <x v="0"/>
    <x v="0"/>
    <x v="0"/>
    <x v="1"/>
  </r>
  <r>
    <x v="557"/>
    <x v="29"/>
    <s v="Male"/>
    <x v="1"/>
    <x v="0"/>
    <s v="Lower-Middle"/>
    <s v="Single"/>
    <s v="With Family"/>
    <x v="1"/>
    <x v="1"/>
    <x v="1"/>
    <n v="1.66"/>
    <n v="3.84"/>
    <n v="2.84"/>
    <n v="5.96"/>
    <n v="8"/>
    <n v="6.5"/>
    <n v="1"/>
    <n v="9.3000000000000007"/>
    <s v="No"/>
    <n v="9.1999999999999993"/>
    <n v="7.7"/>
    <n v="4.3"/>
    <n v="1.9"/>
    <n v="2.7"/>
    <n v="3.9"/>
    <n v="5.6"/>
    <x v="1"/>
    <s v="No"/>
    <x v="0"/>
    <x v="1"/>
    <x v="1"/>
    <x v="2"/>
  </r>
  <r>
    <x v="558"/>
    <x v="1"/>
    <s v="Male"/>
    <x v="3"/>
    <x v="1"/>
    <s v="Lower-Middle"/>
    <s v="Single"/>
    <s v="With Roommates"/>
    <x v="2"/>
    <x v="2"/>
    <x v="2"/>
    <n v="0"/>
    <n v="4.6900000000000004"/>
    <n v="0"/>
    <n v="2.78"/>
    <n v="7"/>
    <n v="1"/>
    <n v="1"/>
    <n v="10"/>
    <s v="No"/>
    <n v="8.8000000000000007"/>
    <n v="10"/>
    <n v="5.0999999999999996"/>
    <n v="2.5"/>
    <n v="1"/>
    <n v="2"/>
    <n v="10"/>
    <x v="0"/>
    <s v="No"/>
    <x v="0"/>
    <x v="1"/>
    <x v="0"/>
    <x v="1"/>
  </r>
  <r>
    <x v="559"/>
    <x v="16"/>
    <s v="Male"/>
    <x v="0"/>
    <x v="3"/>
    <s v="Low"/>
    <s v="Married"/>
    <s v="With Family"/>
    <x v="0"/>
    <x v="0"/>
    <x v="1"/>
    <n v="0.47"/>
    <n v="4.3"/>
    <n v="1.1599999999999999"/>
    <n v="3.9"/>
    <n v="3"/>
    <n v="3.1"/>
    <n v="2.5"/>
    <n v="9.9"/>
    <s v="No"/>
    <n v="6.9"/>
    <n v="7.7"/>
    <n v="4"/>
    <n v="1.9"/>
    <n v="3.1"/>
    <n v="1.8"/>
    <n v="7"/>
    <x v="1"/>
    <s v="No"/>
    <x v="0"/>
    <x v="2"/>
    <x v="0"/>
    <x v="0"/>
  </r>
  <r>
    <x v="560"/>
    <x v="3"/>
    <s v="Male"/>
    <x v="0"/>
    <x v="0"/>
    <s v="Low"/>
    <s v="Single"/>
    <s v="With Partner"/>
    <x v="3"/>
    <x v="0"/>
    <x v="4"/>
    <n v="1.86"/>
    <n v="4.2300000000000004"/>
    <n v="3.27"/>
    <n v="8.49"/>
    <n v="3"/>
    <n v="5.7"/>
    <n v="5.7"/>
    <n v="4.5999999999999996"/>
    <s v="No"/>
    <n v="7.1"/>
    <n v="5.9"/>
    <n v="2.2000000000000002"/>
    <n v="6"/>
    <n v="4.5"/>
    <n v="4.2"/>
    <n v="4.9000000000000004"/>
    <x v="1"/>
    <s v="No"/>
    <x v="1"/>
    <x v="1"/>
    <x v="1"/>
    <x v="0"/>
  </r>
  <r>
    <x v="561"/>
    <x v="12"/>
    <s v="Female"/>
    <x v="3"/>
    <x v="0"/>
    <s v="Lower-Middle"/>
    <s v="Single"/>
    <s v="With Family"/>
    <x v="3"/>
    <x v="1"/>
    <x v="0"/>
    <n v="1.53"/>
    <n v="4.29"/>
    <n v="1.44"/>
    <n v="5.7"/>
    <n v="4"/>
    <n v="5"/>
    <n v="6.4"/>
    <n v="4.3"/>
    <s v="Yes"/>
    <n v="9.1999999999999993"/>
    <n v="5.6"/>
    <n v="4.5999999999999996"/>
    <n v="4.3"/>
    <n v="1.6"/>
    <n v="5.8"/>
    <n v="6.2"/>
    <x v="1"/>
    <s v="No"/>
    <x v="1"/>
    <x v="3"/>
    <x v="1"/>
    <x v="0"/>
  </r>
  <r>
    <x v="562"/>
    <x v="9"/>
    <s v="Male"/>
    <x v="1"/>
    <x v="2"/>
    <s v="Low"/>
    <s v="Single"/>
    <s v="With Partner"/>
    <x v="0"/>
    <x v="1"/>
    <x v="1"/>
    <n v="4.3"/>
    <n v="0.19"/>
    <n v="4.58"/>
    <n v="11.43"/>
    <n v="2"/>
    <n v="10"/>
    <n v="10"/>
    <n v="2.4"/>
    <s v="Yes"/>
    <n v="5.4"/>
    <n v="3.9"/>
    <n v="1.8"/>
    <n v="9.8000000000000007"/>
    <n v="7.7"/>
    <n v="9.9"/>
    <n v="1"/>
    <x v="2"/>
    <s v="Yes"/>
    <x v="2"/>
    <x v="2"/>
    <x v="3"/>
    <x v="2"/>
  </r>
  <r>
    <x v="563"/>
    <x v="5"/>
    <s v="Male"/>
    <x v="4"/>
    <x v="0"/>
    <s v="Upper-Middle"/>
    <s v="Single"/>
    <s v="With Family"/>
    <x v="3"/>
    <x v="4"/>
    <x v="3"/>
    <n v="1.91"/>
    <n v="4"/>
    <n v="3.13"/>
    <n v="8.3699999999999992"/>
    <n v="7"/>
    <n v="4.3"/>
    <n v="1.9"/>
    <n v="6.6"/>
    <s v="No"/>
    <n v="8"/>
    <n v="8.3000000000000007"/>
    <n v="5.8"/>
    <n v="2.6"/>
    <n v="3.1"/>
    <n v="7.2"/>
    <n v="6.2"/>
    <x v="1"/>
    <s v="No"/>
    <x v="0"/>
    <x v="0"/>
    <x v="1"/>
    <x v="0"/>
  </r>
  <r>
    <x v="564"/>
    <x v="1"/>
    <s v="Non-binary"/>
    <x v="0"/>
    <x v="1"/>
    <s v="Lower-Middle"/>
    <s v="In a Relationship"/>
    <s v="With Roommates"/>
    <x v="3"/>
    <x v="2"/>
    <x v="2"/>
    <n v="1.37"/>
    <n v="5.19"/>
    <n v="2.57"/>
    <n v="5.96"/>
    <n v="5"/>
    <n v="4.2"/>
    <n v="3.1"/>
    <n v="6.1"/>
    <s v="No"/>
    <n v="7.3"/>
    <n v="8.8000000000000007"/>
    <n v="5"/>
    <n v="2.1"/>
    <n v="2.9"/>
    <n v="3.9"/>
    <n v="6.7"/>
    <x v="2"/>
    <s v="No"/>
    <x v="0"/>
    <x v="1"/>
    <x v="1"/>
    <x v="0"/>
  </r>
  <r>
    <x v="565"/>
    <x v="24"/>
    <s v="Female"/>
    <x v="1"/>
    <x v="3"/>
    <s v="Lower-Middle"/>
    <s v="In a Relationship"/>
    <s v="With Family"/>
    <x v="4"/>
    <x v="1"/>
    <x v="1"/>
    <n v="2.58"/>
    <n v="2.38"/>
    <n v="2.9"/>
    <n v="6.7"/>
    <n v="2"/>
    <n v="7"/>
    <n v="5.5"/>
    <n v="4"/>
    <s v="No"/>
    <n v="6.5"/>
    <n v="5.4"/>
    <n v="3"/>
    <n v="7"/>
    <n v="5"/>
    <n v="4.8"/>
    <n v="6.1"/>
    <x v="2"/>
    <s v="No"/>
    <x v="2"/>
    <x v="1"/>
    <x v="2"/>
    <x v="2"/>
  </r>
  <r>
    <x v="566"/>
    <x v="29"/>
    <s v="Non-binary"/>
    <x v="0"/>
    <x v="2"/>
    <s v="Low"/>
    <s v="Single"/>
    <s v="With Partner"/>
    <x v="2"/>
    <x v="0"/>
    <x v="2"/>
    <n v="0.05"/>
    <n v="4.7"/>
    <n v="1.6"/>
    <n v="3.85"/>
    <n v="8"/>
    <n v="1.3"/>
    <n v="1"/>
    <n v="7.8"/>
    <s v="No"/>
    <n v="8.3000000000000007"/>
    <n v="8.6999999999999993"/>
    <n v="6.4"/>
    <n v="1"/>
    <n v="1"/>
    <n v="1.5"/>
    <n v="8.6"/>
    <x v="0"/>
    <s v="No"/>
    <x v="0"/>
    <x v="1"/>
    <x v="0"/>
    <x v="1"/>
  </r>
  <r>
    <x v="567"/>
    <x v="27"/>
    <s v="Prefer not to say"/>
    <x v="3"/>
    <x v="2"/>
    <s v="Lower-Middle"/>
    <s v="Single"/>
    <s v="With Family"/>
    <x v="3"/>
    <x v="4"/>
    <x v="4"/>
    <n v="0"/>
    <n v="7.89"/>
    <n v="1.32"/>
    <n v="2.97"/>
    <n v="7"/>
    <n v="1.1000000000000001"/>
    <n v="2.6"/>
    <n v="6.7"/>
    <s v="No"/>
    <n v="7.1"/>
    <n v="8.6"/>
    <n v="6.8"/>
    <n v="1.1000000000000001"/>
    <n v="1.5"/>
    <n v="3.5"/>
    <n v="9.8000000000000007"/>
    <x v="1"/>
    <s v="No"/>
    <x v="0"/>
    <x v="1"/>
    <x v="0"/>
    <x v="1"/>
  </r>
  <r>
    <x v="568"/>
    <x v="18"/>
    <s v="Male"/>
    <x v="1"/>
    <x v="2"/>
    <s v="Upper-Middle"/>
    <s v="Single"/>
    <s v="With Family"/>
    <x v="3"/>
    <x v="1"/>
    <x v="1"/>
    <n v="1.61"/>
    <n v="3.1"/>
    <n v="3.43"/>
    <n v="7.64"/>
    <n v="3"/>
    <n v="5"/>
    <n v="6.6"/>
    <n v="4.8"/>
    <s v="No"/>
    <n v="6.9"/>
    <n v="4.5"/>
    <n v="0"/>
    <n v="6.5"/>
    <n v="3.7"/>
    <n v="5.7"/>
    <n v="4.7"/>
    <x v="2"/>
    <s v="Yes"/>
    <x v="1"/>
    <x v="2"/>
    <x v="1"/>
    <x v="0"/>
  </r>
  <r>
    <x v="569"/>
    <x v="23"/>
    <s v="Male"/>
    <x v="4"/>
    <x v="1"/>
    <s v="High"/>
    <s v="Single"/>
    <s v="Alone"/>
    <x v="3"/>
    <x v="0"/>
    <x v="4"/>
    <n v="1.24"/>
    <n v="3.05"/>
    <n v="1.79"/>
    <n v="5.09"/>
    <n v="6"/>
    <n v="5.0999999999999996"/>
    <n v="3.2"/>
    <n v="7"/>
    <s v="Yes"/>
    <n v="6"/>
    <n v="6.5"/>
    <n v="4.0999999999999996"/>
    <n v="2.2999999999999998"/>
    <n v="6.7"/>
    <n v="4.8"/>
    <n v="5"/>
    <x v="1"/>
    <s v="Yes"/>
    <x v="0"/>
    <x v="0"/>
    <x v="1"/>
    <x v="0"/>
  </r>
  <r>
    <x v="570"/>
    <x v="16"/>
    <s v="Female"/>
    <x v="4"/>
    <x v="0"/>
    <s v="Low"/>
    <s v="Single"/>
    <s v="With Family"/>
    <x v="3"/>
    <x v="1"/>
    <x v="2"/>
    <n v="0.62"/>
    <n v="4.3600000000000003"/>
    <n v="2.3199999999999998"/>
    <n v="5.34"/>
    <n v="3"/>
    <n v="7"/>
    <n v="4.8"/>
    <n v="8.1999999999999993"/>
    <s v="No"/>
    <n v="6.8"/>
    <n v="8.1"/>
    <n v="4.7"/>
    <n v="5.6"/>
    <n v="2.2000000000000002"/>
    <n v="3.9"/>
    <n v="5.6"/>
    <x v="0"/>
    <s v="No"/>
    <x v="0"/>
    <x v="2"/>
    <x v="0"/>
    <x v="2"/>
  </r>
  <r>
    <x v="571"/>
    <x v="8"/>
    <s v="Female"/>
    <x v="1"/>
    <x v="2"/>
    <s v="High"/>
    <s v="Married"/>
    <s v="With Family"/>
    <x v="0"/>
    <x v="3"/>
    <x v="4"/>
    <n v="1.03"/>
    <n v="4.95"/>
    <n v="0.79"/>
    <n v="2.62"/>
    <n v="5"/>
    <n v="2.6"/>
    <n v="1.3"/>
    <n v="9"/>
    <s v="No"/>
    <n v="9.4"/>
    <n v="6.4"/>
    <n v="7.8"/>
    <n v="2.8"/>
    <n v="1.5"/>
    <n v="4.8"/>
    <n v="8.8000000000000007"/>
    <x v="1"/>
    <s v="No"/>
    <x v="0"/>
    <x v="1"/>
    <x v="1"/>
    <x v="1"/>
  </r>
  <r>
    <x v="572"/>
    <x v="21"/>
    <s v="Male"/>
    <x v="2"/>
    <x v="2"/>
    <s v="Lower-Middle"/>
    <s v="Divorced/Separated"/>
    <s v="With Partner"/>
    <x v="1"/>
    <x v="3"/>
    <x v="2"/>
    <n v="1.1399999999999999"/>
    <n v="2.19"/>
    <n v="0.8"/>
    <n v="4.4400000000000004"/>
    <n v="1"/>
    <n v="4.3"/>
    <n v="1.8"/>
    <n v="6.3"/>
    <s v="Yes"/>
    <n v="6.8"/>
    <n v="5.4"/>
    <n v="2"/>
    <n v="5.9"/>
    <n v="5"/>
    <n v="6.3"/>
    <n v="6.5"/>
    <x v="2"/>
    <s v="No"/>
    <x v="0"/>
    <x v="1"/>
    <x v="1"/>
    <x v="0"/>
  </r>
  <r>
    <x v="573"/>
    <x v="10"/>
    <s v="Female"/>
    <x v="1"/>
    <x v="2"/>
    <s v="Lower-Middle"/>
    <s v="Divorced/Separated"/>
    <s v="With Partner"/>
    <x v="2"/>
    <x v="1"/>
    <x v="0"/>
    <n v="0.36"/>
    <n v="4.9800000000000004"/>
    <n v="1.41"/>
    <n v="2.48"/>
    <n v="7"/>
    <n v="5.5"/>
    <n v="1.1000000000000001"/>
    <n v="9.3000000000000007"/>
    <s v="No"/>
    <n v="6.7"/>
    <n v="7.5"/>
    <n v="3.2"/>
    <n v="3.5"/>
    <n v="1.8"/>
    <n v="2.6"/>
    <n v="6.9"/>
    <x v="2"/>
    <s v="No"/>
    <x v="0"/>
    <x v="2"/>
    <x v="0"/>
    <x v="0"/>
  </r>
  <r>
    <x v="574"/>
    <x v="8"/>
    <s v="Male"/>
    <x v="1"/>
    <x v="0"/>
    <s v="Lower-Middle"/>
    <s v="Married"/>
    <s v="With Family"/>
    <x v="4"/>
    <x v="0"/>
    <x v="1"/>
    <n v="2.35"/>
    <n v="4.9000000000000004"/>
    <n v="2.4500000000000002"/>
    <n v="7.76"/>
    <n v="3"/>
    <n v="5.2"/>
    <n v="5.2"/>
    <n v="6.5"/>
    <s v="No"/>
    <n v="7.2"/>
    <n v="4.8"/>
    <n v="0.5"/>
    <n v="5.3"/>
    <n v="5.9"/>
    <n v="4.5"/>
    <n v="6.3"/>
    <x v="2"/>
    <s v="No"/>
    <x v="0"/>
    <x v="1"/>
    <x v="1"/>
    <x v="0"/>
  </r>
  <r>
    <x v="575"/>
    <x v="18"/>
    <s v="Male"/>
    <x v="1"/>
    <x v="1"/>
    <s v="Low"/>
    <s v="In a Relationship"/>
    <s v="With Partner"/>
    <x v="1"/>
    <x v="2"/>
    <x v="1"/>
    <n v="0"/>
    <n v="5.04"/>
    <n v="1.48"/>
    <n v="4.4400000000000004"/>
    <n v="8"/>
    <n v="3.6"/>
    <n v="2.6"/>
    <n v="7.9"/>
    <s v="No"/>
    <n v="7.3"/>
    <n v="8.8000000000000007"/>
    <n v="3.3"/>
    <n v="1"/>
    <n v="1.4"/>
    <n v="2.2000000000000002"/>
    <n v="7"/>
    <x v="0"/>
    <s v="No"/>
    <x v="0"/>
    <x v="2"/>
    <x v="0"/>
    <x v="0"/>
  </r>
  <r>
    <x v="576"/>
    <x v="7"/>
    <s v="Female"/>
    <x v="4"/>
    <x v="0"/>
    <s v="Low"/>
    <s v="In a Relationship"/>
    <s v="Alone"/>
    <x v="3"/>
    <x v="3"/>
    <x v="1"/>
    <n v="1.59"/>
    <n v="2.14"/>
    <n v="3.53"/>
    <n v="7.47"/>
    <n v="3"/>
    <n v="3.7"/>
    <n v="6.1"/>
    <n v="7.6"/>
    <s v="No"/>
    <n v="7.2"/>
    <n v="6.4"/>
    <n v="4"/>
    <n v="5.5"/>
    <n v="2.5"/>
    <n v="2.5"/>
    <n v="6.1"/>
    <x v="1"/>
    <s v="No"/>
    <x v="0"/>
    <x v="2"/>
    <x v="1"/>
    <x v="0"/>
  </r>
  <r>
    <x v="577"/>
    <x v="9"/>
    <s v="Female"/>
    <x v="0"/>
    <x v="0"/>
    <s v="Upper-Middle"/>
    <s v="Single"/>
    <s v="With Family"/>
    <x v="1"/>
    <x v="1"/>
    <x v="1"/>
    <n v="3.35"/>
    <n v="2.11"/>
    <n v="3.87"/>
    <n v="9.5399999999999991"/>
    <n v="1"/>
    <n v="9.5"/>
    <n v="9.8000000000000007"/>
    <n v="3.1"/>
    <s v="No"/>
    <n v="4.5"/>
    <n v="4.2"/>
    <n v="0.5"/>
    <n v="8.9"/>
    <n v="9"/>
    <n v="7.5"/>
    <n v="1.6"/>
    <x v="2"/>
    <s v="Yes"/>
    <x v="2"/>
    <x v="2"/>
    <x v="2"/>
    <x v="2"/>
  </r>
  <r>
    <x v="578"/>
    <x v="7"/>
    <s v="Female"/>
    <x v="1"/>
    <x v="1"/>
    <s v="Lower-Middle"/>
    <s v="In a Relationship"/>
    <s v="With Roommates"/>
    <x v="4"/>
    <x v="0"/>
    <x v="1"/>
    <n v="1.1399999999999999"/>
    <n v="5.07"/>
    <n v="1.71"/>
    <n v="4.63"/>
    <n v="5"/>
    <n v="5.7"/>
    <n v="5.0999999999999996"/>
    <n v="6.8"/>
    <s v="Yes"/>
    <n v="8"/>
    <n v="6.9"/>
    <n v="3.4"/>
    <n v="3.1"/>
    <n v="1"/>
    <n v="2.2000000000000002"/>
    <n v="7.9"/>
    <x v="1"/>
    <s v="No"/>
    <x v="0"/>
    <x v="2"/>
    <x v="1"/>
    <x v="0"/>
  </r>
  <r>
    <x v="579"/>
    <x v="25"/>
    <s v="Male"/>
    <x v="0"/>
    <x v="1"/>
    <s v="High"/>
    <s v="In a Relationship"/>
    <s v="With Roommates"/>
    <x v="0"/>
    <x v="3"/>
    <x v="3"/>
    <n v="1.78"/>
    <n v="3.56"/>
    <n v="3.13"/>
    <n v="6.31"/>
    <n v="3"/>
    <n v="4.9000000000000004"/>
    <n v="4.9000000000000004"/>
    <n v="4.7"/>
    <s v="Yes"/>
    <n v="7.2"/>
    <n v="7.3"/>
    <n v="4.2"/>
    <n v="4.0999999999999996"/>
    <n v="4.4000000000000004"/>
    <n v="5.9"/>
    <n v="6.8"/>
    <x v="0"/>
    <s v="No"/>
    <x v="0"/>
    <x v="3"/>
    <x v="1"/>
    <x v="0"/>
  </r>
  <r>
    <x v="580"/>
    <x v="7"/>
    <s v="Female"/>
    <x v="0"/>
    <x v="0"/>
    <s v="Lower-Middle"/>
    <s v="In a Relationship"/>
    <s v="With Partner"/>
    <x v="3"/>
    <x v="0"/>
    <x v="0"/>
    <n v="1.2"/>
    <n v="3.64"/>
    <n v="1.54"/>
    <n v="4.7300000000000004"/>
    <n v="5"/>
    <n v="4.7"/>
    <n v="5.0999999999999996"/>
    <n v="4.0999999999999996"/>
    <s v="No"/>
    <n v="6.2"/>
    <n v="7"/>
    <n v="5.0999999999999996"/>
    <n v="4.5"/>
    <n v="5.0999999999999996"/>
    <n v="5.9"/>
    <n v="5.6"/>
    <x v="1"/>
    <s v="No"/>
    <x v="1"/>
    <x v="2"/>
    <x v="1"/>
    <x v="0"/>
  </r>
  <r>
    <x v="581"/>
    <x v="6"/>
    <s v="Male"/>
    <x v="1"/>
    <x v="0"/>
    <s v="Low"/>
    <s v="Married"/>
    <s v="With Family"/>
    <x v="2"/>
    <x v="0"/>
    <x v="0"/>
    <n v="1.75"/>
    <n v="6.07"/>
    <n v="2.83"/>
    <n v="8.56"/>
    <n v="6"/>
    <n v="3.6"/>
    <n v="6.2"/>
    <n v="6.7"/>
    <s v="No"/>
    <n v="7.2"/>
    <n v="3.2"/>
    <n v="3.8"/>
    <n v="5.0999999999999996"/>
    <n v="1.6"/>
    <n v="4.9000000000000004"/>
    <n v="5"/>
    <x v="2"/>
    <s v="No"/>
    <x v="0"/>
    <x v="2"/>
    <x v="1"/>
    <x v="0"/>
  </r>
  <r>
    <x v="582"/>
    <x v="16"/>
    <s v="Male"/>
    <x v="4"/>
    <x v="0"/>
    <s v="Upper-Middle"/>
    <s v="Single"/>
    <s v="With Roommates"/>
    <x v="2"/>
    <x v="1"/>
    <x v="2"/>
    <n v="2.46"/>
    <n v="2.83"/>
    <n v="2.56"/>
    <n v="7.25"/>
    <n v="6"/>
    <n v="7"/>
    <n v="6.2"/>
    <n v="5.7"/>
    <s v="No"/>
    <n v="8.4"/>
    <n v="3.9"/>
    <n v="3.5"/>
    <n v="6.2"/>
    <n v="4.5"/>
    <n v="6"/>
    <n v="5.0999999999999996"/>
    <x v="1"/>
    <s v="No"/>
    <x v="1"/>
    <x v="2"/>
    <x v="1"/>
    <x v="2"/>
  </r>
  <r>
    <x v="583"/>
    <x v="9"/>
    <s v="Female"/>
    <x v="3"/>
    <x v="2"/>
    <s v="Lower-Middle"/>
    <s v="Single"/>
    <s v="With Family"/>
    <x v="4"/>
    <x v="0"/>
    <x v="0"/>
    <n v="1.61"/>
    <n v="2.6"/>
    <n v="2.5099999999999998"/>
    <n v="4.78"/>
    <n v="5"/>
    <n v="4.5999999999999996"/>
    <n v="6.4"/>
    <n v="6.3"/>
    <s v="No"/>
    <n v="6.1"/>
    <n v="6.5"/>
    <n v="4.3"/>
    <n v="7"/>
    <n v="2.6"/>
    <n v="6.7"/>
    <n v="5.3"/>
    <x v="0"/>
    <s v="Yes"/>
    <x v="0"/>
    <x v="2"/>
    <x v="1"/>
    <x v="0"/>
  </r>
  <r>
    <x v="584"/>
    <x v="26"/>
    <s v="Non-binary"/>
    <x v="0"/>
    <x v="0"/>
    <s v="Lower-Middle"/>
    <s v="Married"/>
    <s v="With Family"/>
    <x v="3"/>
    <x v="1"/>
    <x v="1"/>
    <n v="2.57"/>
    <n v="3.72"/>
    <n v="3.54"/>
    <n v="6.4"/>
    <n v="2"/>
    <n v="7"/>
    <n v="4.3"/>
    <n v="6.6"/>
    <s v="No"/>
    <n v="7.5"/>
    <n v="6.4"/>
    <n v="0.9"/>
    <n v="3.8"/>
    <n v="4.5999999999999996"/>
    <n v="6.4"/>
    <n v="5.0999999999999996"/>
    <x v="1"/>
    <s v="No"/>
    <x v="1"/>
    <x v="0"/>
    <x v="2"/>
    <x v="2"/>
  </r>
  <r>
    <x v="585"/>
    <x v="15"/>
    <s v="Female"/>
    <x v="2"/>
    <x v="0"/>
    <s v="Upper-Middle"/>
    <s v="Single"/>
    <s v="With Family"/>
    <x v="1"/>
    <x v="0"/>
    <x v="3"/>
    <n v="2.36"/>
    <n v="4.7699999999999996"/>
    <n v="1.95"/>
    <n v="4.87"/>
    <n v="2"/>
    <n v="4.8"/>
    <n v="1.2"/>
    <n v="5.2"/>
    <s v="No"/>
    <n v="7.5"/>
    <n v="6.7"/>
    <n v="4.4000000000000004"/>
    <n v="5"/>
    <n v="6.3"/>
    <n v="7.1"/>
    <n v="5.9"/>
    <x v="1"/>
    <s v="Yes"/>
    <x v="1"/>
    <x v="1"/>
    <x v="1"/>
    <x v="0"/>
  </r>
  <r>
    <x v="586"/>
    <x v="6"/>
    <s v="Female"/>
    <x v="1"/>
    <x v="2"/>
    <s v="High"/>
    <s v="In a Relationship"/>
    <s v="With Partner"/>
    <x v="0"/>
    <x v="3"/>
    <x v="0"/>
    <n v="0.89"/>
    <n v="4.42"/>
    <n v="3.39"/>
    <n v="5.9"/>
    <n v="6"/>
    <n v="5.6"/>
    <n v="5.5"/>
    <n v="3.4"/>
    <s v="Yes"/>
    <n v="7.3"/>
    <n v="7.9"/>
    <n v="3.8"/>
    <n v="4.5999999999999996"/>
    <n v="4.5"/>
    <n v="5.5"/>
    <n v="7.5"/>
    <x v="1"/>
    <s v="No"/>
    <x v="1"/>
    <x v="2"/>
    <x v="0"/>
    <x v="0"/>
  </r>
  <r>
    <x v="587"/>
    <x v="19"/>
    <s v="Female"/>
    <x v="2"/>
    <x v="1"/>
    <s v="Upper-Middle"/>
    <s v="Married"/>
    <s v="With Roommates"/>
    <x v="1"/>
    <x v="0"/>
    <x v="1"/>
    <n v="2.64"/>
    <n v="1.77"/>
    <n v="0.33"/>
    <n v="6.23"/>
    <n v="3"/>
    <n v="5.5"/>
    <n v="4.4000000000000004"/>
    <n v="7.1"/>
    <s v="No"/>
    <n v="8"/>
    <n v="7.5"/>
    <n v="4.2"/>
    <n v="5.4"/>
    <n v="3.3"/>
    <n v="6.4"/>
    <n v="5.9"/>
    <x v="1"/>
    <s v="No"/>
    <x v="1"/>
    <x v="3"/>
    <x v="2"/>
    <x v="0"/>
  </r>
  <r>
    <x v="588"/>
    <x v="7"/>
    <s v="Female"/>
    <x v="0"/>
    <x v="2"/>
    <s v="Upper-Middle"/>
    <s v="In a Relationship"/>
    <s v="With Roommates"/>
    <x v="1"/>
    <x v="0"/>
    <x v="0"/>
    <n v="0"/>
    <n v="5.33"/>
    <n v="0"/>
    <n v="1"/>
    <n v="8"/>
    <n v="1.5"/>
    <n v="1"/>
    <n v="10"/>
    <s v="No"/>
    <n v="8"/>
    <n v="10"/>
    <n v="5.3"/>
    <n v="2.8"/>
    <n v="1"/>
    <n v="2"/>
    <n v="9.8000000000000007"/>
    <x v="1"/>
    <s v="No"/>
    <x v="0"/>
    <x v="2"/>
    <x v="0"/>
    <x v="1"/>
  </r>
  <r>
    <x v="589"/>
    <x v="7"/>
    <s v="Male"/>
    <x v="0"/>
    <x v="1"/>
    <s v="Upper-Middle"/>
    <s v="In a Relationship"/>
    <s v="Alone"/>
    <x v="3"/>
    <x v="0"/>
    <x v="1"/>
    <n v="6.52"/>
    <n v="2.2599999999999998"/>
    <n v="2.81"/>
    <n v="12.75"/>
    <n v="0"/>
    <n v="10"/>
    <n v="9.3000000000000007"/>
    <n v="1.2"/>
    <s v="No"/>
    <n v="5.3"/>
    <n v="1"/>
    <n v="0.5"/>
    <n v="10"/>
    <n v="8.1999999999999993"/>
    <n v="9.3000000000000007"/>
    <n v="3.9"/>
    <x v="2"/>
    <s v="No"/>
    <x v="2"/>
    <x v="2"/>
    <x v="3"/>
    <x v="2"/>
  </r>
  <r>
    <x v="590"/>
    <x v="19"/>
    <s v="Male"/>
    <x v="1"/>
    <x v="0"/>
    <s v="High"/>
    <s v="Single"/>
    <s v="With Family"/>
    <x v="3"/>
    <x v="2"/>
    <x v="3"/>
    <n v="2.21"/>
    <n v="3.53"/>
    <n v="2.06"/>
    <n v="6.46"/>
    <n v="5"/>
    <n v="8.5"/>
    <n v="6.4"/>
    <n v="2.6"/>
    <s v="Yes"/>
    <n v="6.6"/>
    <n v="7.3"/>
    <n v="3.7"/>
    <n v="6.7"/>
    <n v="5.4"/>
    <n v="7.1"/>
    <n v="3.6"/>
    <x v="1"/>
    <s v="No"/>
    <x v="2"/>
    <x v="3"/>
    <x v="1"/>
    <x v="2"/>
  </r>
  <r>
    <x v="591"/>
    <x v="3"/>
    <s v="Male"/>
    <x v="4"/>
    <x v="3"/>
    <s v="Lower-Middle"/>
    <s v="Single"/>
    <s v="With Family"/>
    <x v="3"/>
    <x v="4"/>
    <x v="2"/>
    <n v="0.79"/>
    <n v="3.84"/>
    <n v="3.38"/>
    <n v="6.65"/>
    <n v="6"/>
    <n v="1.4"/>
    <n v="3"/>
    <n v="8.3000000000000007"/>
    <s v="No"/>
    <n v="6.9"/>
    <n v="7.5"/>
    <n v="7.6"/>
    <n v="4"/>
    <n v="2.1"/>
    <n v="4"/>
    <n v="8.1"/>
    <x v="0"/>
    <s v="No"/>
    <x v="0"/>
    <x v="1"/>
    <x v="0"/>
    <x v="1"/>
  </r>
  <r>
    <x v="592"/>
    <x v="14"/>
    <s v="Male"/>
    <x v="0"/>
    <x v="1"/>
    <s v="Low"/>
    <s v="Married"/>
    <s v="With Family"/>
    <x v="4"/>
    <x v="0"/>
    <x v="0"/>
    <n v="2.36"/>
    <n v="4.99"/>
    <n v="2.71"/>
    <n v="7.53"/>
    <n v="4"/>
    <n v="5.3"/>
    <n v="5.7"/>
    <n v="4.0999999999999996"/>
    <s v="No"/>
    <n v="7.3"/>
    <n v="6.1"/>
    <n v="1.2"/>
    <n v="6.2"/>
    <n v="4.9000000000000004"/>
    <n v="4.7"/>
    <n v="5.9"/>
    <x v="1"/>
    <s v="No"/>
    <x v="2"/>
    <x v="3"/>
    <x v="1"/>
    <x v="0"/>
  </r>
  <r>
    <x v="593"/>
    <x v="16"/>
    <s v="Female"/>
    <x v="1"/>
    <x v="1"/>
    <s v="Lower-Middle"/>
    <s v="In a Relationship"/>
    <s v="With Family"/>
    <x v="3"/>
    <x v="3"/>
    <x v="4"/>
    <n v="0"/>
    <n v="6.45"/>
    <n v="0.43"/>
    <n v="3.02"/>
    <n v="9"/>
    <n v="3"/>
    <n v="1"/>
    <n v="6.7"/>
    <s v="No"/>
    <n v="7.6"/>
    <n v="10"/>
    <n v="6.5"/>
    <n v="3.3"/>
    <n v="2.1"/>
    <n v="1.7"/>
    <n v="8.5"/>
    <x v="0"/>
    <s v="No"/>
    <x v="0"/>
    <x v="2"/>
    <x v="0"/>
    <x v="1"/>
  </r>
  <r>
    <x v="594"/>
    <x v="13"/>
    <s v="Female"/>
    <x v="1"/>
    <x v="1"/>
    <s v="Low"/>
    <s v="In a Relationship"/>
    <s v="With Roommates"/>
    <x v="1"/>
    <x v="1"/>
    <x v="2"/>
    <n v="0.92"/>
    <n v="4.25"/>
    <n v="2.79"/>
    <n v="5.29"/>
    <n v="6"/>
    <n v="2.8"/>
    <n v="2.4"/>
    <n v="7"/>
    <s v="No"/>
    <n v="9"/>
    <n v="4.9000000000000004"/>
    <n v="6.4"/>
    <n v="3.2"/>
    <n v="1.9"/>
    <n v="4.2"/>
    <n v="7"/>
    <x v="1"/>
    <s v="No"/>
    <x v="0"/>
    <x v="2"/>
    <x v="0"/>
    <x v="1"/>
  </r>
  <r>
    <x v="595"/>
    <x v="24"/>
    <s v="Male"/>
    <x v="0"/>
    <x v="3"/>
    <s v="Upper-Middle"/>
    <s v="Single"/>
    <s v="Alone"/>
    <x v="2"/>
    <x v="2"/>
    <x v="1"/>
    <n v="0.73"/>
    <n v="6.51"/>
    <n v="1.94"/>
    <n v="2.33"/>
    <n v="7"/>
    <n v="1"/>
    <n v="1.7"/>
    <n v="9.1999999999999993"/>
    <s v="No"/>
    <n v="7.6"/>
    <n v="8.9"/>
    <n v="3.9"/>
    <n v="1"/>
    <n v="1"/>
    <n v="1"/>
    <n v="7.8"/>
    <x v="0"/>
    <s v="No"/>
    <x v="0"/>
    <x v="1"/>
    <x v="0"/>
    <x v="1"/>
  </r>
  <r>
    <x v="596"/>
    <x v="20"/>
    <s v="Male"/>
    <x v="0"/>
    <x v="2"/>
    <s v="Upper-Middle"/>
    <s v="Single"/>
    <s v="With Family"/>
    <x v="3"/>
    <x v="0"/>
    <x v="4"/>
    <n v="1.18"/>
    <n v="6.06"/>
    <n v="1.23"/>
    <n v="3.82"/>
    <n v="3"/>
    <n v="4"/>
    <n v="4.5"/>
    <n v="6"/>
    <s v="No"/>
    <n v="5.8"/>
    <n v="7.8"/>
    <n v="3.8"/>
    <n v="3"/>
    <n v="3.3"/>
    <n v="4.5"/>
    <n v="6.5"/>
    <x v="1"/>
    <s v="No"/>
    <x v="1"/>
    <x v="2"/>
    <x v="1"/>
    <x v="0"/>
  </r>
  <r>
    <x v="597"/>
    <x v="5"/>
    <s v="Female"/>
    <x v="0"/>
    <x v="0"/>
    <s v="Lower-Middle"/>
    <s v="Divorced/Separated"/>
    <s v="With Family"/>
    <x v="1"/>
    <x v="3"/>
    <x v="2"/>
    <n v="0"/>
    <n v="4.6900000000000004"/>
    <n v="3.42"/>
    <n v="4.53"/>
    <n v="5"/>
    <n v="1.4"/>
    <n v="2"/>
    <n v="9.6999999999999993"/>
    <s v="No"/>
    <n v="9.1"/>
    <n v="8.6"/>
    <n v="6.3"/>
    <n v="1.1000000000000001"/>
    <n v="1"/>
    <n v="1.1000000000000001"/>
    <n v="6.8"/>
    <x v="0"/>
    <s v="No"/>
    <x v="0"/>
    <x v="0"/>
    <x v="0"/>
    <x v="1"/>
  </r>
  <r>
    <x v="598"/>
    <x v="29"/>
    <s v="Male"/>
    <x v="4"/>
    <x v="2"/>
    <s v="Low"/>
    <s v="Single"/>
    <s v="With Family"/>
    <x v="2"/>
    <x v="0"/>
    <x v="3"/>
    <n v="1.08"/>
    <n v="4.13"/>
    <n v="3.16"/>
    <n v="6.56"/>
    <n v="3"/>
    <n v="1"/>
    <n v="5"/>
    <n v="4.2"/>
    <s v="No"/>
    <n v="6.1"/>
    <n v="6.9"/>
    <n v="6.5"/>
    <n v="5.2"/>
    <n v="3.8"/>
    <n v="5"/>
    <n v="7.4"/>
    <x v="1"/>
    <s v="Yes"/>
    <x v="1"/>
    <x v="1"/>
    <x v="1"/>
    <x v="1"/>
  </r>
  <r>
    <x v="599"/>
    <x v="6"/>
    <s v="Female"/>
    <x v="1"/>
    <x v="1"/>
    <s v="Upper-Middle"/>
    <s v="In a Relationship"/>
    <s v="Alone"/>
    <x v="0"/>
    <x v="1"/>
    <x v="3"/>
    <n v="3.64"/>
    <n v="5.24"/>
    <n v="3.58"/>
    <n v="9.44"/>
    <n v="1"/>
    <n v="5.2"/>
    <n v="7"/>
    <n v="4.7"/>
    <s v="Yes"/>
    <n v="5.4"/>
    <n v="6.1"/>
    <n v="6.4"/>
    <n v="5.7"/>
    <n v="6.1"/>
    <n v="5.2"/>
    <n v="6.8"/>
    <x v="1"/>
    <s v="Yes"/>
    <x v="2"/>
    <x v="2"/>
    <x v="2"/>
    <x v="0"/>
  </r>
  <r>
    <x v="600"/>
    <x v="19"/>
    <s v="Female"/>
    <x v="3"/>
    <x v="1"/>
    <s v="Lower-Middle"/>
    <s v="Single"/>
    <s v="With Partner"/>
    <x v="2"/>
    <x v="2"/>
    <x v="1"/>
    <n v="0.04"/>
    <n v="5.56"/>
    <n v="2.17"/>
    <n v="3.94"/>
    <n v="5"/>
    <n v="1"/>
    <n v="2.5"/>
    <n v="7"/>
    <s v="No"/>
    <n v="7.9"/>
    <n v="8.1999999999999993"/>
    <n v="3.1"/>
    <n v="3.4"/>
    <n v="1"/>
    <n v="4.5"/>
    <n v="7.2"/>
    <x v="1"/>
    <s v="No"/>
    <x v="0"/>
    <x v="3"/>
    <x v="0"/>
    <x v="1"/>
  </r>
  <r>
    <x v="601"/>
    <x v="24"/>
    <s v="Female"/>
    <x v="1"/>
    <x v="2"/>
    <s v="Upper-Middle"/>
    <s v="In a Relationship"/>
    <s v="With Roommates"/>
    <x v="2"/>
    <x v="1"/>
    <x v="1"/>
    <n v="2.67"/>
    <n v="3.07"/>
    <n v="3.16"/>
    <n v="9.58"/>
    <n v="5"/>
    <n v="6.7"/>
    <n v="4"/>
    <n v="5.4"/>
    <s v="No"/>
    <n v="8.1"/>
    <n v="6.9"/>
    <n v="3.4"/>
    <n v="5.4"/>
    <n v="2.1"/>
    <n v="5.8"/>
    <n v="7"/>
    <x v="1"/>
    <s v="No"/>
    <x v="1"/>
    <x v="1"/>
    <x v="2"/>
    <x v="2"/>
  </r>
  <r>
    <x v="602"/>
    <x v="2"/>
    <s v="Female"/>
    <x v="4"/>
    <x v="0"/>
    <s v="Lower-Middle"/>
    <s v="Married"/>
    <s v="With Roommates"/>
    <x v="3"/>
    <x v="0"/>
    <x v="3"/>
    <n v="0"/>
    <n v="5.21"/>
    <n v="1"/>
    <n v="2.36"/>
    <n v="7"/>
    <n v="4.2"/>
    <n v="3.5"/>
    <n v="8.1"/>
    <s v="No"/>
    <n v="8.3000000000000007"/>
    <n v="9.6"/>
    <n v="5.4"/>
    <n v="2.7"/>
    <n v="6"/>
    <n v="3.6"/>
    <n v="7.3"/>
    <x v="1"/>
    <s v="No"/>
    <x v="0"/>
    <x v="2"/>
    <x v="0"/>
    <x v="0"/>
  </r>
  <r>
    <x v="603"/>
    <x v="0"/>
    <s v="Female"/>
    <x v="3"/>
    <x v="2"/>
    <s v="Lower-Middle"/>
    <s v="In a Relationship"/>
    <s v="Alone"/>
    <x v="4"/>
    <x v="0"/>
    <x v="1"/>
    <n v="3.1"/>
    <n v="4.8099999999999996"/>
    <n v="5.12"/>
    <n v="8"/>
    <n v="3"/>
    <n v="6.5"/>
    <n v="4.5"/>
    <n v="6.4"/>
    <s v="No"/>
    <n v="6.1"/>
    <n v="6.3"/>
    <n v="4.2"/>
    <n v="5.9"/>
    <n v="4.3"/>
    <n v="5.4"/>
    <n v="5"/>
    <x v="1"/>
    <s v="No"/>
    <x v="2"/>
    <x v="0"/>
    <x v="2"/>
    <x v="2"/>
  </r>
  <r>
    <x v="604"/>
    <x v="25"/>
    <s v="Male"/>
    <x v="0"/>
    <x v="3"/>
    <s v="Low"/>
    <s v="Single"/>
    <s v="With Family"/>
    <x v="3"/>
    <x v="3"/>
    <x v="4"/>
    <n v="1.25"/>
    <n v="3.74"/>
    <n v="1.53"/>
    <n v="4.9000000000000004"/>
    <n v="9"/>
    <n v="3.6"/>
    <n v="2.9"/>
    <n v="7.8"/>
    <s v="No"/>
    <n v="7.6"/>
    <n v="8.9"/>
    <n v="5.0999999999999996"/>
    <n v="4.0999999999999996"/>
    <n v="4.3"/>
    <n v="5.0999999999999996"/>
    <n v="6.5"/>
    <x v="1"/>
    <s v="No"/>
    <x v="0"/>
    <x v="3"/>
    <x v="1"/>
    <x v="0"/>
  </r>
  <r>
    <x v="605"/>
    <x v="13"/>
    <s v="Female"/>
    <x v="0"/>
    <x v="2"/>
    <s v="Low"/>
    <s v="In a Relationship"/>
    <s v="With Family"/>
    <x v="2"/>
    <x v="3"/>
    <x v="0"/>
    <n v="2.34"/>
    <n v="3.1"/>
    <n v="4.25"/>
    <n v="9.7799999999999994"/>
    <n v="5"/>
    <n v="7.4"/>
    <n v="6.6"/>
    <n v="5.2"/>
    <s v="No"/>
    <n v="6.2"/>
    <n v="4"/>
    <n v="1.6"/>
    <n v="5.0999999999999996"/>
    <n v="5.6"/>
    <n v="7.4"/>
    <n v="5.5"/>
    <x v="1"/>
    <s v="No"/>
    <x v="2"/>
    <x v="2"/>
    <x v="1"/>
    <x v="2"/>
  </r>
  <r>
    <x v="606"/>
    <x v="2"/>
    <s v="Female"/>
    <x v="1"/>
    <x v="2"/>
    <s v="Upper-Middle"/>
    <s v="Married"/>
    <s v="With Partner"/>
    <x v="3"/>
    <x v="0"/>
    <x v="1"/>
    <n v="0"/>
    <n v="5.75"/>
    <n v="0.21"/>
    <n v="2.5"/>
    <n v="7"/>
    <n v="1"/>
    <n v="1"/>
    <n v="9.6"/>
    <s v="No"/>
    <n v="9.8000000000000007"/>
    <n v="10"/>
    <n v="4.7"/>
    <n v="2"/>
    <n v="1"/>
    <n v="1.8"/>
    <n v="8.6999999999999993"/>
    <x v="1"/>
    <s v="No"/>
    <x v="0"/>
    <x v="2"/>
    <x v="0"/>
    <x v="1"/>
  </r>
  <r>
    <x v="607"/>
    <x v="9"/>
    <s v="Male"/>
    <x v="0"/>
    <x v="2"/>
    <s v="High"/>
    <s v="Single"/>
    <s v="With Roommates"/>
    <x v="4"/>
    <x v="2"/>
    <x v="2"/>
    <n v="0"/>
    <n v="4.47"/>
    <n v="0.84"/>
    <n v="2.4900000000000002"/>
    <n v="7"/>
    <n v="4.3"/>
    <n v="3.3"/>
    <n v="8.6"/>
    <s v="No"/>
    <n v="7.3"/>
    <n v="8.9"/>
    <n v="2.9"/>
    <n v="1.8"/>
    <n v="2.7"/>
    <n v="4.9000000000000004"/>
    <n v="8.9"/>
    <x v="0"/>
    <s v="No"/>
    <x v="0"/>
    <x v="2"/>
    <x v="0"/>
    <x v="0"/>
  </r>
  <r>
    <x v="608"/>
    <x v="12"/>
    <s v="Female"/>
    <x v="3"/>
    <x v="2"/>
    <s v="Upper-Middle"/>
    <s v="Married"/>
    <s v="With Family"/>
    <x v="2"/>
    <x v="0"/>
    <x v="1"/>
    <n v="0"/>
    <n v="5.46"/>
    <n v="3.29"/>
    <n v="5.53"/>
    <n v="5"/>
    <n v="2.7"/>
    <n v="2.5"/>
    <n v="9.6"/>
    <s v="No"/>
    <n v="7.9"/>
    <n v="9.8000000000000007"/>
    <n v="2.2999999999999998"/>
    <n v="4"/>
    <n v="1.8"/>
    <n v="2.9"/>
    <n v="8.1"/>
    <x v="1"/>
    <s v="No"/>
    <x v="0"/>
    <x v="3"/>
    <x v="0"/>
    <x v="1"/>
  </r>
  <r>
    <x v="609"/>
    <x v="15"/>
    <s v="Female"/>
    <x v="0"/>
    <x v="1"/>
    <s v="Low"/>
    <s v="In a Relationship"/>
    <s v="Alone"/>
    <x v="2"/>
    <x v="0"/>
    <x v="1"/>
    <n v="2.62"/>
    <n v="3.68"/>
    <n v="2.59"/>
    <n v="9.0500000000000007"/>
    <n v="4"/>
    <n v="6.5"/>
    <n v="5.5"/>
    <n v="8"/>
    <s v="No"/>
    <n v="7"/>
    <n v="4.7"/>
    <n v="1.4"/>
    <n v="5.0999999999999996"/>
    <n v="4.2"/>
    <n v="5.6"/>
    <n v="5.6"/>
    <x v="1"/>
    <s v="No"/>
    <x v="0"/>
    <x v="1"/>
    <x v="2"/>
    <x v="2"/>
  </r>
  <r>
    <x v="610"/>
    <x v="7"/>
    <s v="Female"/>
    <x v="1"/>
    <x v="1"/>
    <s v="Lower-Middle"/>
    <s v="Married"/>
    <s v="Alone"/>
    <x v="3"/>
    <x v="2"/>
    <x v="1"/>
    <n v="2.35"/>
    <n v="4.03"/>
    <n v="3.02"/>
    <n v="6.5"/>
    <n v="3"/>
    <n v="7.3"/>
    <n v="5.9"/>
    <n v="6.5"/>
    <s v="No"/>
    <n v="5.6"/>
    <n v="6.8"/>
    <n v="5.0999999999999996"/>
    <n v="5.7"/>
    <n v="5.0999999999999996"/>
    <n v="5.3"/>
    <n v="3.2"/>
    <x v="2"/>
    <s v="No"/>
    <x v="2"/>
    <x v="2"/>
    <x v="1"/>
    <x v="2"/>
  </r>
  <r>
    <x v="611"/>
    <x v="24"/>
    <s v="Female"/>
    <x v="0"/>
    <x v="1"/>
    <s v="Upper-Middle"/>
    <s v="In a Relationship"/>
    <s v="With Roommates"/>
    <x v="1"/>
    <x v="0"/>
    <x v="1"/>
    <n v="0.97"/>
    <n v="4.83"/>
    <n v="3.06"/>
    <n v="6.07"/>
    <n v="2"/>
    <n v="6.3"/>
    <n v="7.4"/>
    <n v="5.4"/>
    <s v="No"/>
    <n v="6.6"/>
    <n v="4.9000000000000004"/>
    <n v="4.7"/>
    <n v="2.9"/>
    <n v="5.0999999999999996"/>
    <n v="5"/>
    <n v="5.5"/>
    <x v="0"/>
    <s v="No"/>
    <x v="0"/>
    <x v="1"/>
    <x v="0"/>
    <x v="2"/>
  </r>
  <r>
    <x v="612"/>
    <x v="8"/>
    <s v="Female"/>
    <x v="3"/>
    <x v="2"/>
    <s v="Upper-Middle"/>
    <s v="Single"/>
    <s v="With Partner"/>
    <x v="2"/>
    <x v="0"/>
    <x v="1"/>
    <n v="0.64"/>
    <n v="3.29"/>
    <n v="4.59"/>
    <n v="7.9"/>
    <n v="6"/>
    <n v="4.3"/>
    <n v="5"/>
    <n v="8.5"/>
    <s v="Yes"/>
    <n v="7.2"/>
    <n v="10"/>
    <n v="5.4"/>
    <n v="4.3"/>
    <n v="2.1"/>
    <n v="3.4"/>
    <n v="5.6"/>
    <x v="1"/>
    <s v="No"/>
    <x v="0"/>
    <x v="1"/>
    <x v="0"/>
    <x v="0"/>
  </r>
  <r>
    <x v="613"/>
    <x v="25"/>
    <s v="Female"/>
    <x v="1"/>
    <x v="2"/>
    <s v="Low"/>
    <s v="Single"/>
    <s v="Alone"/>
    <x v="2"/>
    <x v="1"/>
    <x v="1"/>
    <n v="0"/>
    <n v="7.14"/>
    <n v="1.87"/>
    <n v="4.13"/>
    <n v="8"/>
    <n v="1"/>
    <n v="1"/>
    <n v="10"/>
    <s v="No"/>
    <n v="10"/>
    <n v="10"/>
    <n v="7"/>
    <n v="1"/>
    <n v="1"/>
    <n v="1.1000000000000001"/>
    <n v="10"/>
    <x v="0"/>
    <s v="No"/>
    <x v="0"/>
    <x v="3"/>
    <x v="0"/>
    <x v="1"/>
  </r>
  <r>
    <x v="614"/>
    <x v="13"/>
    <s v="Female"/>
    <x v="1"/>
    <x v="0"/>
    <s v="Low"/>
    <s v="Single"/>
    <s v="Alone"/>
    <x v="3"/>
    <x v="4"/>
    <x v="1"/>
    <n v="0"/>
    <n v="3.9"/>
    <n v="3.82"/>
    <n v="5.57"/>
    <n v="4"/>
    <n v="5"/>
    <n v="5.5"/>
    <n v="5.0999999999999996"/>
    <s v="No"/>
    <n v="7.1"/>
    <n v="5"/>
    <n v="3.9"/>
    <n v="4.8"/>
    <n v="2.9"/>
    <n v="5.5"/>
    <n v="8.3000000000000007"/>
    <x v="2"/>
    <s v="No"/>
    <x v="0"/>
    <x v="2"/>
    <x v="0"/>
    <x v="0"/>
  </r>
  <r>
    <x v="615"/>
    <x v="20"/>
    <s v="Female"/>
    <x v="0"/>
    <x v="1"/>
    <s v="Upper-Middle"/>
    <s v="Married"/>
    <s v="With Family"/>
    <x v="4"/>
    <x v="0"/>
    <x v="4"/>
    <n v="2.37"/>
    <n v="3.34"/>
    <n v="6.14"/>
    <n v="10.08"/>
    <n v="3"/>
    <n v="7.3"/>
    <n v="5.7"/>
    <n v="5.2"/>
    <s v="No"/>
    <n v="6.1"/>
    <n v="4.7"/>
    <n v="2.7"/>
    <n v="6"/>
    <n v="4.2"/>
    <n v="5.0999999999999996"/>
    <n v="2.8"/>
    <x v="2"/>
    <s v="No"/>
    <x v="1"/>
    <x v="2"/>
    <x v="1"/>
    <x v="2"/>
  </r>
  <r>
    <x v="616"/>
    <x v="2"/>
    <s v="Female"/>
    <x v="3"/>
    <x v="2"/>
    <s v="Lower-Middle"/>
    <s v="Married"/>
    <s v="With Family"/>
    <x v="4"/>
    <x v="2"/>
    <x v="1"/>
    <n v="5.56"/>
    <n v="1.04"/>
    <n v="4.24"/>
    <n v="11.51"/>
    <n v="0"/>
    <n v="10"/>
    <n v="10"/>
    <n v="1"/>
    <s v="No"/>
    <n v="5"/>
    <n v="2.9"/>
    <n v="0"/>
    <n v="10"/>
    <n v="10"/>
    <n v="10"/>
    <n v="1"/>
    <x v="2"/>
    <s v="No"/>
    <x v="2"/>
    <x v="2"/>
    <x v="3"/>
    <x v="2"/>
  </r>
  <r>
    <x v="617"/>
    <x v="28"/>
    <s v="Female"/>
    <x v="1"/>
    <x v="2"/>
    <s v="Lower-Middle"/>
    <s v="In a Relationship"/>
    <s v="With Family"/>
    <x v="3"/>
    <x v="4"/>
    <x v="4"/>
    <n v="0.84"/>
    <n v="3.49"/>
    <n v="2.73"/>
    <n v="6.1"/>
    <n v="7"/>
    <n v="3.5"/>
    <n v="4.2"/>
    <n v="7.6"/>
    <s v="No"/>
    <n v="7.2"/>
    <n v="7.7"/>
    <n v="5.5"/>
    <n v="4.5999999999999996"/>
    <n v="2"/>
    <n v="6.4"/>
    <n v="6"/>
    <x v="2"/>
    <s v="Yes"/>
    <x v="0"/>
    <x v="1"/>
    <x v="0"/>
    <x v="0"/>
  </r>
  <r>
    <x v="618"/>
    <x v="18"/>
    <s v="Female"/>
    <x v="1"/>
    <x v="2"/>
    <s v="Low"/>
    <s v="Single"/>
    <s v="With Family"/>
    <x v="0"/>
    <x v="0"/>
    <x v="4"/>
    <n v="0.84"/>
    <n v="6.19"/>
    <n v="1.91"/>
    <n v="5.22"/>
    <n v="5"/>
    <n v="4.3"/>
    <n v="4.2"/>
    <n v="9.6"/>
    <s v="No"/>
    <n v="7.4"/>
    <n v="9.6999999999999993"/>
    <n v="6.1"/>
    <n v="3.8"/>
    <n v="3.8"/>
    <n v="3.1"/>
    <n v="6"/>
    <x v="1"/>
    <s v="No"/>
    <x v="0"/>
    <x v="2"/>
    <x v="0"/>
    <x v="0"/>
  </r>
  <r>
    <x v="619"/>
    <x v="25"/>
    <s v="Male"/>
    <x v="1"/>
    <x v="3"/>
    <s v="Lower-Middle"/>
    <s v="Single"/>
    <s v="With Roommates"/>
    <x v="1"/>
    <x v="3"/>
    <x v="0"/>
    <n v="2.2999999999999998"/>
    <n v="5.53"/>
    <n v="1.05"/>
    <n v="7.45"/>
    <n v="3"/>
    <n v="6"/>
    <n v="6.3"/>
    <n v="6.4"/>
    <s v="Yes"/>
    <n v="7.6"/>
    <n v="5.6"/>
    <n v="1.9"/>
    <n v="6.7"/>
    <n v="4.2"/>
    <n v="4.7"/>
    <n v="4.4000000000000004"/>
    <x v="1"/>
    <s v="Yes"/>
    <x v="1"/>
    <x v="3"/>
    <x v="1"/>
    <x v="0"/>
  </r>
  <r>
    <x v="620"/>
    <x v="3"/>
    <s v="Female"/>
    <x v="1"/>
    <x v="0"/>
    <s v="Upper-Middle"/>
    <s v="Married"/>
    <s v="With Roommates"/>
    <x v="1"/>
    <x v="1"/>
    <x v="3"/>
    <n v="0.89"/>
    <n v="4.83"/>
    <n v="2.71"/>
    <n v="4.0599999999999996"/>
    <n v="2"/>
    <n v="5.9"/>
    <n v="4.5999999999999996"/>
    <n v="8.1"/>
    <s v="No"/>
    <n v="8.1"/>
    <n v="6.4"/>
    <n v="2.6"/>
    <n v="3.1"/>
    <n v="4.0999999999999996"/>
    <n v="4.5999999999999996"/>
    <n v="8.3000000000000007"/>
    <x v="1"/>
    <s v="No"/>
    <x v="0"/>
    <x v="1"/>
    <x v="0"/>
    <x v="0"/>
  </r>
  <r>
    <x v="621"/>
    <x v="21"/>
    <s v="Female"/>
    <x v="0"/>
    <x v="1"/>
    <s v="High"/>
    <s v="In a Relationship"/>
    <s v="With Family"/>
    <x v="3"/>
    <x v="1"/>
    <x v="3"/>
    <n v="3.74"/>
    <n v="3.2"/>
    <n v="3.28"/>
    <n v="10.79"/>
    <n v="4"/>
    <n v="5.6"/>
    <n v="10"/>
    <n v="3"/>
    <s v="No"/>
    <n v="5.2"/>
    <n v="3.3"/>
    <n v="3"/>
    <n v="6.3"/>
    <n v="6.7"/>
    <n v="8.8000000000000007"/>
    <n v="5.7"/>
    <x v="2"/>
    <s v="Yes"/>
    <x v="2"/>
    <x v="1"/>
    <x v="2"/>
    <x v="0"/>
  </r>
  <r>
    <x v="622"/>
    <x v="16"/>
    <s v="Male"/>
    <x v="3"/>
    <x v="2"/>
    <s v="Lower-Middle"/>
    <s v="Single"/>
    <s v="With Partner"/>
    <x v="2"/>
    <x v="4"/>
    <x v="1"/>
    <n v="1.62"/>
    <n v="5.0199999999999996"/>
    <n v="3.23"/>
    <n v="6.64"/>
    <n v="7"/>
    <n v="3.3"/>
    <n v="2.4"/>
    <n v="8.1999999999999993"/>
    <s v="No"/>
    <n v="8.5"/>
    <n v="7.3"/>
    <n v="5.5"/>
    <n v="3.4"/>
    <n v="1"/>
    <n v="3.1"/>
    <n v="6.3"/>
    <x v="1"/>
    <s v="No"/>
    <x v="0"/>
    <x v="2"/>
    <x v="1"/>
    <x v="0"/>
  </r>
  <r>
    <x v="623"/>
    <x v="28"/>
    <s v="Female"/>
    <x v="0"/>
    <x v="2"/>
    <s v="Lower-Middle"/>
    <s v="In a Relationship"/>
    <s v="With Family"/>
    <x v="2"/>
    <x v="2"/>
    <x v="0"/>
    <n v="0"/>
    <n v="5.24"/>
    <n v="1.86"/>
    <n v="3.77"/>
    <n v="4"/>
    <n v="3.6"/>
    <n v="5.0999999999999996"/>
    <n v="7.4"/>
    <s v="No"/>
    <n v="7.9"/>
    <n v="5.3"/>
    <n v="5.4"/>
    <n v="4.8"/>
    <n v="3.5"/>
    <n v="6.8"/>
    <n v="7"/>
    <x v="1"/>
    <s v="Yes"/>
    <x v="0"/>
    <x v="1"/>
    <x v="0"/>
    <x v="0"/>
  </r>
  <r>
    <x v="624"/>
    <x v="16"/>
    <s v="Male"/>
    <x v="0"/>
    <x v="0"/>
    <s v="Low"/>
    <s v="Single"/>
    <s v="With Family"/>
    <x v="1"/>
    <x v="0"/>
    <x v="3"/>
    <n v="2.36"/>
    <n v="0.59"/>
    <n v="2.92"/>
    <n v="8.15"/>
    <n v="1"/>
    <n v="6.3"/>
    <n v="7.7"/>
    <n v="3.9"/>
    <s v="No"/>
    <n v="6.3"/>
    <n v="4.0999999999999996"/>
    <n v="5.0999999999999996"/>
    <n v="6.9"/>
    <n v="6.6"/>
    <n v="5.2"/>
    <n v="3.2"/>
    <x v="1"/>
    <s v="No"/>
    <x v="2"/>
    <x v="2"/>
    <x v="1"/>
    <x v="2"/>
  </r>
  <r>
    <x v="625"/>
    <x v="1"/>
    <s v="Male"/>
    <x v="1"/>
    <x v="2"/>
    <s v="Lower-Middle"/>
    <s v="Single"/>
    <s v="With Family"/>
    <x v="2"/>
    <x v="1"/>
    <x v="2"/>
    <n v="3.76"/>
    <n v="3.66"/>
    <n v="4.34"/>
    <n v="10.96"/>
    <n v="6"/>
    <n v="6.4"/>
    <n v="5.8"/>
    <n v="6.3"/>
    <s v="No"/>
    <n v="5.5"/>
    <n v="4.5"/>
    <n v="2"/>
    <n v="3.6"/>
    <n v="3.5"/>
    <n v="5.7"/>
    <n v="4.5999999999999996"/>
    <x v="2"/>
    <s v="No"/>
    <x v="1"/>
    <x v="1"/>
    <x v="2"/>
    <x v="2"/>
  </r>
  <r>
    <x v="626"/>
    <x v="25"/>
    <s v="Female"/>
    <x v="4"/>
    <x v="2"/>
    <s v="Lower-Middle"/>
    <s v="In a Relationship"/>
    <s v="With Family"/>
    <x v="2"/>
    <x v="1"/>
    <x v="1"/>
    <n v="3.15"/>
    <n v="2.15"/>
    <n v="3.6"/>
    <n v="9.9"/>
    <n v="2"/>
    <n v="5.8"/>
    <n v="7.9"/>
    <n v="4.3"/>
    <s v="No"/>
    <n v="6.4"/>
    <n v="5.3"/>
    <n v="2.5"/>
    <n v="5.4"/>
    <n v="9.1999999999999993"/>
    <n v="4.9000000000000004"/>
    <n v="1.3"/>
    <x v="2"/>
    <s v="Yes"/>
    <x v="2"/>
    <x v="3"/>
    <x v="2"/>
    <x v="0"/>
  </r>
  <r>
    <x v="627"/>
    <x v="15"/>
    <s v="Male"/>
    <x v="0"/>
    <x v="0"/>
    <s v="Upper-Middle"/>
    <s v="Single"/>
    <s v="With Family"/>
    <x v="2"/>
    <x v="0"/>
    <x v="0"/>
    <n v="0.9"/>
    <n v="4.63"/>
    <n v="3.23"/>
    <n v="7.51"/>
    <n v="4"/>
    <n v="4.2"/>
    <n v="4"/>
    <n v="7.8"/>
    <s v="No"/>
    <n v="7"/>
    <n v="9.1"/>
    <n v="3"/>
    <n v="3.4"/>
    <n v="4.0999999999999996"/>
    <n v="3.1"/>
    <n v="9.4"/>
    <x v="1"/>
    <s v="No"/>
    <x v="0"/>
    <x v="1"/>
    <x v="0"/>
    <x v="0"/>
  </r>
  <r>
    <x v="628"/>
    <x v="24"/>
    <s v="Female"/>
    <x v="2"/>
    <x v="2"/>
    <s v="Lower-Middle"/>
    <s v="Divorced/Separated"/>
    <s v="Alone"/>
    <x v="3"/>
    <x v="0"/>
    <x v="2"/>
    <n v="2.94"/>
    <n v="3.7"/>
    <n v="4.1900000000000004"/>
    <n v="9.08"/>
    <n v="2"/>
    <n v="7.8"/>
    <n v="6.7"/>
    <n v="2.1"/>
    <s v="Yes"/>
    <n v="6.6"/>
    <n v="4.5"/>
    <n v="1.1000000000000001"/>
    <n v="4.9000000000000004"/>
    <n v="7.6"/>
    <n v="6.9"/>
    <n v="4.9000000000000004"/>
    <x v="2"/>
    <s v="No"/>
    <x v="2"/>
    <x v="1"/>
    <x v="2"/>
    <x v="2"/>
  </r>
  <r>
    <x v="629"/>
    <x v="7"/>
    <s v="Female"/>
    <x v="0"/>
    <x v="3"/>
    <s v="Low"/>
    <s v="Single"/>
    <s v="Alone"/>
    <x v="0"/>
    <x v="0"/>
    <x v="2"/>
    <n v="0.36"/>
    <n v="5.85"/>
    <n v="1.27"/>
    <n v="5.0199999999999996"/>
    <n v="7"/>
    <n v="1"/>
    <n v="1"/>
    <n v="10"/>
    <s v="No"/>
    <n v="8.6999999999999993"/>
    <n v="8.6999999999999993"/>
    <n v="5.4"/>
    <n v="1.5"/>
    <n v="1.6"/>
    <n v="2.5"/>
    <n v="8.4"/>
    <x v="0"/>
    <s v="No"/>
    <x v="0"/>
    <x v="2"/>
    <x v="0"/>
    <x v="1"/>
  </r>
  <r>
    <x v="630"/>
    <x v="7"/>
    <s v="Female"/>
    <x v="1"/>
    <x v="0"/>
    <s v="Low"/>
    <s v="Single"/>
    <s v="With Partner"/>
    <x v="1"/>
    <x v="3"/>
    <x v="4"/>
    <n v="0"/>
    <n v="5.43"/>
    <n v="0.63"/>
    <n v="2"/>
    <n v="6"/>
    <n v="1.6"/>
    <n v="1.5"/>
    <n v="9.8000000000000007"/>
    <s v="No"/>
    <n v="9.3000000000000007"/>
    <n v="10"/>
    <n v="8.1"/>
    <n v="1.2"/>
    <n v="1"/>
    <n v="3.7"/>
    <n v="9.4"/>
    <x v="1"/>
    <s v="Yes"/>
    <x v="0"/>
    <x v="2"/>
    <x v="0"/>
    <x v="1"/>
  </r>
  <r>
    <x v="631"/>
    <x v="24"/>
    <s v="Male"/>
    <x v="0"/>
    <x v="1"/>
    <s v="Lower-Middle"/>
    <s v="Single"/>
    <s v="With Family"/>
    <x v="3"/>
    <x v="1"/>
    <x v="4"/>
    <n v="3.9"/>
    <n v="1.19"/>
    <n v="4.28"/>
    <n v="9.8800000000000008"/>
    <n v="0"/>
    <n v="6.9"/>
    <n v="8"/>
    <n v="3.3"/>
    <s v="No"/>
    <n v="5.0999999999999996"/>
    <n v="4.2"/>
    <n v="4.0999999999999996"/>
    <n v="6"/>
    <n v="7.5"/>
    <n v="6.3"/>
    <n v="3.1"/>
    <x v="1"/>
    <s v="Yes"/>
    <x v="2"/>
    <x v="1"/>
    <x v="2"/>
    <x v="2"/>
  </r>
  <r>
    <x v="632"/>
    <x v="6"/>
    <s v="Male"/>
    <x v="1"/>
    <x v="2"/>
    <s v="Low"/>
    <s v="Married"/>
    <s v="With Family"/>
    <x v="3"/>
    <x v="0"/>
    <x v="1"/>
    <n v="1.29"/>
    <n v="3.88"/>
    <n v="2.38"/>
    <n v="5.48"/>
    <n v="4"/>
    <n v="7.7"/>
    <n v="2.2999999999999998"/>
    <n v="5.9"/>
    <s v="No"/>
    <n v="8.9"/>
    <n v="7.7"/>
    <n v="3.9"/>
    <n v="3.9"/>
    <n v="6.7"/>
    <n v="5.5"/>
    <n v="7.1"/>
    <x v="0"/>
    <s v="No"/>
    <x v="1"/>
    <x v="2"/>
    <x v="1"/>
    <x v="2"/>
  </r>
  <r>
    <x v="633"/>
    <x v="0"/>
    <s v="Female"/>
    <x v="0"/>
    <x v="1"/>
    <s v="Low"/>
    <s v="Single"/>
    <s v="With Family"/>
    <x v="1"/>
    <x v="4"/>
    <x v="4"/>
    <n v="2.1"/>
    <n v="3.66"/>
    <n v="2.62"/>
    <n v="6.19"/>
    <n v="4"/>
    <n v="8.5"/>
    <n v="4.8"/>
    <n v="4.0999999999999996"/>
    <s v="No"/>
    <n v="7.2"/>
    <n v="3.7"/>
    <n v="0"/>
    <n v="6.5"/>
    <n v="6.8"/>
    <n v="5"/>
    <n v="3.8"/>
    <x v="2"/>
    <s v="Yes"/>
    <x v="2"/>
    <x v="0"/>
    <x v="1"/>
    <x v="2"/>
  </r>
  <r>
    <x v="634"/>
    <x v="11"/>
    <s v="Prefer not to say"/>
    <x v="1"/>
    <x v="2"/>
    <s v="High"/>
    <s v="In a Relationship"/>
    <s v="With Roommates"/>
    <x v="0"/>
    <x v="4"/>
    <x v="2"/>
    <n v="1.44"/>
    <n v="3.05"/>
    <n v="2.5"/>
    <n v="6"/>
    <n v="3"/>
    <n v="5.3"/>
    <n v="3.8"/>
    <n v="4.7"/>
    <s v="No"/>
    <n v="7.6"/>
    <n v="5.3"/>
    <n v="4.5"/>
    <n v="2.9"/>
    <n v="3.9"/>
    <n v="6.4"/>
    <n v="5.6"/>
    <x v="0"/>
    <s v="No"/>
    <x v="1"/>
    <x v="3"/>
    <x v="1"/>
    <x v="0"/>
  </r>
  <r>
    <x v="635"/>
    <x v="19"/>
    <s v="Female"/>
    <x v="1"/>
    <x v="0"/>
    <s v="Lower-Middle"/>
    <s v="Single"/>
    <s v="With Family"/>
    <x v="1"/>
    <x v="1"/>
    <x v="4"/>
    <n v="1.45"/>
    <n v="2"/>
    <n v="3.78"/>
    <n v="8.1300000000000008"/>
    <n v="6"/>
    <n v="4.5"/>
    <n v="4.3"/>
    <n v="7.6"/>
    <s v="No"/>
    <n v="8.6999999999999993"/>
    <n v="7.4"/>
    <n v="4.5999999999999996"/>
    <n v="3.8"/>
    <n v="2.6"/>
    <n v="6.6"/>
    <n v="5.2"/>
    <x v="1"/>
    <s v="No"/>
    <x v="0"/>
    <x v="3"/>
    <x v="1"/>
    <x v="0"/>
  </r>
  <r>
    <x v="636"/>
    <x v="16"/>
    <s v="Male"/>
    <x v="4"/>
    <x v="0"/>
    <s v="Lower-Middle"/>
    <s v="Single"/>
    <s v="With Partner"/>
    <x v="2"/>
    <x v="0"/>
    <x v="4"/>
    <n v="0"/>
    <n v="7.74"/>
    <n v="1.71"/>
    <n v="4.3600000000000003"/>
    <n v="7"/>
    <n v="2.7"/>
    <n v="1"/>
    <n v="9.9"/>
    <s v="No"/>
    <n v="8.1999999999999993"/>
    <n v="8.9"/>
    <n v="4.2"/>
    <n v="1.5"/>
    <n v="1"/>
    <n v="4"/>
    <n v="9.1999999999999993"/>
    <x v="0"/>
    <s v="No"/>
    <x v="0"/>
    <x v="2"/>
    <x v="0"/>
    <x v="1"/>
  </r>
  <r>
    <x v="637"/>
    <x v="16"/>
    <s v="Female"/>
    <x v="1"/>
    <x v="0"/>
    <s v="Upper-Middle"/>
    <s v="Single"/>
    <s v="Alone"/>
    <x v="3"/>
    <x v="3"/>
    <x v="4"/>
    <n v="2.36"/>
    <n v="4.3600000000000003"/>
    <n v="3.24"/>
    <n v="6.98"/>
    <n v="5"/>
    <n v="5.9"/>
    <n v="5.2"/>
    <n v="7.4"/>
    <s v="No"/>
    <n v="7.9"/>
    <n v="7.7"/>
    <n v="5.3"/>
    <n v="4.0999999999999996"/>
    <n v="2.2999999999999998"/>
    <n v="6.2"/>
    <n v="8.6999999999999993"/>
    <x v="1"/>
    <s v="No"/>
    <x v="1"/>
    <x v="2"/>
    <x v="1"/>
    <x v="0"/>
  </r>
  <r>
    <x v="638"/>
    <x v="25"/>
    <s v="Female"/>
    <x v="3"/>
    <x v="0"/>
    <s v="High"/>
    <s v="Married"/>
    <s v="Alone"/>
    <x v="1"/>
    <x v="0"/>
    <x v="4"/>
    <n v="2.68"/>
    <n v="2.2799999999999998"/>
    <n v="3.86"/>
    <n v="7.84"/>
    <n v="0"/>
    <n v="8.3000000000000007"/>
    <n v="9.1999999999999993"/>
    <n v="5.2"/>
    <s v="Yes"/>
    <n v="6.2"/>
    <n v="3"/>
    <n v="0.9"/>
    <n v="6.9"/>
    <n v="6.4"/>
    <n v="7.2"/>
    <n v="3.1"/>
    <x v="2"/>
    <s v="No"/>
    <x v="2"/>
    <x v="3"/>
    <x v="2"/>
    <x v="2"/>
  </r>
  <r>
    <x v="639"/>
    <x v="9"/>
    <s v="Female"/>
    <x v="1"/>
    <x v="1"/>
    <s v="Lower-Middle"/>
    <s v="Married"/>
    <s v="Alone"/>
    <x v="5"/>
    <x v="0"/>
    <x v="4"/>
    <n v="1.69"/>
    <n v="5.33"/>
    <n v="0.62"/>
    <n v="3.45"/>
    <n v="4"/>
    <n v="3.9"/>
    <n v="6.2"/>
    <n v="6.1"/>
    <s v="No"/>
    <n v="7.7"/>
    <n v="6.9"/>
    <n v="5.2"/>
    <n v="6.2"/>
    <n v="2.8"/>
    <n v="5.4"/>
    <n v="5.5"/>
    <x v="1"/>
    <s v="No"/>
    <x v="1"/>
    <x v="2"/>
    <x v="1"/>
    <x v="0"/>
  </r>
  <r>
    <x v="640"/>
    <x v="7"/>
    <s v="Male"/>
    <x v="0"/>
    <x v="1"/>
    <s v="Upper-Middle"/>
    <s v="Single"/>
    <s v="With Family"/>
    <x v="2"/>
    <x v="3"/>
    <x v="2"/>
    <n v="2.82"/>
    <n v="3.39"/>
    <n v="1.96"/>
    <n v="6.87"/>
    <n v="4"/>
    <n v="6.2"/>
    <n v="6.5"/>
    <n v="2.5"/>
    <s v="No"/>
    <n v="7.6"/>
    <n v="5.9"/>
    <n v="3.5"/>
    <n v="7"/>
    <n v="5.2"/>
    <n v="6"/>
    <n v="4.7"/>
    <x v="2"/>
    <s v="Yes"/>
    <x v="2"/>
    <x v="2"/>
    <x v="2"/>
    <x v="2"/>
  </r>
  <r>
    <x v="641"/>
    <x v="23"/>
    <s v="Female"/>
    <x v="0"/>
    <x v="1"/>
    <s v="Lower-Middle"/>
    <s v="In a Relationship"/>
    <s v="With Family"/>
    <x v="3"/>
    <x v="0"/>
    <x v="3"/>
    <n v="2.4500000000000002"/>
    <n v="4.6100000000000003"/>
    <n v="2.87"/>
    <n v="5.74"/>
    <n v="3"/>
    <n v="6.5"/>
    <n v="7.4"/>
    <n v="5.5"/>
    <s v="No"/>
    <n v="7.5"/>
    <n v="3.5"/>
    <n v="1"/>
    <n v="5"/>
    <n v="5.6"/>
    <n v="6.1"/>
    <n v="5.0999999999999996"/>
    <x v="1"/>
    <s v="No"/>
    <x v="1"/>
    <x v="0"/>
    <x v="1"/>
    <x v="2"/>
  </r>
  <r>
    <x v="642"/>
    <x v="13"/>
    <s v="Female"/>
    <x v="0"/>
    <x v="1"/>
    <s v="Lower-Middle"/>
    <s v="Married"/>
    <s v="With Family"/>
    <x v="1"/>
    <x v="0"/>
    <x v="4"/>
    <n v="0.8"/>
    <n v="6.36"/>
    <n v="0.35"/>
    <n v="2.2599999999999998"/>
    <n v="7"/>
    <n v="3.1"/>
    <n v="1.4"/>
    <n v="8.8000000000000007"/>
    <s v="No"/>
    <n v="6.3"/>
    <n v="8.3000000000000007"/>
    <n v="4.7"/>
    <n v="1.2"/>
    <n v="1"/>
    <n v="2.4"/>
    <n v="7.6"/>
    <x v="1"/>
    <s v="No"/>
    <x v="0"/>
    <x v="2"/>
    <x v="0"/>
    <x v="0"/>
  </r>
  <r>
    <x v="643"/>
    <x v="25"/>
    <s v="Non-binary"/>
    <x v="1"/>
    <x v="0"/>
    <s v="Lower-Middle"/>
    <s v="Single"/>
    <s v="Alone"/>
    <x v="3"/>
    <x v="0"/>
    <x v="1"/>
    <n v="2.27"/>
    <n v="1.78"/>
    <n v="2.83"/>
    <n v="6.64"/>
    <n v="2"/>
    <n v="7.3"/>
    <n v="6.4"/>
    <n v="6.3"/>
    <s v="No"/>
    <n v="6"/>
    <n v="2.5"/>
    <n v="3.2"/>
    <n v="5.7"/>
    <n v="4.9000000000000004"/>
    <n v="6.8"/>
    <n v="3.9"/>
    <x v="2"/>
    <s v="Yes"/>
    <x v="2"/>
    <x v="3"/>
    <x v="1"/>
    <x v="2"/>
  </r>
  <r>
    <x v="644"/>
    <x v="11"/>
    <s v="Male"/>
    <x v="1"/>
    <x v="2"/>
    <s v="Upper-Middle"/>
    <s v="Married"/>
    <s v="With Family"/>
    <x v="1"/>
    <x v="0"/>
    <x v="1"/>
    <n v="1.59"/>
    <n v="4.8099999999999996"/>
    <n v="1.63"/>
    <n v="6.27"/>
    <n v="4"/>
    <n v="5.2"/>
    <n v="2.2999999999999998"/>
    <n v="8"/>
    <s v="No"/>
    <n v="8.3000000000000007"/>
    <n v="8.8000000000000007"/>
    <n v="4.8"/>
    <n v="5.3"/>
    <n v="2.6"/>
    <n v="5"/>
    <n v="6.7"/>
    <x v="1"/>
    <s v="No"/>
    <x v="0"/>
    <x v="3"/>
    <x v="1"/>
    <x v="0"/>
  </r>
  <r>
    <x v="645"/>
    <x v="14"/>
    <s v="Female"/>
    <x v="1"/>
    <x v="2"/>
    <s v="Upper-Middle"/>
    <s v="Single"/>
    <s v="With Family"/>
    <x v="2"/>
    <x v="0"/>
    <x v="4"/>
    <n v="1.68"/>
    <n v="6.01"/>
    <n v="1.71"/>
    <n v="5.26"/>
    <n v="3"/>
    <n v="6"/>
    <n v="5.3"/>
    <n v="6.7"/>
    <s v="No"/>
    <n v="7.6"/>
    <n v="5.4"/>
    <n v="5.9"/>
    <n v="1.4"/>
    <n v="2.7"/>
    <n v="5.7"/>
    <n v="4.4000000000000004"/>
    <x v="0"/>
    <s v="No"/>
    <x v="0"/>
    <x v="3"/>
    <x v="1"/>
    <x v="0"/>
  </r>
  <r>
    <x v="646"/>
    <x v="1"/>
    <s v="Non-binary"/>
    <x v="1"/>
    <x v="0"/>
    <s v="Lower-Middle"/>
    <s v="Married"/>
    <s v="With Partner"/>
    <x v="2"/>
    <x v="2"/>
    <x v="3"/>
    <n v="5"/>
    <n v="0.69"/>
    <n v="6.03"/>
    <n v="14.04"/>
    <n v="0"/>
    <n v="10"/>
    <n v="10"/>
    <n v="1.6"/>
    <s v="No"/>
    <n v="5.5"/>
    <n v="2.5"/>
    <n v="3.2"/>
    <n v="8.8000000000000007"/>
    <n v="8.4"/>
    <n v="9"/>
    <n v="1.4"/>
    <x v="2"/>
    <s v="No"/>
    <x v="2"/>
    <x v="1"/>
    <x v="3"/>
    <x v="2"/>
  </r>
  <r>
    <x v="647"/>
    <x v="23"/>
    <s v="Male"/>
    <x v="0"/>
    <x v="2"/>
    <s v="Low"/>
    <s v="Married"/>
    <s v="With Family"/>
    <x v="3"/>
    <x v="0"/>
    <x v="2"/>
    <n v="0.77"/>
    <n v="2.36"/>
    <n v="3.04"/>
    <n v="6"/>
    <n v="3"/>
    <n v="7"/>
    <n v="5.5"/>
    <n v="6.1"/>
    <s v="No"/>
    <n v="7"/>
    <n v="5.4"/>
    <n v="2.9"/>
    <n v="5.3"/>
    <n v="5.4"/>
    <n v="7.1"/>
    <n v="2.5"/>
    <x v="2"/>
    <s v="No"/>
    <x v="1"/>
    <x v="0"/>
    <x v="0"/>
    <x v="2"/>
  </r>
  <r>
    <x v="648"/>
    <x v="7"/>
    <s v="Non-binary"/>
    <x v="2"/>
    <x v="2"/>
    <s v="Upper-Middle"/>
    <s v="Married"/>
    <s v="With Roommates"/>
    <x v="4"/>
    <x v="0"/>
    <x v="2"/>
    <n v="1.08"/>
    <n v="3.89"/>
    <n v="2.8"/>
    <n v="5.4"/>
    <n v="5"/>
    <n v="2.1"/>
    <n v="1"/>
    <n v="3.8"/>
    <s v="No"/>
    <n v="6.5"/>
    <n v="6.5"/>
    <n v="5.6"/>
    <n v="4.7"/>
    <n v="2.1"/>
    <n v="3"/>
    <n v="6.6"/>
    <x v="1"/>
    <s v="No"/>
    <x v="0"/>
    <x v="2"/>
    <x v="1"/>
    <x v="1"/>
  </r>
  <r>
    <x v="649"/>
    <x v="8"/>
    <s v="Female"/>
    <x v="4"/>
    <x v="2"/>
    <s v="Low"/>
    <s v="In a Relationship"/>
    <s v="With Roommates"/>
    <x v="2"/>
    <x v="0"/>
    <x v="2"/>
    <n v="2.2999999999999998"/>
    <n v="4.82"/>
    <n v="2.73"/>
    <n v="6.6"/>
    <n v="4"/>
    <n v="6.6"/>
    <n v="3.5"/>
    <n v="6.2"/>
    <s v="No"/>
    <n v="7.7"/>
    <n v="8.6"/>
    <n v="6.3"/>
    <n v="5.8"/>
    <n v="3.3"/>
    <n v="6.8"/>
    <n v="4.7"/>
    <x v="2"/>
    <s v="Yes"/>
    <x v="1"/>
    <x v="1"/>
    <x v="1"/>
    <x v="2"/>
  </r>
  <r>
    <x v="650"/>
    <x v="7"/>
    <s v="Male"/>
    <x v="3"/>
    <x v="2"/>
    <s v="Lower-Middle"/>
    <s v="Single"/>
    <s v="With Family"/>
    <x v="1"/>
    <x v="2"/>
    <x v="4"/>
    <n v="1.22"/>
    <n v="4.24"/>
    <n v="3.95"/>
    <n v="6"/>
    <n v="5"/>
    <n v="6.1"/>
    <n v="3.8"/>
    <n v="7.2"/>
    <s v="No"/>
    <n v="7.3"/>
    <n v="5.6"/>
    <n v="2.4"/>
    <n v="2.8"/>
    <n v="4.0999999999999996"/>
    <n v="4.8"/>
    <n v="6.7"/>
    <x v="1"/>
    <s v="No"/>
    <x v="1"/>
    <x v="2"/>
    <x v="1"/>
    <x v="2"/>
  </r>
  <r>
    <x v="651"/>
    <x v="19"/>
    <s v="Male"/>
    <x v="3"/>
    <x v="1"/>
    <s v="Upper-Middle"/>
    <s v="Married"/>
    <s v="With Family"/>
    <x v="1"/>
    <x v="1"/>
    <x v="0"/>
    <n v="3.25"/>
    <n v="0.21"/>
    <n v="5.21"/>
    <n v="12.86"/>
    <n v="4"/>
    <n v="8.4"/>
    <n v="7"/>
    <n v="2.5"/>
    <s v="Yes"/>
    <n v="5.9"/>
    <n v="3.1"/>
    <n v="1.1000000000000001"/>
    <n v="9.3000000000000007"/>
    <n v="9.3000000000000007"/>
    <n v="5.4"/>
    <n v="1.9"/>
    <x v="1"/>
    <s v="Yes"/>
    <x v="2"/>
    <x v="3"/>
    <x v="2"/>
    <x v="2"/>
  </r>
  <r>
    <x v="652"/>
    <x v="10"/>
    <s v="Female"/>
    <x v="0"/>
    <x v="1"/>
    <s v="Upper-Middle"/>
    <s v="Single"/>
    <s v="With Family"/>
    <x v="2"/>
    <x v="0"/>
    <x v="2"/>
    <n v="0.99"/>
    <n v="4.3"/>
    <n v="1.95"/>
    <n v="6.05"/>
    <n v="2"/>
    <n v="5.0999999999999996"/>
    <n v="3.4"/>
    <n v="5.4"/>
    <s v="Yes"/>
    <n v="6.8"/>
    <n v="5.6"/>
    <n v="1.5"/>
    <n v="1.8"/>
    <n v="2.2999999999999998"/>
    <n v="4.5999999999999996"/>
    <n v="5.5"/>
    <x v="1"/>
    <s v="No"/>
    <x v="0"/>
    <x v="2"/>
    <x v="0"/>
    <x v="0"/>
  </r>
  <r>
    <x v="653"/>
    <x v="25"/>
    <s v="Male"/>
    <x v="1"/>
    <x v="2"/>
    <s v="Upper-Middle"/>
    <s v="Single"/>
    <s v="With Roommates"/>
    <x v="1"/>
    <x v="4"/>
    <x v="0"/>
    <n v="3.54"/>
    <n v="1.32"/>
    <n v="6.67"/>
    <n v="12.82"/>
    <n v="3"/>
    <n v="9.9"/>
    <n v="10"/>
    <n v="2"/>
    <s v="Yes"/>
    <n v="5.7"/>
    <n v="1.7"/>
    <n v="0.4"/>
    <n v="9.6999999999999993"/>
    <n v="10"/>
    <n v="9.4"/>
    <n v="1"/>
    <x v="1"/>
    <s v="No"/>
    <x v="2"/>
    <x v="3"/>
    <x v="2"/>
    <x v="2"/>
  </r>
  <r>
    <x v="654"/>
    <x v="29"/>
    <s v="Female"/>
    <x v="4"/>
    <x v="3"/>
    <s v="Upper-Middle"/>
    <s v="In a Relationship"/>
    <s v="With Roommates"/>
    <x v="1"/>
    <x v="1"/>
    <x v="4"/>
    <n v="0.35"/>
    <n v="5.31"/>
    <n v="0.75"/>
    <n v="1.79"/>
    <n v="7"/>
    <n v="1.6"/>
    <n v="2.2000000000000002"/>
    <n v="10"/>
    <s v="No"/>
    <n v="7.7"/>
    <n v="8.6999999999999993"/>
    <n v="5.9"/>
    <n v="2.7"/>
    <n v="1"/>
    <n v="2.9"/>
    <n v="9.6999999999999993"/>
    <x v="0"/>
    <s v="No"/>
    <x v="0"/>
    <x v="1"/>
    <x v="0"/>
    <x v="1"/>
  </r>
  <r>
    <x v="655"/>
    <x v="11"/>
    <s v="Male"/>
    <x v="0"/>
    <x v="3"/>
    <s v="Lower-Middle"/>
    <s v="Married"/>
    <s v="With Roommates"/>
    <x v="1"/>
    <x v="0"/>
    <x v="0"/>
    <n v="3.28"/>
    <n v="3.2"/>
    <n v="2.67"/>
    <n v="7.5"/>
    <n v="3"/>
    <n v="2.8"/>
    <n v="1.9"/>
    <n v="6.7"/>
    <s v="No"/>
    <n v="6.7"/>
    <n v="7.4"/>
    <n v="0.9"/>
    <n v="6.5"/>
    <n v="4.4000000000000004"/>
    <n v="2.6"/>
    <n v="4.8"/>
    <x v="2"/>
    <s v="No"/>
    <x v="0"/>
    <x v="3"/>
    <x v="2"/>
    <x v="1"/>
  </r>
  <r>
    <x v="656"/>
    <x v="24"/>
    <s v="Female"/>
    <x v="0"/>
    <x v="2"/>
    <s v="Upper-Middle"/>
    <s v="Married"/>
    <s v="With Partner"/>
    <x v="3"/>
    <x v="0"/>
    <x v="2"/>
    <n v="0.06"/>
    <n v="5.19"/>
    <n v="2.11"/>
    <n v="3.2"/>
    <n v="5"/>
    <n v="2"/>
    <n v="2"/>
    <n v="6.6"/>
    <s v="No"/>
    <n v="9.1"/>
    <n v="8.1"/>
    <n v="5.6"/>
    <n v="3.2"/>
    <n v="3.7"/>
    <n v="4"/>
    <n v="6.9"/>
    <x v="0"/>
    <s v="No"/>
    <x v="0"/>
    <x v="1"/>
    <x v="0"/>
    <x v="1"/>
  </r>
  <r>
    <x v="657"/>
    <x v="10"/>
    <s v="Male"/>
    <x v="1"/>
    <x v="2"/>
    <s v="Upper-Middle"/>
    <s v="Single"/>
    <s v="With Roommates"/>
    <x v="0"/>
    <x v="0"/>
    <x v="2"/>
    <n v="0.48"/>
    <n v="5.59"/>
    <n v="2.4900000000000002"/>
    <n v="5.0999999999999996"/>
    <n v="5"/>
    <n v="2.8"/>
    <n v="3.4"/>
    <n v="8.6"/>
    <s v="No"/>
    <n v="5.9"/>
    <n v="6.5"/>
    <n v="3.9"/>
    <n v="2.7"/>
    <n v="1.4"/>
    <n v="4.3"/>
    <n v="7.9"/>
    <x v="1"/>
    <s v="No"/>
    <x v="0"/>
    <x v="2"/>
    <x v="0"/>
    <x v="1"/>
  </r>
  <r>
    <x v="658"/>
    <x v="24"/>
    <s v="Female"/>
    <x v="0"/>
    <x v="2"/>
    <s v="Low"/>
    <s v="Married"/>
    <s v="With Family"/>
    <x v="1"/>
    <x v="0"/>
    <x v="4"/>
    <n v="0.9"/>
    <n v="3.88"/>
    <n v="2.82"/>
    <n v="4.79"/>
    <n v="2"/>
    <n v="1.6"/>
    <n v="2.1"/>
    <n v="8.8000000000000007"/>
    <s v="No"/>
    <n v="5.9"/>
    <n v="7.3"/>
    <n v="4.5"/>
    <n v="2.2999999999999998"/>
    <n v="3.4"/>
    <n v="3"/>
    <n v="7.8"/>
    <x v="1"/>
    <s v="No"/>
    <x v="0"/>
    <x v="1"/>
    <x v="0"/>
    <x v="1"/>
  </r>
  <r>
    <x v="659"/>
    <x v="9"/>
    <s v="Prefer not to say"/>
    <x v="0"/>
    <x v="3"/>
    <s v="Low"/>
    <s v="In a Relationship"/>
    <s v="With Family"/>
    <x v="3"/>
    <x v="3"/>
    <x v="2"/>
    <n v="0"/>
    <n v="3.1"/>
    <n v="1.03"/>
    <n v="2.36"/>
    <n v="5"/>
    <n v="2.1"/>
    <n v="3.1"/>
    <n v="6.4"/>
    <s v="No"/>
    <n v="8.1999999999999993"/>
    <n v="6.1"/>
    <n v="3.1"/>
    <n v="4.8"/>
    <n v="1.3"/>
    <n v="4.5"/>
    <n v="6"/>
    <x v="0"/>
    <s v="No"/>
    <x v="0"/>
    <x v="2"/>
    <x v="0"/>
    <x v="1"/>
  </r>
  <r>
    <x v="660"/>
    <x v="14"/>
    <s v="Non-binary"/>
    <x v="4"/>
    <x v="1"/>
    <s v="Lower-Middle"/>
    <s v="Single"/>
    <s v="With Partner"/>
    <x v="2"/>
    <x v="0"/>
    <x v="0"/>
    <n v="3.19"/>
    <n v="1.79"/>
    <n v="4.9400000000000004"/>
    <n v="9.23"/>
    <n v="2"/>
    <n v="10"/>
    <n v="8.5"/>
    <n v="6.2"/>
    <s v="Yes"/>
    <n v="4.7"/>
    <n v="4.8"/>
    <n v="1.8"/>
    <n v="10"/>
    <n v="9"/>
    <n v="7.8"/>
    <n v="3.3"/>
    <x v="2"/>
    <s v="Yes"/>
    <x v="2"/>
    <x v="3"/>
    <x v="2"/>
    <x v="2"/>
  </r>
  <r>
    <x v="661"/>
    <x v="21"/>
    <s v="Female"/>
    <x v="0"/>
    <x v="0"/>
    <s v="Lower-Middle"/>
    <s v="Single"/>
    <s v="With Family"/>
    <x v="4"/>
    <x v="1"/>
    <x v="3"/>
    <n v="3.3"/>
    <n v="3.19"/>
    <n v="4.5"/>
    <n v="9.57"/>
    <n v="1"/>
    <n v="8.6999999999999993"/>
    <n v="7.4"/>
    <n v="3.2"/>
    <s v="No"/>
    <n v="4.2"/>
    <n v="3.3"/>
    <n v="4.8"/>
    <n v="6.8"/>
    <n v="5.0999999999999996"/>
    <n v="5.0999999999999996"/>
    <n v="1.9"/>
    <x v="2"/>
    <s v="No"/>
    <x v="2"/>
    <x v="1"/>
    <x v="2"/>
    <x v="2"/>
  </r>
  <r>
    <x v="662"/>
    <x v="18"/>
    <s v="Male"/>
    <x v="1"/>
    <x v="2"/>
    <s v="Upper-Middle"/>
    <s v="Single"/>
    <s v="With Family"/>
    <x v="4"/>
    <x v="0"/>
    <x v="3"/>
    <n v="1.31"/>
    <n v="3.14"/>
    <n v="2.9"/>
    <n v="6.28"/>
    <n v="1"/>
    <n v="4.7"/>
    <n v="4.4000000000000004"/>
    <n v="6.4"/>
    <s v="No"/>
    <n v="7.6"/>
    <n v="5.2"/>
    <n v="2.9"/>
    <n v="5.3"/>
    <n v="3.8"/>
    <n v="6.5"/>
    <n v="5.5"/>
    <x v="1"/>
    <s v="No"/>
    <x v="1"/>
    <x v="2"/>
    <x v="1"/>
    <x v="0"/>
  </r>
  <r>
    <x v="663"/>
    <x v="22"/>
    <s v="Female"/>
    <x v="2"/>
    <x v="2"/>
    <s v="Upper-Middle"/>
    <s v="Single"/>
    <s v="With Roommates"/>
    <x v="1"/>
    <x v="0"/>
    <x v="0"/>
    <n v="1.84"/>
    <n v="3.02"/>
    <n v="1.84"/>
    <n v="5.46"/>
    <n v="5"/>
    <n v="3.1"/>
    <n v="3.7"/>
    <n v="7.9"/>
    <s v="No"/>
    <n v="8.5"/>
    <n v="5"/>
    <n v="1.2"/>
    <n v="5.2"/>
    <n v="3.2"/>
    <n v="4.4000000000000004"/>
    <n v="6"/>
    <x v="1"/>
    <s v="Yes"/>
    <x v="0"/>
    <x v="2"/>
    <x v="1"/>
    <x v="0"/>
  </r>
  <r>
    <x v="664"/>
    <x v="1"/>
    <s v="Male"/>
    <x v="1"/>
    <x v="2"/>
    <s v="Low"/>
    <s v="Divorced/Separated"/>
    <s v="Alone"/>
    <x v="3"/>
    <x v="1"/>
    <x v="1"/>
    <n v="0"/>
    <n v="5.51"/>
    <n v="1.01"/>
    <n v="4.54"/>
    <n v="8"/>
    <n v="5"/>
    <n v="1.9"/>
    <n v="6.5"/>
    <s v="No"/>
    <n v="6.3"/>
    <n v="7.1"/>
    <n v="6.6"/>
    <n v="4.0999999999999996"/>
    <n v="3.4"/>
    <n v="5.7"/>
    <n v="6.1"/>
    <x v="0"/>
    <s v="No"/>
    <x v="0"/>
    <x v="1"/>
    <x v="0"/>
    <x v="0"/>
  </r>
  <r>
    <x v="665"/>
    <x v="10"/>
    <s v="Male"/>
    <x v="0"/>
    <x v="0"/>
    <s v="Low"/>
    <s v="In a Relationship"/>
    <s v="With Partner"/>
    <x v="1"/>
    <x v="2"/>
    <x v="3"/>
    <n v="3.19"/>
    <n v="4.5999999999999996"/>
    <n v="3.72"/>
    <n v="9.7200000000000006"/>
    <n v="2"/>
    <n v="8.1"/>
    <n v="4.2"/>
    <n v="3.9"/>
    <s v="No"/>
    <n v="4.9000000000000004"/>
    <n v="7.2"/>
    <n v="3.9"/>
    <n v="5.8"/>
    <n v="5.7"/>
    <n v="5.2"/>
    <n v="4.5999999999999996"/>
    <x v="1"/>
    <s v="Yes"/>
    <x v="2"/>
    <x v="2"/>
    <x v="2"/>
    <x v="2"/>
  </r>
  <r>
    <x v="666"/>
    <x v="15"/>
    <s v="Male"/>
    <x v="1"/>
    <x v="1"/>
    <s v="High"/>
    <s v="In a Relationship"/>
    <s v="With Roommates"/>
    <x v="3"/>
    <x v="0"/>
    <x v="1"/>
    <n v="3.06"/>
    <n v="3.69"/>
    <n v="2.14"/>
    <n v="6.42"/>
    <n v="3"/>
    <n v="5.7"/>
    <n v="5.2"/>
    <n v="5.5"/>
    <s v="No"/>
    <n v="5.7"/>
    <n v="6.7"/>
    <n v="3.8"/>
    <n v="4.2"/>
    <n v="5.2"/>
    <n v="5.2"/>
    <n v="4.5999999999999996"/>
    <x v="1"/>
    <s v="No"/>
    <x v="2"/>
    <x v="1"/>
    <x v="2"/>
    <x v="0"/>
  </r>
  <r>
    <x v="667"/>
    <x v="27"/>
    <s v="Female"/>
    <x v="3"/>
    <x v="1"/>
    <s v="Low"/>
    <s v="Divorced/Separated"/>
    <s v="With Family"/>
    <x v="4"/>
    <x v="3"/>
    <x v="0"/>
    <n v="1.62"/>
    <n v="2.5499999999999998"/>
    <n v="2.59"/>
    <n v="6.54"/>
    <n v="4"/>
    <n v="6.1"/>
    <n v="2.7"/>
    <n v="3.9"/>
    <s v="No"/>
    <n v="6.5"/>
    <n v="8.1"/>
    <n v="5"/>
    <n v="3.2"/>
    <n v="3"/>
    <n v="6"/>
    <n v="8.6999999999999993"/>
    <x v="2"/>
    <s v="No"/>
    <x v="1"/>
    <x v="1"/>
    <x v="1"/>
    <x v="2"/>
  </r>
  <r>
    <x v="668"/>
    <x v="12"/>
    <s v="Female"/>
    <x v="4"/>
    <x v="1"/>
    <s v="Lower-Middle"/>
    <s v="Single"/>
    <s v="With Partner"/>
    <x v="3"/>
    <x v="0"/>
    <x v="4"/>
    <n v="2.09"/>
    <n v="3.09"/>
    <n v="2.94"/>
    <n v="6.33"/>
    <n v="6"/>
    <n v="5.3"/>
    <n v="3.8"/>
    <n v="6"/>
    <s v="No"/>
    <n v="8.3000000000000007"/>
    <n v="5.7"/>
    <n v="3.5"/>
    <n v="6.7"/>
    <n v="3.8"/>
    <n v="4.8"/>
    <n v="4.2"/>
    <x v="1"/>
    <s v="No"/>
    <x v="2"/>
    <x v="3"/>
    <x v="1"/>
    <x v="0"/>
  </r>
  <r>
    <x v="669"/>
    <x v="18"/>
    <s v="Female"/>
    <x v="1"/>
    <x v="1"/>
    <s v="Lower-Middle"/>
    <s v="Married"/>
    <s v="With Family"/>
    <x v="3"/>
    <x v="0"/>
    <x v="1"/>
    <n v="2.86"/>
    <n v="3.17"/>
    <n v="2.06"/>
    <n v="6.52"/>
    <n v="0"/>
    <n v="7.2"/>
    <n v="6.8"/>
    <n v="1.8"/>
    <s v="No"/>
    <n v="6"/>
    <n v="1.8"/>
    <n v="5.4"/>
    <n v="5.8"/>
    <n v="7.6"/>
    <n v="7.8"/>
    <n v="2.9"/>
    <x v="1"/>
    <s v="Yes"/>
    <x v="2"/>
    <x v="2"/>
    <x v="2"/>
    <x v="2"/>
  </r>
  <r>
    <x v="670"/>
    <x v="19"/>
    <s v="Male"/>
    <x v="4"/>
    <x v="1"/>
    <s v="Lower-Middle"/>
    <s v="Single"/>
    <s v="With Family"/>
    <x v="1"/>
    <x v="0"/>
    <x v="3"/>
    <n v="0.95"/>
    <n v="3.36"/>
    <n v="1.41"/>
    <n v="4.84"/>
    <n v="5"/>
    <n v="2.9"/>
    <n v="3.9"/>
    <n v="6.3"/>
    <s v="No"/>
    <n v="7.9"/>
    <n v="6.9"/>
    <n v="5.3"/>
    <n v="3.7"/>
    <n v="4.3"/>
    <n v="6"/>
    <n v="5.2"/>
    <x v="1"/>
    <s v="No"/>
    <x v="0"/>
    <x v="3"/>
    <x v="0"/>
    <x v="1"/>
  </r>
  <r>
    <x v="671"/>
    <x v="19"/>
    <s v="Male"/>
    <x v="1"/>
    <x v="2"/>
    <s v="Low"/>
    <s v="Married"/>
    <s v="Alone"/>
    <x v="1"/>
    <x v="0"/>
    <x v="2"/>
    <n v="0"/>
    <n v="5.45"/>
    <n v="2.12"/>
    <n v="4.78"/>
    <n v="4"/>
    <n v="2.8"/>
    <n v="1.6"/>
    <n v="6.7"/>
    <s v="No"/>
    <n v="8.1999999999999993"/>
    <n v="8.1999999999999993"/>
    <n v="4.3"/>
    <n v="3.7"/>
    <n v="1.8"/>
    <n v="4"/>
    <n v="7.5"/>
    <x v="0"/>
    <s v="No"/>
    <x v="0"/>
    <x v="3"/>
    <x v="0"/>
    <x v="1"/>
  </r>
  <r>
    <x v="672"/>
    <x v="2"/>
    <s v="Prefer not to say"/>
    <x v="4"/>
    <x v="2"/>
    <s v="Low"/>
    <s v="Single"/>
    <s v="With Family"/>
    <x v="0"/>
    <x v="0"/>
    <x v="3"/>
    <n v="0"/>
    <n v="4.55"/>
    <n v="0.65"/>
    <n v="2.0699999999999998"/>
    <n v="5"/>
    <n v="2.1"/>
    <n v="1.6"/>
    <n v="9.4"/>
    <s v="No"/>
    <n v="9.1"/>
    <n v="10"/>
    <n v="7.8"/>
    <n v="2"/>
    <n v="1"/>
    <n v="2.6"/>
    <n v="8.6"/>
    <x v="1"/>
    <s v="No"/>
    <x v="0"/>
    <x v="2"/>
    <x v="0"/>
    <x v="1"/>
  </r>
  <r>
    <x v="673"/>
    <x v="8"/>
    <s v="Male"/>
    <x v="3"/>
    <x v="0"/>
    <s v="Low"/>
    <s v="Married"/>
    <s v="Alone"/>
    <x v="1"/>
    <x v="0"/>
    <x v="0"/>
    <n v="1.82"/>
    <n v="3.75"/>
    <n v="2.19"/>
    <n v="4.9000000000000004"/>
    <n v="2"/>
    <n v="3.5"/>
    <n v="5.6"/>
    <n v="2.6"/>
    <s v="Yes"/>
    <n v="6.3"/>
    <n v="6"/>
    <n v="6.4"/>
    <n v="5.5"/>
    <n v="6"/>
    <n v="4.5999999999999996"/>
    <n v="5.9"/>
    <x v="1"/>
    <s v="No"/>
    <x v="1"/>
    <x v="1"/>
    <x v="1"/>
    <x v="0"/>
  </r>
  <r>
    <x v="674"/>
    <x v="4"/>
    <s v="Male"/>
    <x v="3"/>
    <x v="1"/>
    <s v="Lower-Middle"/>
    <s v="Single"/>
    <s v="With Family"/>
    <x v="3"/>
    <x v="3"/>
    <x v="0"/>
    <n v="3.56"/>
    <n v="1.39"/>
    <n v="3.9"/>
    <n v="9.56"/>
    <n v="0"/>
    <n v="10"/>
    <n v="10"/>
    <n v="1"/>
    <s v="No"/>
    <n v="5.5"/>
    <n v="1.7"/>
    <n v="2.8"/>
    <n v="8.4"/>
    <n v="10"/>
    <n v="7.8"/>
    <n v="3"/>
    <x v="2"/>
    <s v="Yes"/>
    <x v="2"/>
    <x v="1"/>
    <x v="2"/>
    <x v="2"/>
  </r>
  <r>
    <x v="675"/>
    <x v="25"/>
    <s v="Male"/>
    <x v="1"/>
    <x v="0"/>
    <s v="Lower-Middle"/>
    <s v="Single"/>
    <s v="Alone"/>
    <x v="3"/>
    <x v="0"/>
    <x v="4"/>
    <n v="0"/>
    <n v="5.84"/>
    <n v="0.66"/>
    <n v="3.09"/>
    <n v="4"/>
    <n v="3.5"/>
    <n v="2.1"/>
    <n v="7.4"/>
    <s v="No"/>
    <n v="7.6"/>
    <n v="8.4"/>
    <n v="5.9"/>
    <n v="1.8"/>
    <n v="1.4"/>
    <n v="3.5"/>
    <n v="6.1"/>
    <x v="0"/>
    <s v="No"/>
    <x v="0"/>
    <x v="3"/>
    <x v="0"/>
    <x v="0"/>
  </r>
  <r>
    <x v="676"/>
    <x v="15"/>
    <s v="Female"/>
    <x v="2"/>
    <x v="1"/>
    <s v="Low"/>
    <s v="Married"/>
    <s v="With Family"/>
    <x v="1"/>
    <x v="1"/>
    <x v="1"/>
    <n v="3.31"/>
    <n v="2.78"/>
    <n v="5.24"/>
    <n v="9.92"/>
    <n v="2"/>
    <n v="8.6"/>
    <n v="5.2"/>
    <n v="4.5"/>
    <s v="No"/>
    <n v="6.7"/>
    <n v="4.0999999999999996"/>
    <n v="1.4"/>
    <n v="5.8"/>
    <n v="5.5"/>
    <n v="3.4"/>
    <n v="5.0999999999999996"/>
    <x v="1"/>
    <s v="No"/>
    <x v="2"/>
    <x v="1"/>
    <x v="2"/>
    <x v="2"/>
  </r>
  <r>
    <x v="677"/>
    <x v="12"/>
    <s v="Female"/>
    <x v="3"/>
    <x v="0"/>
    <s v="Upper-Middle"/>
    <s v="Single"/>
    <s v="With Roommates"/>
    <x v="3"/>
    <x v="0"/>
    <x v="4"/>
    <n v="0.74"/>
    <n v="4.55"/>
    <n v="0.7"/>
    <n v="4.26"/>
    <n v="1"/>
    <n v="6.3"/>
    <n v="4.4000000000000004"/>
    <n v="7.6"/>
    <s v="No"/>
    <n v="8.6"/>
    <n v="8.3000000000000007"/>
    <n v="5.8"/>
    <n v="4"/>
    <n v="2.2999999999999998"/>
    <n v="3.2"/>
    <n v="6.2"/>
    <x v="0"/>
    <s v="Yes"/>
    <x v="0"/>
    <x v="3"/>
    <x v="0"/>
    <x v="2"/>
  </r>
  <r>
    <x v="678"/>
    <x v="19"/>
    <s v="Male"/>
    <x v="1"/>
    <x v="0"/>
    <s v="Upper-Middle"/>
    <s v="In a Relationship"/>
    <s v="With Roommates"/>
    <x v="2"/>
    <x v="1"/>
    <x v="1"/>
    <n v="1.73"/>
    <n v="3.72"/>
    <n v="3.5"/>
    <n v="7.87"/>
    <n v="2"/>
    <n v="4.5"/>
    <n v="4"/>
    <n v="8.3000000000000007"/>
    <s v="No"/>
    <n v="9.3000000000000007"/>
    <n v="7.2"/>
    <n v="5.2"/>
    <n v="3.7"/>
    <n v="2.8"/>
    <n v="3.4"/>
    <n v="7.4"/>
    <x v="1"/>
    <s v="No"/>
    <x v="0"/>
    <x v="3"/>
    <x v="1"/>
    <x v="0"/>
  </r>
  <r>
    <x v="679"/>
    <x v="19"/>
    <s v="Male"/>
    <x v="3"/>
    <x v="0"/>
    <s v="Low"/>
    <s v="Single"/>
    <s v="With Family"/>
    <x v="1"/>
    <x v="1"/>
    <x v="1"/>
    <n v="2.92"/>
    <n v="3.03"/>
    <n v="3.08"/>
    <n v="7.36"/>
    <n v="3"/>
    <n v="6.9"/>
    <n v="5.6"/>
    <n v="4.3"/>
    <s v="No"/>
    <n v="6"/>
    <n v="3.7"/>
    <n v="2.9"/>
    <n v="6.7"/>
    <n v="6.8"/>
    <n v="5.4"/>
    <n v="6.3"/>
    <x v="1"/>
    <s v="Yes"/>
    <x v="2"/>
    <x v="3"/>
    <x v="2"/>
    <x v="2"/>
  </r>
  <r>
    <x v="680"/>
    <x v="5"/>
    <s v="Female"/>
    <x v="1"/>
    <x v="0"/>
    <s v="Lower-Middle"/>
    <s v="In a Relationship"/>
    <s v="With Family"/>
    <x v="2"/>
    <x v="0"/>
    <x v="0"/>
    <n v="1.45"/>
    <n v="4.0199999999999996"/>
    <n v="1.59"/>
    <n v="6.17"/>
    <n v="6"/>
    <n v="2.5"/>
    <n v="3.9"/>
    <n v="6.5"/>
    <s v="Yes"/>
    <n v="7.3"/>
    <n v="7.6"/>
    <n v="5.4"/>
    <n v="2.8"/>
    <n v="2.1"/>
    <n v="4.8"/>
    <n v="5.5"/>
    <x v="1"/>
    <s v="No"/>
    <x v="0"/>
    <x v="0"/>
    <x v="1"/>
    <x v="1"/>
  </r>
  <r>
    <x v="681"/>
    <x v="23"/>
    <s v="Female"/>
    <x v="4"/>
    <x v="1"/>
    <s v="Upper-Middle"/>
    <s v="Single"/>
    <s v="With Family"/>
    <x v="4"/>
    <x v="0"/>
    <x v="2"/>
    <n v="1.25"/>
    <n v="2.86"/>
    <n v="3.13"/>
    <n v="7.55"/>
    <n v="8"/>
    <n v="6"/>
    <n v="5.3"/>
    <n v="4.0999999999999996"/>
    <s v="No"/>
    <n v="7.6"/>
    <n v="5.2"/>
    <n v="3.8"/>
    <n v="5.8"/>
    <n v="3.8"/>
    <n v="3.7"/>
    <n v="4.5"/>
    <x v="1"/>
    <s v="No"/>
    <x v="1"/>
    <x v="0"/>
    <x v="1"/>
    <x v="0"/>
  </r>
  <r>
    <x v="682"/>
    <x v="4"/>
    <s v="Male"/>
    <x v="1"/>
    <x v="1"/>
    <s v="Lower-Middle"/>
    <s v="Single"/>
    <s v="With Family"/>
    <x v="4"/>
    <x v="3"/>
    <x v="4"/>
    <n v="0.73"/>
    <n v="3.91"/>
    <n v="2.78"/>
    <n v="7.58"/>
    <n v="5"/>
    <n v="6.2"/>
    <n v="5"/>
    <n v="5.3"/>
    <s v="No"/>
    <n v="7.4"/>
    <n v="5.7"/>
    <n v="4.5"/>
    <n v="5.3"/>
    <n v="4.3"/>
    <n v="6.8"/>
    <n v="4.3"/>
    <x v="1"/>
    <s v="No"/>
    <x v="1"/>
    <x v="1"/>
    <x v="0"/>
    <x v="2"/>
  </r>
  <r>
    <x v="683"/>
    <x v="15"/>
    <s v="Non-binary"/>
    <x v="0"/>
    <x v="2"/>
    <s v="Lower-Middle"/>
    <s v="Single"/>
    <s v="With Roommates"/>
    <x v="4"/>
    <x v="4"/>
    <x v="4"/>
    <n v="0.28999999999999998"/>
    <n v="5.1100000000000003"/>
    <n v="1.63"/>
    <n v="5.63"/>
    <n v="4"/>
    <n v="1.9"/>
    <n v="5"/>
    <n v="7.3"/>
    <s v="Yes"/>
    <n v="9"/>
    <n v="7.2"/>
    <n v="6.4"/>
    <n v="4"/>
    <n v="2.9"/>
    <n v="5"/>
    <n v="6.9"/>
    <x v="1"/>
    <s v="No"/>
    <x v="0"/>
    <x v="1"/>
    <x v="0"/>
    <x v="1"/>
  </r>
  <r>
    <x v="684"/>
    <x v="2"/>
    <s v="Male"/>
    <x v="0"/>
    <x v="0"/>
    <s v="Upper-Middle"/>
    <s v="In a Relationship"/>
    <s v="With Roommates"/>
    <x v="3"/>
    <x v="0"/>
    <x v="3"/>
    <n v="2.08"/>
    <n v="2.68"/>
    <n v="3.61"/>
    <n v="6.79"/>
    <n v="0"/>
    <n v="6.7"/>
    <n v="4.3"/>
    <n v="1.5"/>
    <s v="Yes"/>
    <n v="6.3"/>
    <n v="5.2"/>
    <n v="0.9"/>
    <n v="6.7"/>
    <n v="6.9"/>
    <n v="8.1999999999999993"/>
    <n v="5.8"/>
    <x v="2"/>
    <s v="No"/>
    <x v="2"/>
    <x v="2"/>
    <x v="1"/>
    <x v="2"/>
  </r>
  <r>
    <x v="685"/>
    <x v="29"/>
    <s v="Male"/>
    <x v="1"/>
    <x v="0"/>
    <s v="High"/>
    <s v="Single"/>
    <s v="With Family"/>
    <x v="3"/>
    <x v="0"/>
    <x v="1"/>
    <n v="1.29"/>
    <n v="5"/>
    <n v="2.48"/>
    <n v="6.69"/>
    <n v="5"/>
    <n v="4.9000000000000004"/>
    <n v="2.6"/>
    <n v="5"/>
    <s v="No"/>
    <n v="6.7"/>
    <n v="5"/>
    <n v="2.5"/>
    <n v="4.7"/>
    <n v="4.2"/>
    <n v="4.3"/>
    <n v="4.8"/>
    <x v="1"/>
    <s v="No"/>
    <x v="0"/>
    <x v="1"/>
    <x v="1"/>
    <x v="0"/>
  </r>
  <r>
    <x v="686"/>
    <x v="15"/>
    <s v="Non-binary"/>
    <x v="1"/>
    <x v="0"/>
    <s v="Upper-Middle"/>
    <s v="Single"/>
    <s v="With Family"/>
    <x v="3"/>
    <x v="4"/>
    <x v="4"/>
    <n v="0"/>
    <n v="5.79"/>
    <n v="0.9"/>
    <n v="3.78"/>
    <n v="4"/>
    <n v="2.6"/>
    <n v="1"/>
    <n v="9.4"/>
    <s v="No"/>
    <n v="9.1999999999999993"/>
    <n v="9"/>
    <n v="4.3"/>
    <n v="1"/>
    <n v="3.2"/>
    <n v="2.9"/>
    <n v="8"/>
    <x v="0"/>
    <s v="No"/>
    <x v="0"/>
    <x v="1"/>
    <x v="0"/>
    <x v="1"/>
  </r>
  <r>
    <x v="687"/>
    <x v="28"/>
    <s v="Male"/>
    <x v="1"/>
    <x v="0"/>
    <s v="Lower-Middle"/>
    <s v="Single"/>
    <s v="With Family"/>
    <x v="4"/>
    <x v="0"/>
    <x v="0"/>
    <n v="1.01"/>
    <n v="3.7"/>
    <n v="2.54"/>
    <n v="5.21"/>
    <n v="4"/>
    <n v="4.0999999999999996"/>
    <n v="2.5"/>
    <n v="8"/>
    <s v="No"/>
    <n v="7.9"/>
    <n v="9.4"/>
    <n v="8"/>
    <n v="4.0999999999999996"/>
    <n v="1"/>
    <n v="4.5"/>
    <n v="8.9"/>
    <x v="1"/>
    <s v="No"/>
    <x v="0"/>
    <x v="1"/>
    <x v="1"/>
    <x v="0"/>
  </r>
  <r>
    <x v="688"/>
    <x v="14"/>
    <s v="Female"/>
    <x v="0"/>
    <x v="1"/>
    <s v="Upper-Middle"/>
    <s v="Single"/>
    <s v="With Roommates"/>
    <x v="5"/>
    <x v="1"/>
    <x v="0"/>
    <n v="0"/>
    <n v="8.77"/>
    <n v="0"/>
    <n v="2.4500000000000002"/>
    <n v="10"/>
    <n v="1"/>
    <n v="1"/>
    <n v="10"/>
    <s v="No"/>
    <n v="9.6999999999999993"/>
    <n v="10"/>
    <n v="8.6999999999999993"/>
    <n v="1"/>
    <n v="1"/>
    <n v="1"/>
    <n v="10"/>
    <x v="0"/>
    <s v="No"/>
    <x v="0"/>
    <x v="3"/>
    <x v="0"/>
    <x v="1"/>
  </r>
  <r>
    <x v="689"/>
    <x v="2"/>
    <s v="Male"/>
    <x v="1"/>
    <x v="0"/>
    <s v="Lower-Middle"/>
    <s v="In a Relationship"/>
    <s v="With Family"/>
    <x v="0"/>
    <x v="0"/>
    <x v="1"/>
    <n v="1.28"/>
    <n v="4.71"/>
    <n v="1.64"/>
    <n v="3.04"/>
    <n v="4"/>
    <n v="5.4"/>
    <n v="5.0999999999999996"/>
    <n v="5.0999999999999996"/>
    <s v="No"/>
    <n v="6.9"/>
    <n v="5.6"/>
    <n v="5"/>
    <n v="5.8"/>
    <n v="3"/>
    <n v="4.4000000000000004"/>
    <n v="5.3"/>
    <x v="2"/>
    <s v="No"/>
    <x v="1"/>
    <x v="2"/>
    <x v="1"/>
    <x v="0"/>
  </r>
  <r>
    <x v="690"/>
    <x v="8"/>
    <s v="Male"/>
    <x v="0"/>
    <x v="2"/>
    <s v="Upper-Middle"/>
    <s v="Married"/>
    <s v="With Partner"/>
    <x v="3"/>
    <x v="0"/>
    <x v="0"/>
    <n v="3.18"/>
    <n v="3.57"/>
    <n v="3.02"/>
    <n v="6.29"/>
    <n v="1"/>
    <n v="8.6"/>
    <n v="7.3"/>
    <n v="1.1000000000000001"/>
    <s v="Yes"/>
    <n v="6.9"/>
    <n v="3.7"/>
    <n v="4.0999999999999996"/>
    <n v="7"/>
    <n v="6.3"/>
    <n v="7.4"/>
    <n v="3.3"/>
    <x v="2"/>
    <s v="Yes"/>
    <x v="2"/>
    <x v="1"/>
    <x v="2"/>
    <x v="2"/>
  </r>
  <r>
    <x v="691"/>
    <x v="27"/>
    <s v="Prefer not to say"/>
    <x v="1"/>
    <x v="0"/>
    <s v="Lower-Middle"/>
    <s v="Single"/>
    <s v="With Roommates"/>
    <x v="4"/>
    <x v="1"/>
    <x v="1"/>
    <n v="1.04"/>
    <n v="5.55"/>
    <n v="0.39"/>
    <n v="1.72"/>
    <n v="3"/>
    <n v="2.5"/>
    <n v="2.5"/>
    <n v="5.3"/>
    <s v="No"/>
    <n v="7"/>
    <n v="8.6999999999999993"/>
    <n v="3.7"/>
    <n v="1"/>
    <n v="2.2999999999999998"/>
    <n v="3"/>
    <n v="9.1"/>
    <x v="0"/>
    <s v="No"/>
    <x v="0"/>
    <x v="1"/>
    <x v="1"/>
    <x v="1"/>
  </r>
  <r>
    <x v="692"/>
    <x v="12"/>
    <s v="Male"/>
    <x v="1"/>
    <x v="0"/>
    <s v="Low"/>
    <s v="In a Relationship"/>
    <s v="With Family"/>
    <x v="1"/>
    <x v="1"/>
    <x v="2"/>
    <n v="3.67"/>
    <n v="1.02"/>
    <n v="3.17"/>
    <n v="9.23"/>
    <n v="3"/>
    <n v="5.8"/>
    <n v="5.5"/>
    <n v="4.4000000000000004"/>
    <s v="No"/>
    <n v="6.2"/>
    <n v="6.1"/>
    <n v="0.2"/>
    <n v="5.6"/>
    <n v="6.6"/>
    <n v="4.7"/>
    <n v="6.8"/>
    <x v="2"/>
    <s v="No"/>
    <x v="2"/>
    <x v="3"/>
    <x v="2"/>
    <x v="0"/>
  </r>
  <r>
    <x v="693"/>
    <x v="9"/>
    <s v="Female"/>
    <x v="3"/>
    <x v="2"/>
    <s v="Upper-Middle"/>
    <s v="In a Relationship"/>
    <s v="Alone"/>
    <x v="3"/>
    <x v="0"/>
    <x v="1"/>
    <n v="3.52"/>
    <n v="4.62"/>
    <n v="3.44"/>
    <n v="9.39"/>
    <n v="4"/>
    <n v="6.8"/>
    <n v="6.4"/>
    <n v="7.1"/>
    <s v="No"/>
    <n v="4.3"/>
    <n v="7.5"/>
    <n v="3.4"/>
    <n v="3.6"/>
    <n v="4.4000000000000004"/>
    <n v="2.9"/>
    <n v="7.2"/>
    <x v="1"/>
    <s v="No"/>
    <x v="1"/>
    <x v="2"/>
    <x v="2"/>
    <x v="2"/>
  </r>
  <r>
    <x v="694"/>
    <x v="21"/>
    <s v="Male"/>
    <x v="1"/>
    <x v="2"/>
    <s v="Lower-Middle"/>
    <s v="Single"/>
    <s v="With Partner"/>
    <x v="1"/>
    <x v="1"/>
    <x v="4"/>
    <n v="0"/>
    <n v="4.8899999999999997"/>
    <n v="0"/>
    <n v="1.73"/>
    <n v="7"/>
    <n v="3.1"/>
    <n v="4"/>
    <n v="7.6"/>
    <s v="Yes"/>
    <n v="7"/>
    <n v="5.9"/>
    <n v="6.2"/>
    <n v="4.3"/>
    <n v="2.9"/>
    <n v="2.6"/>
    <n v="9.1"/>
    <x v="0"/>
    <s v="Yes"/>
    <x v="0"/>
    <x v="1"/>
    <x v="0"/>
    <x v="0"/>
  </r>
  <r>
    <x v="695"/>
    <x v="7"/>
    <s v="Male"/>
    <x v="4"/>
    <x v="0"/>
    <s v="Lower-Middle"/>
    <s v="In a Relationship"/>
    <s v="Alone"/>
    <x v="3"/>
    <x v="4"/>
    <x v="0"/>
    <n v="3.2"/>
    <n v="2.66"/>
    <n v="3.56"/>
    <n v="10.48"/>
    <n v="0"/>
    <n v="6.9"/>
    <n v="7.1"/>
    <n v="4.3"/>
    <s v="Yes"/>
    <n v="6.8"/>
    <n v="4.0999999999999996"/>
    <n v="1.9"/>
    <n v="7"/>
    <n v="6.8"/>
    <n v="4.8"/>
    <n v="2.2999999999999998"/>
    <x v="2"/>
    <s v="Yes"/>
    <x v="2"/>
    <x v="2"/>
    <x v="2"/>
    <x v="2"/>
  </r>
  <r>
    <x v="696"/>
    <x v="5"/>
    <s v="Male"/>
    <x v="4"/>
    <x v="0"/>
    <s v="High"/>
    <s v="Single"/>
    <s v="With Family"/>
    <x v="1"/>
    <x v="1"/>
    <x v="1"/>
    <n v="0.69"/>
    <n v="4.84"/>
    <n v="1.91"/>
    <n v="5.59"/>
    <n v="5"/>
    <n v="6"/>
    <n v="3.5"/>
    <n v="5"/>
    <s v="No"/>
    <n v="7.2"/>
    <n v="7.2"/>
    <n v="2.2999999999999998"/>
    <n v="2.7"/>
    <n v="1"/>
    <n v="3.5"/>
    <n v="8.6999999999999993"/>
    <x v="1"/>
    <s v="Yes"/>
    <x v="0"/>
    <x v="0"/>
    <x v="0"/>
    <x v="0"/>
  </r>
  <r>
    <x v="697"/>
    <x v="2"/>
    <s v="Female"/>
    <x v="0"/>
    <x v="2"/>
    <s v="Low"/>
    <s v="In a Relationship"/>
    <s v="With Family"/>
    <x v="3"/>
    <x v="0"/>
    <x v="2"/>
    <n v="4.41"/>
    <n v="3.72"/>
    <n v="4.22"/>
    <n v="9.0399999999999991"/>
    <n v="2"/>
    <n v="8.1"/>
    <n v="9.1999999999999993"/>
    <n v="2.2999999999999998"/>
    <s v="Yes"/>
    <n v="4.8"/>
    <n v="2.8"/>
    <n v="0.2"/>
    <n v="9.3000000000000007"/>
    <n v="8.1999999999999993"/>
    <n v="10"/>
    <n v="1.3"/>
    <x v="2"/>
    <s v="No"/>
    <x v="2"/>
    <x v="2"/>
    <x v="3"/>
    <x v="2"/>
  </r>
  <r>
    <x v="698"/>
    <x v="7"/>
    <s v="Male"/>
    <x v="0"/>
    <x v="0"/>
    <s v="Lower-Middle"/>
    <s v="Single"/>
    <s v="With Partner"/>
    <x v="1"/>
    <x v="1"/>
    <x v="1"/>
    <n v="0"/>
    <n v="5.25"/>
    <n v="0"/>
    <n v="1.83"/>
    <n v="6"/>
    <n v="1.3"/>
    <n v="2.2999999999999998"/>
    <n v="8.4"/>
    <s v="No"/>
    <n v="9.4"/>
    <n v="9.9"/>
    <n v="4.2"/>
    <n v="1.2"/>
    <n v="1"/>
    <n v="1"/>
    <n v="7.1"/>
    <x v="0"/>
    <s v="No"/>
    <x v="0"/>
    <x v="2"/>
    <x v="0"/>
    <x v="1"/>
  </r>
  <r>
    <x v="699"/>
    <x v="23"/>
    <s v="Female"/>
    <x v="4"/>
    <x v="0"/>
    <s v="Low"/>
    <s v="In a Relationship"/>
    <s v="With Roommates"/>
    <x v="2"/>
    <x v="3"/>
    <x v="4"/>
    <n v="0.68"/>
    <n v="3.78"/>
    <n v="1.92"/>
    <n v="3.66"/>
    <n v="2"/>
    <n v="4.8"/>
    <n v="2.9"/>
    <n v="5.6"/>
    <s v="No"/>
    <n v="7.3"/>
    <n v="6.7"/>
    <n v="3.4"/>
    <n v="4.5999999999999996"/>
    <n v="5"/>
    <n v="5.0999999999999996"/>
    <n v="6.6"/>
    <x v="0"/>
    <s v="No"/>
    <x v="0"/>
    <x v="0"/>
    <x v="0"/>
    <x v="0"/>
  </r>
  <r>
    <x v="700"/>
    <x v="7"/>
    <s v="Female"/>
    <x v="1"/>
    <x v="3"/>
    <s v="Upper-Middle"/>
    <s v="In a Relationship"/>
    <s v="With Roommates"/>
    <x v="0"/>
    <x v="4"/>
    <x v="4"/>
    <n v="0.78"/>
    <n v="3.31"/>
    <n v="1.44"/>
    <n v="4.63"/>
    <n v="3"/>
    <n v="5.2"/>
    <n v="5.5"/>
    <n v="7.3"/>
    <s v="No"/>
    <n v="8.6"/>
    <n v="5.6"/>
    <n v="2.4"/>
    <n v="4.0999999999999996"/>
    <n v="5.2"/>
    <n v="6.2"/>
    <n v="8.1"/>
    <x v="0"/>
    <s v="No"/>
    <x v="0"/>
    <x v="2"/>
    <x v="0"/>
    <x v="0"/>
  </r>
  <r>
    <x v="701"/>
    <x v="16"/>
    <s v="Non-binary"/>
    <x v="1"/>
    <x v="2"/>
    <s v="Upper-Middle"/>
    <s v="Single"/>
    <s v="With Partner"/>
    <x v="2"/>
    <x v="1"/>
    <x v="1"/>
    <n v="0.65"/>
    <n v="2.97"/>
    <n v="2.13"/>
    <n v="4.74"/>
    <n v="4"/>
    <n v="5.0999999999999996"/>
    <n v="2.6"/>
    <n v="5.9"/>
    <s v="No"/>
    <n v="7.8"/>
    <n v="6.8"/>
    <n v="4.3"/>
    <n v="5.8"/>
    <n v="2.9"/>
    <n v="3"/>
    <n v="6.9"/>
    <x v="1"/>
    <s v="No"/>
    <x v="0"/>
    <x v="2"/>
    <x v="0"/>
    <x v="0"/>
  </r>
  <r>
    <x v="702"/>
    <x v="14"/>
    <s v="Male"/>
    <x v="1"/>
    <x v="2"/>
    <s v="Lower-Middle"/>
    <s v="Single"/>
    <s v="With Partner"/>
    <x v="1"/>
    <x v="0"/>
    <x v="3"/>
    <n v="0.31"/>
    <n v="2.16"/>
    <n v="1.5"/>
    <n v="2.92"/>
    <n v="2"/>
    <n v="3"/>
    <n v="7.7"/>
    <n v="2.8"/>
    <s v="Yes"/>
    <n v="6.7"/>
    <n v="6"/>
    <n v="2.2999999999999998"/>
    <n v="5.5"/>
    <n v="4.3"/>
    <n v="8.4"/>
    <n v="4.5999999999999996"/>
    <x v="1"/>
    <s v="Yes"/>
    <x v="1"/>
    <x v="3"/>
    <x v="0"/>
    <x v="1"/>
  </r>
  <r>
    <x v="703"/>
    <x v="8"/>
    <s v="Female"/>
    <x v="3"/>
    <x v="2"/>
    <s v="Upper-Middle"/>
    <s v="Divorced/Separated"/>
    <s v="With Partner"/>
    <x v="0"/>
    <x v="3"/>
    <x v="1"/>
    <n v="4.88"/>
    <n v="0"/>
    <n v="5.57"/>
    <n v="14.14"/>
    <n v="0"/>
    <n v="10"/>
    <n v="10"/>
    <n v="1"/>
    <s v="No"/>
    <n v="6.3"/>
    <n v="1"/>
    <n v="0.9"/>
    <n v="9.4"/>
    <n v="10"/>
    <n v="10"/>
    <n v="1"/>
    <x v="2"/>
    <s v="Yes"/>
    <x v="2"/>
    <x v="1"/>
    <x v="3"/>
    <x v="2"/>
  </r>
  <r>
    <x v="704"/>
    <x v="26"/>
    <s v="Female"/>
    <x v="1"/>
    <x v="2"/>
    <s v="Lower-Middle"/>
    <s v="Single"/>
    <s v="With Family"/>
    <x v="4"/>
    <x v="3"/>
    <x v="3"/>
    <n v="2.79"/>
    <n v="3.93"/>
    <n v="2.2400000000000002"/>
    <n v="7.08"/>
    <n v="5"/>
    <n v="6.4"/>
    <n v="5.4"/>
    <n v="4.2"/>
    <s v="No"/>
    <n v="6.3"/>
    <n v="7"/>
    <n v="2"/>
    <n v="4.0999999999999996"/>
    <n v="5.6"/>
    <n v="7.4"/>
    <n v="5.8"/>
    <x v="1"/>
    <s v="No"/>
    <x v="2"/>
    <x v="0"/>
    <x v="2"/>
    <x v="2"/>
  </r>
  <r>
    <x v="705"/>
    <x v="0"/>
    <s v="Female"/>
    <x v="0"/>
    <x v="2"/>
    <s v="Upper-Middle"/>
    <s v="In a Relationship"/>
    <s v="Alone"/>
    <x v="3"/>
    <x v="0"/>
    <x v="3"/>
    <n v="2.7"/>
    <n v="5.96"/>
    <n v="2.2599999999999998"/>
    <n v="6.55"/>
    <n v="3"/>
    <n v="4.9000000000000004"/>
    <n v="5.7"/>
    <n v="4.0999999999999996"/>
    <s v="No"/>
    <n v="6"/>
    <n v="6.2"/>
    <n v="4.4000000000000004"/>
    <n v="5.0999999999999996"/>
    <n v="4.7"/>
    <n v="5.4"/>
    <n v="6.1"/>
    <x v="2"/>
    <s v="No"/>
    <x v="2"/>
    <x v="0"/>
    <x v="2"/>
    <x v="0"/>
  </r>
  <r>
    <x v="706"/>
    <x v="11"/>
    <s v="Female"/>
    <x v="2"/>
    <x v="1"/>
    <s v="Lower-Middle"/>
    <s v="Married"/>
    <s v="With Roommates"/>
    <x v="1"/>
    <x v="1"/>
    <x v="2"/>
    <n v="1.1499999999999999"/>
    <n v="7.26"/>
    <n v="1.7"/>
    <n v="4.5999999999999996"/>
    <n v="7"/>
    <n v="3.2"/>
    <n v="1.3"/>
    <n v="6.9"/>
    <s v="No"/>
    <n v="9.1999999999999993"/>
    <n v="9"/>
    <n v="5.3"/>
    <n v="1.5"/>
    <n v="5.8"/>
    <n v="2.6"/>
    <n v="7.7"/>
    <x v="1"/>
    <s v="No"/>
    <x v="0"/>
    <x v="3"/>
    <x v="1"/>
    <x v="0"/>
  </r>
  <r>
    <x v="707"/>
    <x v="7"/>
    <s v="Female"/>
    <x v="4"/>
    <x v="1"/>
    <s v="Lower-Middle"/>
    <s v="In a Relationship"/>
    <s v="With Roommates"/>
    <x v="3"/>
    <x v="0"/>
    <x v="1"/>
    <n v="0"/>
    <n v="5.23"/>
    <n v="0.56999999999999995"/>
    <n v="4.18"/>
    <n v="7"/>
    <n v="2.1"/>
    <n v="1"/>
    <n v="10"/>
    <s v="No"/>
    <n v="8.9"/>
    <n v="8"/>
    <n v="6.9"/>
    <n v="2.2999999999999998"/>
    <n v="1"/>
    <n v="1"/>
    <n v="8.6999999999999993"/>
    <x v="0"/>
    <s v="No"/>
    <x v="0"/>
    <x v="2"/>
    <x v="0"/>
    <x v="1"/>
  </r>
  <r>
    <x v="708"/>
    <x v="6"/>
    <s v="Female"/>
    <x v="0"/>
    <x v="0"/>
    <s v="High"/>
    <s v="In a Relationship"/>
    <s v="Alone"/>
    <x v="3"/>
    <x v="3"/>
    <x v="0"/>
    <n v="2.21"/>
    <n v="2.44"/>
    <n v="4.46"/>
    <n v="9.59"/>
    <n v="3"/>
    <n v="8.1999999999999993"/>
    <n v="9.4"/>
    <n v="5.2"/>
    <s v="No"/>
    <n v="7.4"/>
    <n v="7.1"/>
    <n v="3.4"/>
    <n v="5.4"/>
    <n v="6.6"/>
    <n v="5.7"/>
    <n v="3.9"/>
    <x v="2"/>
    <s v="Yes"/>
    <x v="2"/>
    <x v="2"/>
    <x v="1"/>
    <x v="2"/>
  </r>
  <r>
    <x v="709"/>
    <x v="27"/>
    <s v="Male"/>
    <x v="1"/>
    <x v="2"/>
    <s v="Lower-Middle"/>
    <s v="Married"/>
    <s v="With Family"/>
    <x v="2"/>
    <x v="0"/>
    <x v="1"/>
    <n v="0"/>
    <n v="5.83"/>
    <n v="1.59"/>
    <n v="3.43"/>
    <n v="5"/>
    <n v="2.9"/>
    <n v="2.5"/>
    <n v="4.5"/>
    <s v="No"/>
    <n v="8.1999999999999993"/>
    <n v="7.2"/>
    <n v="5.6"/>
    <n v="4.5999999999999996"/>
    <n v="5.2"/>
    <n v="4.9000000000000004"/>
    <n v="6.9"/>
    <x v="1"/>
    <s v="No"/>
    <x v="0"/>
    <x v="1"/>
    <x v="0"/>
    <x v="1"/>
  </r>
  <r>
    <x v="710"/>
    <x v="29"/>
    <s v="Male"/>
    <x v="3"/>
    <x v="2"/>
    <s v="Low"/>
    <s v="Married"/>
    <s v="With Roommates"/>
    <x v="0"/>
    <x v="1"/>
    <x v="1"/>
    <n v="3.44"/>
    <n v="1.57"/>
    <n v="5.72"/>
    <n v="10.17"/>
    <n v="1"/>
    <n v="10"/>
    <n v="10"/>
    <n v="1"/>
    <s v="Yes"/>
    <n v="6.7"/>
    <n v="1.2"/>
    <n v="2.1"/>
    <n v="9.1999999999999993"/>
    <n v="9.8000000000000007"/>
    <n v="10"/>
    <n v="1.1000000000000001"/>
    <x v="2"/>
    <s v="No"/>
    <x v="2"/>
    <x v="1"/>
    <x v="2"/>
    <x v="2"/>
  </r>
  <r>
    <x v="711"/>
    <x v="4"/>
    <s v="Non-binary"/>
    <x v="0"/>
    <x v="1"/>
    <s v="Lower-Middle"/>
    <s v="In a Relationship"/>
    <s v="With Roommates"/>
    <x v="3"/>
    <x v="2"/>
    <x v="4"/>
    <n v="2.16"/>
    <n v="3.18"/>
    <n v="4.49"/>
    <n v="7.82"/>
    <n v="4"/>
    <n v="8.9"/>
    <n v="7.9"/>
    <n v="4.0999999999999996"/>
    <s v="No"/>
    <n v="5.9"/>
    <n v="4.5999999999999996"/>
    <n v="3.8"/>
    <n v="7.8"/>
    <n v="4.5"/>
    <n v="4.8"/>
    <n v="5.6"/>
    <x v="2"/>
    <s v="Yes"/>
    <x v="2"/>
    <x v="1"/>
    <x v="1"/>
    <x v="2"/>
  </r>
  <r>
    <x v="712"/>
    <x v="2"/>
    <s v="Female"/>
    <x v="1"/>
    <x v="2"/>
    <s v="High"/>
    <s v="In a Relationship"/>
    <s v="With Family"/>
    <x v="0"/>
    <x v="4"/>
    <x v="1"/>
    <n v="2.0099999999999998"/>
    <n v="3.37"/>
    <n v="3.12"/>
    <n v="6.65"/>
    <n v="4"/>
    <n v="5.5"/>
    <n v="6.3"/>
    <n v="5"/>
    <s v="No"/>
    <n v="6.6"/>
    <n v="4.7"/>
    <n v="4"/>
    <n v="5.8"/>
    <n v="5.0999999999999996"/>
    <n v="5.5"/>
    <n v="5.0999999999999996"/>
    <x v="1"/>
    <s v="No"/>
    <x v="0"/>
    <x v="2"/>
    <x v="1"/>
    <x v="0"/>
  </r>
  <r>
    <x v="713"/>
    <x v="10"/>
    <s v="Female"/>
    <x v="1"/>
    <x v="2"/>
    <s v="Lower-Middle"/>
    <s v="Single"/>
    <s v="Alone"/>
    <x v="0"/>
    <x v="2"/>
    <x v="4"/>
    <n v="1.21"/>
    <n v="4.74"/>
    <n v="2.87"/>
    <n v="6.59"/>
    <n v="3"/>
    <n v="5.8"/>
    <n v="6.2"/>
    <n v="4.3"/>
    <s v="Yes"/>
    <n v="6.5"/>
    <n v="4.4000000000000004"/>
    <n v="2.5"/>
    <n v="5.5"/>
    <n v="5.7"/>
    <n v="5.0999999999999996"/>
    <n v="5"/>
    <x v="1"/>
    <s v="No"/>
    <x v="2"/>
    <x v="2"/>
    <x v="1"/>
    <x v="0"/>
  </r>
  <r>
    <x v="714"/>
    <x v="11"/>
    <s v="Female"/>
    <x v="4"/>
    <x v="0"/>
    <s v="Low"/>
    <s v="Divorced/Separated"/>
    <s v="With Family"/>
    <x v="4"/>
    <x v="2"/>
    <x v="3"/>
    <n v="2.37"/>
    <n v="2.48"/>
    <n v="3.32"/>
    <n v="8.44"/>
    <n v="0"/>
    <n v="6.5"/>
    <n v="6.3"/>
    <n v="6.2"/>
    <s v="Yes"/>
    <n v="6.6"/>
    <n v="5.8"/>
    <n v="4.8"/>
    <n v="6.1"/>
    <n v="4.4000000000000004"/>
    <n v="6.2"/>
    <n v="5.5"/>
    <x v="2"/>
    <s v="Yes"/>
    <x v="1"/>
    <x v="3"/>
    <x v="1"/>
    <x v="2"/>
  </r>
  <r>
    <x v="715"/>
    <x v="20"/>
    <s v="Male"/>
    <x v="0"/>
    <x v="2"/>
    <s v="Lower-Middle"/>
    <s v="In a Relationship"/>
    <s v="With Family"/>
    <x v="3"/>
    <x v="0"/>
    <x v="4"/>
    <n v="1.1200000000000001"/>
    <n v="5.24"/>
    <n v="2.11"/>
    <n v="4.51"/>
    <n v="6"/>
    <n v="5"/>
    <n v="4.0999999999999996"/>
    <n v="8.6"/>
    <s v="No"/>
    <n v="6.1"/>
    <n v="7.9"/>
    <n v="3.8"/>
    <n v="4.5999999999999996"/>
    <n v="3.5"/>
    <n v="3.9"/>
    <n v="10"/>
    <x v="1"/>
    <s v="No"/>
    <x v="0"/>
    <x v="2"/>
    <x v="1"/>
    <x v="0"/>
  </r>
  <r>
    <x v="716"/>
    <x v="6"/>
    <s v="Male"/>
    <x v="3"/>
    <x v="0"/>
    <s v="Lower-Middle"/>
    <s v="Single"/>
    <s v="With Family"/>
    <x v="4"/>
    <x v="1"/>
    <x v="1"/>
    <n v="0"/>
    <n v="6.27"/>
    <n v="1.75"/>
    <n v="4.55"/>
    <n v="4"/>
    <n v="1"/>
    <n v="1"/>
    <n v="10"/>
    <s v="No"/>
    <n v="8.4"/>
    <n v="9.9"/>
    <n v="5.7"/>
    <n v="1"/>
    <n v="1.2"/>
    <n v="1.6"/>
    <n v="8"/>
    <x v="0"/>
    <s v="No"/>
    <x v="0"/>
    <x v="2"/>
    <x v="0"/>
    <x v="1"/>
  </r>
  <r>
    <x v="717"/>
    <x v="2"/>
    <s v="Female"/>
    <x v="4"/>
    <x v="2"/>
    <s v="Low"/>
    <s v="Married"/>
    <s v="Alone"/>
    <x v="3"/>
    <x v="1"/>
    <x v="2"/>
    <n v="0"/>
    <n v="4.6500000000000004"/>
    <n v="2.74"/>
    <n v="3.83"/>
    <n v="4"/>
    <n v="3.2"/>
    <n v="3.1"/>
    <n v="7.5"/>
    <s v="Yes"/>
    <n v="8.1"/>
    <n v="7.5"/>
    <n v="3.4"/>
    <n v="1.1000000000000001"/>
    <n v="2.2999999999999998"/>
    <n v="4.8"/>
    <n v="8.4"/>
    <x v="1"/>
    <s v="No"/>
    <x v="0"/>
    <x v="2"/>
    <x v="0"/>
    <x v="0"/>
  </r>
  <r>
    <x v="718"/>
    <x v="20"/>
    <s v="Male"/>
    <x v="0"/>
    <x v="0"/>
    <s v="Upper-Middle"/>
    <s v="In a Relationship"/>
    <s v="Alone"/>
    <x v="1"/>
    <x v="4"/>
    <x v="1"/>
    <n v="2.58"/>
    <n v="4.8099999999999996"/>
    <n v="3.29"/>
    <n v="7.26"/>
    <n v="0"/>
    <n v="3"/>
    <n v="2.8"/>
    <n v="6.8"/>
    <s v="Yes"/>
    <n v="6.4"/>
    <n v="6.4"/>
    <n v="2.7"/>
    <n v="5.9"/>
    <n v="5.8"/>
    <n v="4.0999999999999996"/>
    <n v="5.7"/>
    <x v="2"/>
    <s v="No"/>
    <x v="1"/>
    <x v="2"/>
    <x v="2"/>
    <x v="1"/>
  </r>
  <r>
    <x v="719"/>
    <x v="11"/>
    <s v="Male"/>
    <x v="0"/>
    <x v="1"/>
    <s v="High"/>
    <s v="Single"/>
    <s v="Alone"/>
    <x v="3"/>
    <x v="0"/>
    <x v="4"/>
    <n v="0.69"/>
    <n v="4.75"/>
    <n v="1.9"/>
    <n v="3.13"/>
    <n v="8"/>
    <n v="3.2"/>
    <n v="3.3"/>
    <n v="6.8"/>
    <s v="No"/>
    <n v="6.6"/>
    <n v="6.2"/>
    <n v="4.3"/>
    <n v="2.9"/>
    <n v="1.7"/>
    <n v="3.9"/>
    <n v="7.2"/>
    <x v="1"/>
    <s v="No"/>
    <x v="0"/>
    <x v="3"/>
    <x v="0"/>
    <x v="0"/>
  </r>
  <r>
    <x v="720"/>
    <x v="23"/>
    <s v="Female"/>
    <x v="0"/>
    <x v="0"/>
    <s v="Lower-Middle"/>
    <s v="In a Relationship"/>
    <s v="With Roommates"/>
    <x v="3"/>
    <x v="2"/>
    <x v="4"/>
    <n v="1.38"/>
    <n v="4.88"/>
    <n v="1.56"/>
    <n v="3.46"/>
    <n v="7"/>
    <n v="2.9"/>
    <n v="2.6"/>
    <n v="6.5"/>
    <s v="No"/>
    <n v="7.8"/>
    <n v="8.1999999999999993"/>
    <n v="5.2"/>
    <n v="5"/>
    <n v="1.8"/>
    <n v="3.7"/>
    <n v="6.9"/>
    <x v="0"/>
    <s v="No"/>
    <x v="0"/>
    <x v="0"/>
    <x v="1"/>
    <x v="1"/>
  </r>
  <r>
    <x v="721"/>
    <x v="25"/>
    <s v="Male"/>
    <x v="1"/>
    <x v="2"/>
    <s v="Lower-Middle"/>
    <s v="Single"/>
    <s v="With Partner"/>
    <x v="2"/>
    <x v="1"/>
    <x v="2"/>
    <n v="0.6"/>
    <n v="4.92"/>
    <n v="2.0699999999999998"/>
    <n v="3.76"/>
    <n v="5"/>
    <n v="2.9"/>
    <n v="1.4"/>
    <n v="5.4"/>
    <s v="No"/>
    <n v="8.1999999999999993"/>
    <n v="8"/>
    <n v="3.7"/>
    <n v="2.2999999999999998"/>
    <n v="1.7"/>
    <n v="2.9"/>
    <n v="9.6999999999999993"/>
    <x v="0"/>
    <s v="No"/>
    <x v="0"/>
    <x v="3"/>
    <x v="0"/>
    <x v="1"/>
  </r>
  <r>
    <x v="722"/>
    <x v="26"/>
    <s v="Female"/>
    <x v="0"/>
    <x v="1"/>
    <s v="Lower-Middle"/>
    <s v="Married"/>
    <s v="With Family"/>
    <x v="1"/>
    <x v="4"/>
    <x v="4"/>
    <n v="2.98"/>
    <n v="1.27"/>
    <n v="2.33"/>
    <n v="7.28"/>
    <n v="5"/>
    <n v="9.4"/>
    <n v="6.7"/>
    <n v="2.8"/>
    <s v="Yes"/>
    <n v="5.3"/>
    <n v="4"/>
    <n v="2.8"/>
    <n v="6.1"/>
    <n v="4.0999999999999996"/>
    <n v="6.3"/>
    <n v="4.3"/>
    <x v="2"/>
    <s v="Yes"/>
    <x v="2"/>
    <x v="0"/>
    <x v="2"/>
    <x v="2"/>
  </r>
  <r>
    <x v="723"/>
    <x v="10"/>
    <s v="Male"/>
    <x v="3"/>
    <x v="0"/>
    <s v="Low"/>
    <s v="Single"/>
    <s v="With Family"/>
    <x v="3"/>
    <x v="0"/>
    <x v="1"/>
    <n v="1.7"/>
    <n v="3.79"/>
    <n v="4.32"/>
    <n v="7.02"/>
    <n v="4"/>
    <n v="6.8"/>
    <n v="6.8"/>
    <n v="4.2"/>
    <s v="Yes"/>
    <n v="8.6"/>
    <n v="5.5"/>
    <n v="3.3"/>
    <n v="6.9"/>
    <n v="6"/>
    <n v="5.6"/>
    <n v="5.4"/>
    <x v="1"/>
    <s v="No"/>
    <x v="2"/>
    <x v="2"/>
    <x v="1"/>
    <x v="2"/>
  </r>
  <r>
    <x v="724"/>
    <x v="12"/>
    <s v="Female"/>
    <x v="0"/>
    <x v="2"/>
    <s v="High"/>
    <s v="Married"/>
    <s v="With Partner"/>
    <x v="3"/>
    <x v="0"/>
    <x v="1"/>
    <n v="1.38"/>
    <n v="4.68"/>
    <n v="1"/>
    <n v="5.88"/>
    <n v="4"/>
    <n v="5.3"/>
    <n v="6.7"/>
    <n v="4"/>
    <s v="No"/>
    <n v="5.7"/>
    <n v="6"/>
    <n v="3"/>
    <n v="5.8"/>
    <n v="6.7"/>
    <n v="5.8"/>
    <n v="3.9"/>
    <x v="0"/>
    <s v="No"/>
    <x v="1"/>
    <x v="3"/>
    <x v="1"/>
    <x v="0"/>
  </r>
  <r>
    <x v="725"/>
    <x v="21"/>
    <s v="Male"/>
    <x v="4"/>
    <x v="2"/>
    <s v="Lower-Middle"/>
    <s v="In a Relationship"/>
    <s v="With Family"/>
    <x v="2"/>
    <x v="3"/>
    <x v="3"/>
    <n v="1.02"/>
    <n v="2.7"/>
    <n v="3.8"/>
    <n v="5.88"/>
    <n v="4"/>
    <n v="5.9"/>
    <n v="4.5"/>
    <n v="3.4"/>
    <s v="No"/>
    <n v="6.1"/>
    <n v="5.3"/>
    <n v="6.7"/>
    <n v="6.2"/>
    <n v="5.2"/>
    <n v="6.4"/>
    <n v="4.0999999999999996"/>
    <x v="1"/>
    <s v="No"/>
    <x v="2"/>
    <x v="1"/>
    <x v="1"/>
    <x v="0"/>
  </r>
  <r>
    <x v="726"/>
    <x v="12"/>
    <s v="Male"/>
    <x v="0"/>
    <x v="0"/>
    <s v="Lower-Middle"/>
    <s v="Single"/>
    <s v="With Partner"/>
    <x v="3"/>
    <x v="0"/>
    <x v="3"/>
    <n v="0"/>
    <n v="4.3499999999999996"/>
    <n v="1.64"/>
    <n v="3.82"/>
    <n v="5"/>
    <n v="1"/>
    <n v="2.7"/>
    <n v="7.8"/>
    <s v="No"/>
    <n v="8.8000000000000007"/>
    <n v="8.8000000000000007"/>
    <n v="5.9"/>
    <n v="1.6"/>
    <n v="1"/>
    <n v="2.5"/>
    <n v="8.6"/>
    <x v="1"/>
    <s v="No"/>
    <x v="0"/>
    <x v="3"/>
    <x v="0"/>
    <x v="1"/>
  </r>
  <r>
    <x v="727"/>
    <x v="24"/>
    <s v="Male"/>
    <x v="0"/>
    <x v="1"/>
    <s v="Upper-Middle"/>
    <s v="Divorced/Separated"/>
    <s v="With Partner"/>
    <x v="0"/>
    <x v="4"/>
    <x v="2"/>
    <n v="1.06"/>
    <n v="4.26"/>
    <n v="1.42"/>
    <n v="5.8"/>
    <n v="3"/>
    <n v="3.1"/>
    <n v="2.2000000000000002"/>
    <n v="8.6999999999999993"/>
    <s v="No"/>
    <n v="8.4"/>
    <n v="8.5"/>
    <n v="5.0999999999999996"/>
    <n v="1.5"/>
    <n v="2.6"/>
    <n v="4.0999999999999996"/>
    <n v="7.3"/>
    <x v="1"/>
    <s v="No"/>
    <x v="0"/>
    <x v="1"/>
    <x v="1"/>
    <x v="0"/>
  </r>
  <r>
    <x v="728"/>
    <x v="11"/>
    <s v="Male"/>
    <x v="0"/>
    <x v="0"/>
    <s v="Lower-Middle"/>
    <s v="In a Relationship"/>
    <s v="Alone"/>
    <x v="3"/>
    <x v="0"/>
    <x v="4"/>
    <n v="1.68"/>
    <n v="3.59"/>
    <n v="3.2"/>
    <n v="6.97"/>
    <n v="5"/>
    <n v="6.1"/>
    <n v="4.4000000000000004"/>
    <n v="5.8"/>
    <s v="No"/>
    <n v="7.6"/>
    <n v="6.8"/>
    <n v="2.6"/>
    <n v="4.3"/>
    <n v="3.7"/>
    <n v="2.2000000000000002"/>
    <n v="5.9"/>
    <x v="2"/>
    <s v="No"/>
    <x v="1"/>
    <x v="3"/>
    <x v="1"/>
    <x v="2"/>
  </r>
  <r>
    <x v="729"/>
    <x v="27"/>
    <s v="Male"/>
    <x v="0"/>
    <x v="2"/>
    <s v="Upper-Middle"/>
    <s v="Single"/>
    <s v="With Partner"/>
    <x v="3"/>
    <x v="3"/>
    <x v="1"/>
    <n v="0"/>
    <n v="5.32"/>
    <n v="1.91"/>
    <n v="3.55"/>
    <n v="5"/>
    <n v="2.6"/>
    <n v="1"/>
    <n v="6.9"/>
    <s v="No"/>
    <n v="7.1"/>
    <n v="10"/>
    <n v="5.4"/>
    <n v="1"/>
    <n v="3.2"/>
    <n v="4.3"/>
    <n v="10"/>
    <x v="0"/>
    <s v="No"/>
    <x v="0"/>
    <x v="1"/>
    <x v="0"/>
    <x v="1"/>
  </r>
  <r>
    <x v="730"/>
    <x v="21"/>
    <s v="Female"/>
    <x v="0"/>
    <x v="2"/>
    <s v="Low"/>
    <s v="In a Relationship"/>
    <s v="With Family"/>
    <x v="1"/>
    <x v="0"/>
    <x v="1"/>
    <n v="1.05"/>
    <n v="5.5"/>
    <n v="1.3"/>
    <n v="4.5"/>
    <n v="1"/>
    <n v="5.5"/>
    <n v="4"/>
    <n v="5.8"/>
    <s v="No"/>
    <n v="6.5"/>
    <n v="7.3"/>
    <n v="4.2"/>
    <n v="7.2"/>
    <n v="4"/>
    <n v="6.3"/>
    <n v="6.4"/>
    <x v="1"/>
    <s v="Yes"/>
    <x v="1"/>
    <x v="1"/>
    <x v="1"/>
    <x v="0"/>
  </r>
  <r>
    <x v="731"/>
    <x v="0"/>
    <s v="Female"/>
    <x v="1"/>
    <x v="2"/>
    <s v="Upper-Middle"/>
    <s v="Married"/>
    <s v="With Family"/>
    <x v="1"/>
    <x v="1"/>
    <x v="4"/>
    <n v="0"/>
    <n v="6.88"/>
    <n v="2.65"/>
    <n v="4.09"/>
    <n v="7"/>
    <n v="1.4"/>
    <n v="2.1"/>
    <n v="6.8"/>
    <s v="No"/>
    <n v="7.1"/>
    <n v="7"/>
    <n v="5.5"/>
    <n v="1"/>
    <n v="1"/>
    <n v="2.2000000000000002"/>
    <n v="7.9"/>
    <x v="1"/>
    <s v="No"/>
    <x v="0"/>
    <x v="0"/>
    <x v="0"/>
    <x v="1"/>
  </r>
  <r>
    <x v="732"/>
    <x v="10"/>
    <s v="Male"/>
    <x v="0"/>
    <x v="1"/>
    <s v="High"/>
    <s v="Single"/>
    <s v="With Roommates"/>
    <x v="1"/>
    <x v="3"/>
    <x v="1"/>
    <n v="0.26"/>
    <n v="6.65"/>
    <n v="0.92"/>
    <n v="2.1800000000000002"/>
    <n v="7"/>
    <n v="1"/>
    <n v="1"/>
    <n v="8.1999999999999993"/>
    <s v="No"/>
    <n v="7.9"/>
    <n v="8.1999999999999993"/>
    <n v="8.1"/>
    <n v="1"/>
    <n v="1.1000000000000001"/>
    <n v="1.3"/>
    <n v="8.4"/>
    <x v="0"/>
    <s v="No"/>
    <x v="0"/>
    <x v="2"/>
    <x v="0"/>
    <x v="1"/>
  </r>
  <r>
    <x v="733"/>
    <x v="9"/>
    <s v="Female"/>
    <x v="1"/>
    <x v="2"/>
    <s v="Upper-Middle"/>
    <s v="Single"/>
    <s v="With Family"/>
    <x v="3"/>
    <x v="0"/>
    <x v="1"/>
    <n v="2.57"/>
    <n v="3.31"/>
    <n v="5.55"/>
    <n v="10.74"/>
    <n v="5"/>
    <n v="6.5"/>
    <n v="7.1"/>
    <n v="2.4"/>
    <s v="Yes"/>
    <n v="6.8"/>
    <n v="4.8"/>
    <n v="0.6"/>
    <n v="6.8"/>
    <n v="5.8"/>
    <n v="6.2"/>
    <n v="3.7"/>
    <x v="2"/>
    <s v="No"/>
    <x v="2"/>
    <x v="2"/>
    <x v="2"/>
    <x v="2"/>
  </r>
  <r>
    <x v="734"/>
    <x v="16"/>
    <s v="Female"/>
    <x v="1"/>
    <x v="0"/>
    <s v="High"/>
    <s v="Single"/>
    <s v="With Partner"/>
    <x v="4"/>
    <x v="0"/>
    <x v="1"/>
    <n v="1.89"/>
    <n v="1.94"/>
    <n v="4.32"/>
    <n v="7.62"/>
    <n v="3"/>
    <n v="7.5"/>
    <n v="5.6"/>
    <n v="4.5"/>
    <s v="No"/>
    <n v="5.5"/>
    <n v="3.7"/>
    <n v="2.2000000000000002"/>
    <n v="6.6"/>
    <n v="5.8"/>
    <n v="5.7"/>
    <n v="3.5"/>
    <x v="2"/>
    <s v="Yes"/>
    <x v="2"/>
    <x v="2"/>
    <x v="1"/>
    <x v="2"/>
  </r>
  <r>
    <x v="735"/>
    <x v="25"/>
    <s v="Female"/>
    <x v="0"/>
    <x v="1"/>
    <s v="Low"/>
    <s v="Single"/>
    <s v="With Family"/>
    <x v="2"/>
    <x v="0"/>
    <x v="3"/>
    <n v="1.5"/>
    <n v="6.37"/>
    <n v="1.92"/>
    <n v="6.36"/>
    <n v="3"/>
    <n v="3.4"/>
    <n v="3.8"/>
    <n v="6.9"/>
    <s v="No"/>
    <n v="5.9"/>
    <n v="8.1"/>
    <n v="5.8"/>
    <n v="2.5"/>
    <n v="1.4"/>
    <n v="3"/>
    <n v="6.7"/>
    <x v="0"/>
    <s v="No"/>
    <x v="0"/>
    <x v="3"/>
    <x v="1"/>
    <x v="0"/>
  </r>
  <r>
    <x v="736"/>
    <x v="15"/>
    <s v="Male"/>
    <x v="0"/>
    <x v="2"/>
    <s v="Lower-Middle"/>
    <s v="Married"/>
    <s v="Alone"/>
    <x v="3"/>
    <x v="1"/>
    <x v="1"/>
    <n v="0.9"/>
    <n v="5.42"/>
    <n v="0.28999999999999998"/>
    <n v="3.99"/>
    <n v="4"/>
    <n v="1.9"/>
    <n v="1.4"/>
    <n v="8.8000000000000007"/>
    <s v="No"/>
    <n v="9.1"/>
    <n v="9.8000000000000007"/>
    <n v="4.5"/>
    <n v="1.3"/>
    <n v="3"/>
    <n v="2.8"/>
    <n v="9"/>
    <x v="1"/>
    <s v="No"/>
    <x v="0"/>
    <x v="1"/>
    <x v="0"/>
    <x v="1"/>
  </r>
  <r>
    <x v="737"/>
    <x v="21"/>
    <s v="Female"/>
    <x v="2"/>
    <x v="1"/>
    <s v="Upper-Middle"/>
    <s v="In a Relationship"/>
    <s v="Alone"/>
    <x v="1"/>
    <x v="1"/>
    <x v="2"/>
    <n v="0"/>
    <n v="6.71"/>
    <n v="0.18"/>
    <n v="2.35"/>
    <n v="9"/>
    <n v="1.1000000000000001"/>
    <n v="1"/>
    <n v="10"/>
    <s v="No"/>
    <n v="8.4"/>
    <n v="9.9"/>
    <n v="4.3"/>
    <n v="1"/>
    <n v="1"/>
    <n v="2.2000000000000002"/>
    <n v="10"/>
    <x v="0"/>
    <s v="No"/>
    <x v="0"/>
    <x v="1"/>
    <x v="0"/>
    <x v="1"/>
  </r>
  <r>
    <x v="738"/>
    <x v="9"/>
    <s v="Male"/>
    <x v="0"/>
    <x v="1"/>
    <s v="Lower-Middle"/>
    <s v="Single"/>
    <s v="With Roommates"/>
    <x v="0"/>
    <x v="3"/>
    <x v="1"/>
    <n v="4.6100000000000003"/>
    <n v="2.6"/>
    <n v="4.49"/>
    <n v="12.07"/>
    <n v="1"/>
    <n v="10"/>
    <n v="10"/>
    <n v="1"/>
    <s v="Yes"/>
    <n v="6.4"/>
    <n v="4.5999999999999996"/>
    <n v="1"/>
    <n v="7.9"/>
    <n v="8.9"/>
    <n v="8.5"/>
    <n v="3"/>
    <x v="2"/>
    <s v="No"/>
    <x v="2"/>
    <x v="2"/>
    <x v="3"/>
    <x v="2"/>
  </r>
  <r>
    <x v="739"/>
    <x v="29"/>
    <s v="Male"/>
    <x v="3"/>
    <x v="1"/>
    <s v="Lower-Middle"/>
    <s v="Single"/>
    <s v="With Family"/>
    <x v="3"/>
    <x v="1"/>
    <x v="1"/>
    <n v="2.62"/>
    <n v="3.94"/>
    <n v="4.08"/>
    <n v="8.15"/>
    <n v="3"/>
    <n v="6.3"/>
    <n v="5.2"/>
    <n v="6.4"/>
    <s v="No"/>
    <n v="6.6"/>
    <n v="8"/>
    <n v="5.4"/>
    <n v="5.2"/>
    <n v="3.7"/>
    <n v="8.6999999999999993"/>
    <n v="5.9"/>
    <x v="1"/>
    <s v="No"/>
    <x v="1"/>
    <x v="1"/>
    <x v="2"/>
    <x v="2"/>
  </r>
  <r>
    <x v="740"/>
    <x v="9"/>
    <s v="Prefer not to say"/>
    <x v="0"/>
    <x v="2"/>
    <s v="Lower-Middle"/>
    <s v="Single"/>
    <s v="With Family"/>
    <x v="3"/>
    <x v="1"/>
    <x v="1"/>
    <n v="0"/>
    <n v="5.82"/>
    <n v="3.12"/>
    <n v="5.9"/>
    <n v="4"/>
    <n v="4.9000000000000004"/>
    <n v="4"/>
    <n v="9.8000000000000007"/>
    <s v="No"/>
    <n v="7.9"/>
    <n v="5.4"/>
    <n v="3.4"/>
    <n v="2"/>
    <n v="3.5"/>
    <n v="5.5"/>
    <n v="7.4"/>
    <x v="1"/>
    <s v="No"/>
    <x v="0"/>
    <x v="2"/>
    <x v="0"/>
    <x v="0"/>
  </r>
  <r>
    <x v="741"/>
    <x v="20"/>
    <s v="Male"/>
    <x v="0"/>
    <x v="2"/>
    <s v="Low"/>
    <s v="Married"/>
    <s v="With Partner"/>
    <x v="2"/>
    <x v="1"/>
    <x v="4"/>
    <n v="2.52"/>
    <n v="4.8600000000000003"/>
    <n v="2.59"/>
    <n v="7.88"/>
    <n v="6"/>
    <n v="4.8"/>
    <n v="5"/>
    <n v="5.5"/>
    <s v="No"/>
    <n v="9.3000000000000007"/>
    <n v="5.4"/>
    <n v="3.9"/>
    <n v="5.0999999999999996"/>
    <n v="3.3"/>
    <n v="5.3"/>
    <n v="9.6999999999999993"/>
    <x v="1"/>
    <s v="No"/>
    <x v="1"/>
    <x v="2"/>
    <x v="2"/>
    <x v="0"/>
  </r>
  <r>
    <x v="742"/>
    <x v="12"/>
    <s v="Female"/>
    <x v="1"/>
    <x v="1"/>
    <s v="Lower-Middle"/>
    <s v="Single"/>
    <s v="With Family"/>
    <x v="2"/>
    <x v="0"/>
    <x v="4"/>
    <n v="0"/>
    <n v="7.09"/>
    <n v="2.36"/>
    <n v="4.05"/>
    <n v="8"/>
    <n v="1.2"/>
    <n v="1.1000000000000001"/>
    <n v="7.8"/>
    <s v="No"/>
    <n v="7.3"/>
    <n v="10"/>
    <n v="6.9"/>
    <n v="1"/>
    <n v="1"/>
    <n v="2.6"/>
    <n v="8.8000000000000007"/>
    <x v="0"/>
    <s v="No"/>
    <x v="0"/>
    <x v="3"/>
    <x v="0"/>
    <x v="1"/>
  </r>
  <r>
    <x v="743"/>
    <x v="26"/>
    <s v="Female"/>
    <x v="1"/>
    <x v="2"/>
    <s v="Low"/>
    <s v="Divorced/Separated"/>
    <s v="With Partner"/>
    <x v="2"/>
    <x v="0"/>
    <x v="1"/>
    <n v="2.7"/>
    <n v="3.77"/>
    <n v="1.1000000000000001"/>
    <n v="5.37"/>
    <n v="5"/>
    <n v="8.6999999999999993"/>
    <n v="5.8"/>
    <n v="3.1"/>
    <s v="Yes"/>
    <n v="5.9"/>
    <n v="6.4"/>
    <n v="2.4"/>
    <n v="5"/>
    <n v="4.3"/>
    <n v="6.2"/>
    <n v="4.8"/>
    <x v="2"/>
    <s v="No"/>
    <x v="2"/>
    <x v="0"/>
    <x v="2"/>
    <x v="2"/>
  </r>
  <r>
    <x v="744"/>
    <x v="16"/>
    <s v="Female"/>
    <x v="1"/>
    <x v="0"/>
    <s v="Upper-Middle"/>
    <s v="In a Relationship"/>
    <s v="Alone"/>
    <x v="3"/>
    <x v="2"/>
    <x v="0"/>
    <n v="4"/>
    <n v="1.76"/>
    <n v="4.96"/>
    <n v="11.29"/>
    <n v="1"/>
    <n v="10"/>
    <n v="10"/>
    <n v="2.5"/>
    <s v="Yes"/>
    <n v="4.8"/>
    <n v="3.5"/>
    <n v="0.9"/>
    <n v="8.1"/>
    <n v="8.8000000000000007"/>
    <n v="9"/>
    <n v="1"/>
    <x v="2"/>
    <s v="No"/>
    <x v="2"/>
    <x v="2"/>
    <x v="2"/>
    <x v="2"/>
  </r>
  <r>
    <x v="745"/>
    <x v="21"/>
    <s v="Female"/>
    <x v="0"/>
    <x v="1"/>
    <s v="Low"/>
    <s v="Single"/>
    <s v="With Roommates"/>
    <x v="3"/>
    <x v="4"/>
    <x v="2"/>
    <n v="0"/>
    <n v="4.9400000000000004"/>
    <n v="2.97"/>
    <n v="6.94"/>
    <n v="4"/>
    <n v="2.2999999999999998"/>
    <n v="1"/>
    <n v="9.8000000000000007"/>
    <s v="No"/>
    <n v="9.4"/>
    <n v="7.9"/>
    <n v="4"/>
    <n v="4.3"/>
    <n v="4"/>
    <n v="3.9"/>
    <n v="7"/>
    <x v="0"/>
    <s v="No"/>
    <x v="0"/>
    <x v="1"/>
    <x v="0"/>
    <x v="1"/>
  </r>
  <r>
    <x v="746"/>
    <x v="21"/>
    <s v="Male"/>
    <x v="1"/>
    <x v="1"/>
    <s v="Low"/>
    <s v="Married"/>
    <s v="With Roommates"/>
    <x v="2"/>
    <x v="0"/>
    <x v="4"/>
    <n v="4.33"/>
    <n v="1.32"/>
    <n v="5.43"/>
    <n v="11.53"/>
    <n v="3"/>
    <n v="8"/>
    <n v="10"/>
    <n v="3.5"/>
    <s v="Yes"/>
    <n v="5.3"/>
    <n v="2.1"/>
    <n v="0.3"/>
    <n v="10"/>
    <n v="7.8"/>
    <n v="10"/>
    <n v="1"/>
    <x v="2"/>
    <s v="No"/>
    <x v="2"/>
    <x v="1"/>
    <x v="3"/>
    <x v="2"/>
  </r>
  <r>
    <x v="747"/>
    <x v="16"/>
    <s v="Male"/>
    <x v="1"/>
    <x v="2"/>
    <s v="Lower-Middle"/>
    <s v="In a Relationship"/>
    <s v="With Family"/>
    <x v="3"/>
    <x v="1"/>
    <x v="2"/>
    <n v="1.71"/>
    <n v="2.84"/>
    <n v="1.05"/>
    <n v="4.3099999999999996"/>
    <n v="4"/>
    <n v="4.5"/>
    <n v="6.3"/>
    <n v="7.3"/>
    <s v="No"/>
    <n v="7.9"/>
    <n v="7.4"/>
    <n v="2.4"/>
    <n v="4.5999999999999996"/>
    <n v="2.8"/>
    <n v="4.5"/>
    <n v="5.3"/>
    <x v="0"/>
    <s v="No"/>
    <x v="0"/>
    <x v="2"/>
    <x v="1"/>
    <x v="0"/>
  </r>
  <r>
    <x v="748"/>
    <x v="1"/>
    <s v="Female"/>
    <x v="1"/>
    <x v="0"/>
    <s v="Lower-Middle"/>
    <s v="In a Relationship"/>
    <s v="Alone"/>
    <x v="1"/>
    <x v="4"/>
    <x v="2"/>
    <n v="2.78"/>
    <n v="1.17"/>
    <n v="5.56"/>
    <n v="11.52"/>
    <n v="3"/>
    <n v="9.4"/>
    <n v="7.7"/>
    <n v="3.8"/>
    <s v="Yes"/>
    <n v="3.5"/>
    <n v="3.7"/>
    <n v="1.6"/>
    <n v="7.1"/>
    <n v="10"/>
    <n v="7.4"/>
    <n v="1.4"/>
    <x v="2"/>
    <s v="No"/>
    <x v="2"/>
    <x v="1"/>
    <x v="2"/>
    <x v="2"/>
  </r>
  <r>
    <x v="749"/>
    <x v="24"/>
    <s v="Male"/>
    <x v="2"/>
    <x v="2"/>
    <s v="Upper-Middle"/>
    <s v="Divorced/Separated"/>
    <s v="With Partner"/>
    <x v="1"/>
    <x v="1"/>
    <x v="3"/>
    <n v="1.84"/>
    <n v="4.4000000000000004"/>
    <n v="3.57"/>
    <n v="7.48"/>
    <n v="5"/>
    <n v="6.8"/>
    <n v="6.3"/>
    <n v="6"/>
    <s v="No"/>
    <n v="7.1"/>
    <n v="7.5"/>
    <n v="5.2"/>
    <n v="5.8"/>
    <n v="3.4"/>
    <n v="6.9"/>
    <n v="3.8"/>
    <x v="2"/>
    <s v="Yes"/>
    <x v="1"/>
    <x v="1"/>
    <x v="1"/>
    <x v="2"/>
  </r>
  <r>
    <x v="750"/>
    <x v="20"/>
    <s v="Male"/>
    <x v="1"/>
    <x v="1"/>
    <s v="Lower-Middle"/>
    <s v="Single"/>
    <s v="Alone"/>
    <x v="3"/>
    <x v="0"/>
    <x v="2"/>
    <n v="0.95"/>
    <n v="2.4"/>
    <n v="3.15"/>
    <n v="6.97"/>
    <n v="4"/>
    <n v="4.2"/>
    <n v="7.4"/>
    <n v="6.3"/>
    <s v="No"/>
    <n v="6.5"/>
    <n v="5.0999999999999996"/>
    <n v="6"/>
    <n v="5.0999999999999996"/>
    <n v="4"/>
    <n v="5"/>
    <n v="5.6"/>
    <x v="0"/>
    <s v="No"/>
    <x v="0"/>
    <x v="2"/>
    <x v="0"/>
    <x v="0"/>
  </r>
  <r>
    <x v="751"/>
    <x v="13"/>
    <s v="Male"/>
    <x v="0"/>
    <x v="3"/>
    <s v="Lower-Middle"/>
    <s v="Single"/>
    <s v="With Partner"/>
    <x v="4"/>
    <x v="0"/>
    <x v="1"/>
    <n v="3.59"/>
    <n v="1.57"/>
    <n v="4.43"/>
    <n v="11.5"/>
    <n v="0"/>
    <n v="9.9"/>
    <n v="9.8000000000000007"/>
    <n v="2.7"/>
    <s v="No"/>
    <n v="7"/>
    <n v="3.2"/>
    <n v="3.7"/>
    <n v="10"/>
    <n v="9.5"/>
    <n v="7"/>
    <n v="3.3"/>
    <x v="2"/>
    <s v="No"/>
    <x v="2"/>
    <x v="2"/>
    <x v="2"/>
    <x v="2"/>
  </r>
  <r>
    <x v="752"/>
    <x v="29"/>
    <s v="Male"/>
    <x v="1"/>
    <x v="0"/>
    <s v="Upper-Middle"/>
    <s v="In a Relationship"/>
    <s v="Alone"/>
    <x v="0"/>
    <x v="1"/>
    <x v="4"/>
    <n v="1.44"/>
    <n v="2.09"/>
    <n v="5.28"/>
    <n v="6.8"/>
    <n v="2"/>
    <n v="8.1"/>
    <n v="7.6"/>
    <n v="3.4"/>
    <s v="No"/>
    <n v="7"/>
    <n v="6.2"/>
    <n v="3.3"/>
    <n v="6"/>
    <n v="7.3"/>
    <n v="5.4"/>
    <n v="3.6"/>
    <x v="1"/>
    <s v="No"/>
    <x v="2"/>
    <x v="1"/>
    <x v="1"/>
    <x v="2"/>
  </r>
  <r>
    <x v="753"/>
    <x v="22"/>
    <s v="Male"/>
    <x v="0"/>
    <x v="0"/>
    <s v="Lower-Middle"/>
    <s v="Single"/>
    <s v="With Family"/>
    <x v="2"/>
    <x v="2"/>
    <x v="1"/>
    <n v="0.82"/>
    <n v="3.13"/>
    <n v="3.32"/>
    <n v="6.1"/>
    <n v="4"/>
    <n v="6.6"/>
    <n v="3.5"/>
    <n v="7.5"/>
    <s v="No"/>
    <n v="6.4"/>
    <n v="6"/>
    <n v="6"/>
    <n v="7.3"/>
    <n v="1.9"/>
    <n v="6.5"/>
    <n v="2.9"/>
    <x v="1"/>
    <s v="Yes"/>
    <x v="1"/>
    <x v="2"/>
    <x v="0"/>
    <x v="2"/>
  </r>
  <r>
    <x v="754"/>
    <x v="8"/>
    <s v="Male"/>
    <x v="1"/>
    <x v="1"/>
    <s v="Low"/>
    <s v="Single"/>
    <s v="With Family"/>
    <x v="3"/>
    <x v="3"/>
    <x v="1"/>
    <n v="0"/>
    <n v="5.98"/>
    <n v="0.32"/>
    <n v="2.09"/>
    <n v="8"/>
    <n v="1.2"/>
    <n v="1"/>
    <n v="10"/>
    <s v="No"/>
    <n v="9.8000000000000007"/>
    <n v="10"/>
    <n v="9.8000000000000007"/>
    <n v="1"/>
    <n v="1"/>
    <n v="4.9000000000000004"/>
    <n v="9.8000000000000007"/>
    <x v="0"/>
    <s v="No"/>
    <x v="0"/>
    <x v="1"/>
    <x v="0"/>
    <x v="1"/>
  </r>
  <r>
    <x v="755"/>
    <x v="21"/>
    <s v="Female"/>
    <x v="1"/>
    <x v="2"/>
    <s v="Lower-Middle"/>
    <s v="Single"/>
    <s v="With Partner"/>
    <x v="3"/>
    <x v="0"/>
    <x v="1"/>
    <n v="0"/>
    <n v="5.25"/>
    <n v="0.18"/>
    <n v="1.22"/>
    <n v="8"/>
    <n v="1.5"/>
    <n v="2.6"/>
    <n v="8"/>
    <s v="No"/>
    <n v="9.6"/>
    <n v="10"/>
    <n v="6.1"/>
    <n v="1"/>
    <n v="1"/>
    <n v="1.4"/>
    <n v="9.4"/>
    <x v="1"/>
    <s v="Yes"/>
    <x v="0"/>
    <x v="1"/>
    <x v="0"/>
    <x v="1"/>
  </r>
  <r>
    <x v="756"/>
    <x v="11"/>
    <s v="Female"/>
    <x v="0"/>
    <x v="2"/>
    <s v="High"/>
    <s v="Single"/>
    <s v="With Family"/>
    <x v="1"/>
    <x v="0"/>
    <x v="3"/>
    <n v="1.71"/>
    <n v="2.0699999999999998"/>
    <n v="3.72"/>
    <n v="5.5"/>
    <n v="5"/>
    <n v="5.5"/>
    <n v="6.8"/>
    <n v="5.9"/>
    <s v="No"/>
    <n v="8"/>
    <n v="5.2"/>
    <n v="2"/>
    <n v="9.4"/>
    <n v="4.8"/>
    <n v="6.6"/>
    <n v="5.9"/>
    <x v="1"/>
    <s v="Yes"/>
    <x v="0"/>
    <x v="3"/>
    <x v="1"/>
    <x v="0"/>
  </r>
  <r>
    <x v="757"/>
    <x v="15"/>
    <s v="Female"/>
    <x v="1"/>
    <x v="3"/>
    <s v="Lower-Middle"/>
    <s v="Married"/>
    <s v="With Partner"/>
    <x v="3"/>
    <x v="3"/>
    <x v="0"/>
    <n v="2.9"/>
    <n v="2.2000000000000002"/>
    <n v="4.95"/>
    <n v="8.26"/>
    <n v="0"/>
    <n v="9.1999999999999993"/>
    <n v="8.6"/>
    <n v="5"/>
    <s v="Yes"/>
    <n v="6.7"/>
    <n v="2.6"/>
    <n v="4.2"/>
    <n v="5.7"/>
    <n v="8.5"/>
    <n v="7.7"/>
    <n v="2"/>
    <x v="2"/>
    <s v="No"/>
    <x v="2"/>
    <x v="1"/>
    <x v="2"/>
    <x v="2"/>
  </r>
  <r>
    <x v="758"/>
    <x v="2"/>
    <s v="Male"/>
    <x v="1"/>
    <x v="0"/>
    <s v="Lower-Middle"/>
    <s v="Single"/>
    <s v="With Partner"/>
    <x v="5"/>
    <x v="4"/>
    <x v="0"/>
    <n v="3.85"/>
    <n v="2.9"/>
    <n v="2.68"/>
    <n v="8.6300000000000008"/>
    <n v="6"/>
    <n v="6"/>
    <n v="4.5"/>
    <n v="6.3"/>
    <s v="No"/>
    <n v="6.7"/>
    <n v="5.4"/>
    <n v="2"/>
    <n v="2.4"/>
    <n v="3.9"/>
    <n v="6.6"/>
    <n v="5"/>
    <x v="2"/>
    <s v="No"/>
    <x v="2"/>
    <x v="2"/>
    <x v="2"/>
    <x v="0"/>
  </r>
  <r>
    <x v="759"/>
    <x v="26"/>
    <s v="Male"/>
    <x v="1"/>
    <x v="2"/>
    <s v="Low"/>
    <s v="In a Relationship"/>
    <s v="With Family"/>
    <x v="3"/>
    <x v="1"/>
    <x v="2"/>
    <n v="1.22"/>
    <n v="4.01"/>
    <n v="1.35"/>
    <n v="4.03"/>
    <n v="3"/>
    <n v="3.3"/>
    <n v="3.4"/>
    <n v="6.9"/>
    <s v="No"/>
    <n v="7.6"/>
    <n v="6.3"/>
    <n v="3.4"/>
    <n v="1"/>
    <n v="2.1"/>
    <n v="4.8"/>
    <n v="5.8"/>
    <x v="1"/>
    <s v="No"/>
    <x v="0"/>
    <x v="0"/>
    <x v="1"/>
    <x v="0"/>
  </r>
  <r>
    <x v="760"/>
    <x v="8"/>
    <s v="Male"/>
    <x v="1"/>
    <x v="0"/>
    <s v="Low"/>
    <s v="In a Relationship"/>
    <s v="With Family"/>
    <x v="1"/>
    <x v="3"/>
    <x v="2"/>
    <n v="0"/>
    <n v="6.76"/>
    <n v="1.99"/>
    <n v="3.19"/>
    <n v="8"/>
    <n v="4"/>
    <n v="2.2000000000000002"/>
    <n v="10"/>
    <s v="No"/>
    <n v="7.9"/>
    <n v="7.6"/>
    <n v="3.1"/>
    <n v="4.0999999999999996"/>
    <n v="1"/>
    <n v="3.3"/>
    <n v="8.6"/>
    <x v="0"/>
    <s v="Yes"/>
    <x v="0"/>
    <x v="1"/>
    <x v="0"/>
    <x v="0"/>
  </r>
  <r>
    <x v="761"/>
    <x v="15"/>
    <s v="Female"/>
    <x v="1"/>
    <x v="2"/>
    <s v="Lower-Middle"/>
    <s v="Single"/>
    <s v="With Roommates"/>
    <x v="1"/>
    <x v="0"/>
    <x v="0"/>
    <n v="0"/>
    <n v="5.82"/>
    <n v="0.83"/>
    <n v="2.92"/>
    <n v="9"/>
    <n v="1.5"/>
    <n v="2.5"/>
    <n v="7.9"/>
    <s v="No"/>
    <n v="7.7"/>
    <n v="9.1999999999999993"/>
    <n v="6"/>
    <n v="5.5"/>
    <n v="1.9"/>
    <n v="4"/>
    <n v="6.5"/>
    <x v="0"/>
    <s v="No"/>
    <x v="0"/>
    <x v="1"/>
    <x v="0"/>
    <x v="1"/>
  </r>
  <r>
    <x v="762"/>
    <x v="26"/>
    <s v="Female"/>
    <x v="1"/>
    <x v="1"/>
    <s v="Lower-Middle"/>
    <s v="Single"/>
    <s v="With Family"/>
    <x v="2"/>
    <x v="4"/>
    <x v="4"/>
    <n v="2.0699999999999998"/>
    <n v="2.54"/>
    <n v="4.5999999999999996"/>
    <n v="7.98"/>
    <n v="4"/>
    <n v="5"/>
    <n v="5.7"/>
    <n v="4.9000000000000004"/>
    <s v="Yes"/>
    <n v="6.4"/>
    <n v="4"/>
    <n v="0.4"/>
    <n v="4.9000000000000004"/>
    <n v="4.7"/>
    <n v="4.2"/>
    <n v="5.0999999999999996"/>
    <x v="2"/>
    <s v="No"/>
    <x v="1"/>
    <x v="0"/>
    <x v="1"/>
    <x v="0"/>
  </r>
  <r>
    <x v="763"/>
    <x v="0"/>
    <s v="Male"/>
    <x v="3"/>
    <x v="2"/>
    <s v="Low"/>
    <s v="Married"/>
    <s v="With Roommates"/>
    <x v="3"/>
    <x v="4"/>
    <x v="4"/>
    <n v="0.2"/>
    <n v="6.51"/>
    <n v="0.91"/>
    <n v="4.4000000000000004"/>
    <n v="3"/>
    <n v="2.2000000000000002"/>
    <n v="3.3"/>
    <n v="6.2"/>
    <s v="No"/>
    <n v="7.4"/>
    <n v="10"/>
    <n v="6.5"/>
    <n v="3.3"/>
    <n v="3.8"/>
    <n v="2.7"/>
    <n v="7.3"/>
    <x v="0"/>
    <s v="No"/>
    <x v="0"/>
    <x v="0"/>
    <x v="0"/>
    <x v="1"/>
  </r>
  <r>
    <x v="764"/>
    <x v="18"/>
    <s v="Non-binary"/>
    <x v="0"/>
    <x v="3"/>
    <s v="High"/>
    <s v="Single"/>
    <s v="Alone"/>
    <x v="1"/>
    <x v="0"/>
    <x v="1"/>
    <n v="0"/>
    <n v="4.55"/>
    <n v="0.26"/>
    <n v="1.64"/>
    <n v="5"/>
    <n v="3.3"/>
    <n v="1.4"/>
    <n v="4.0999999999999996"/>
    <s v="No"/>
    <n v="9.6"/>
    <n v="7.6"/>
    <n v="7.9"/>
    <n v="2.9"/>
    <n v="2.5"/>
    <n v="3.6"/>
    <n v="8"/>
    <x v="0"/>
    <s v="No"/>
    <x v="0"/>
    <x v="2"/>
    <x v="0"/>
    <x v="0"/>
  </r>
  <r>
    <x v="765"/>
    <x v="28"/>
    <s v="Male"/>
    <x v="0"/>
    <x v="2"/>
    <s v="Upper-Middle"/>
    <s v="Married"/>
    <s v="Alone"/>
    <x v="3"/>
    <x v="3"/>
    <x v="2"/>
    <n v="2.98"/>
    <n v="3.46"/>
    <n v="1.3"/>
    <n v="7.78"/>
    <n v="7"/>
    <n v="2.5"/>
    <n v="3.7"/>
    <n v="8.6999999999999993"/>
    <s v="No"/>
    <n v="7.3"/>
    <n v="6.3"/>
    <n v="6.7"/>
    <n v="2.2999999999999998"/>
    <n v="3.9"/>
    <n v="5.5"/>
    <n v="5.0999999999999996"/>
    <x v="1"/>
    <s v="No"/>
    <x v="0"/>
    <x v="1"/>
    <x v="2"/>
    <x v="1"/>
  </r>
  <r>
    <x v="766"/>
    <x v="1"/>
    <s v="Female"/>
    <x v="1"/>
    <x v="2"/>
    <s v="Lower-Middle"/>
    <s v="Married"/>
    <s v="With Roommates"/>
    <x v="0"/>
    <x v="0"/>
    <x v="1"/>
    <n v="3.84"/>
    <n v="1.52"/>
    <n v="2.84"/>
    <n v="8.65"/>
    <n v="2"/>
    <n v="9.6999999999999993"/>
    <n v="9.8000000000000007"/>
    <n v="2"/>
    <s v="Yes"/>
    <n v="5.6"/>
    <n v="2.1"/>
    <n v="0.4"/>
    <n v="9.1"/>
    <n v="7.7"/>
    <n v="7"/>
    <n v="3.1"/>
    <x v="2"/>
    <s v="No"/>
    <x v="2"/>
    <x v="1"/>
    <x v="2"/>
    <x v="2"/>
  </r>
  <r>
    <x v="767"/>
    <x v="8"/>
    <s v="Female"/>
    <x v="2"/>
    <x v="0"/>
    <s v="Upper-Middle"/>
    <s v="Single"/>
    <s v="With Family"/>
    <x v="3"/>
    <x v="0"/>
    <x v="2"/>
    <n v="2.81"/>
    <n v="3.3"/>
    <n v="2.95"/>
    <n v="7.1"/>
    <n v="5"/>
    <n v="7.7"/>
    <n v="6.8"/>
    <n v="5.9"/>
    <s v="Yes"/>
    <n v="5.5"/>
    <n v="5.7"/>
    <n v="0.4"/>
    <n v="7.5"/>
    <n v="6.4"/>
    <n v="8.6"/>
    <n v="3.6"/>
    <x v="2"/>
    <s v="No"/>
    <x v="2"/>
    <x v="1"/>
    <x v="2"/>
    <x v="2"/>
  </r>
  <r>
    <x v="768"/>
    <x v="7"/>
    <s v="Female"/>
    <x v="1"/>
    <x v="2"/>
    <s v="Low"/>
    <s v="In a Relationship"/>
    <s v="Alone"/>
    <x v="4"/>
    <x v="0"/>
    <x v="4"/>
    <n v="1.0900000000000001"/>
    <n v="5.67"/>
    <n v="2.3199999999999998"/>
    <n v="4.6900000000000004"/>
    <n v="2"/>
    <n v="5.9"/>
    <n v="4.4000000000000004"/>
    <n v="4.2"/>
    <s v="Yes"/>
    <n v="6.7"/>
    <n v="5.7"/>
    <n v="2.7"/>
    <n v="3.6"/>
    <n v="5.3"/>
    <n v="6.6"/>
    <n v="3.4"/>
    <x v="2"/>
    <s v="No"/>
    <x v="1"/>
    <x v="2"/>
    <x v="1"/>
    <x v="0"/>
  </r>
  <r>
    <x v="769"/>
    <x v="3"/>
    <s v="Female"/>
    <x v="1"/>
    <x v="2"/>
    <s v="Lower-Middle"/>
    <s v="In a Relationship"/>
    <s v="With Family"/>
    <x v="0"/>
    <x v="0"/>
    <x v="4"/>
    <n v="0.73"/>
    <n v="2.25"/>
    <n v="3.71"/>
    <n v="7.96"/>
    <n v="3"/>
    <n v="5"/>
    <n v="4.5999999999999996"/>
    <n v="5.8"/>
    <s v="No"/>
    <n v="7.5"/>
    <n v="6.2"/>
    <n v="5.0999999999999996"/>
    <n v="5.3"/>
    <n v="3.6"/>
    <n v="2.8"/>
    <n v="6.3"/>
    <x v="1"/>
    <s v="No"/>
    <x v="0"/>
    <x v="1"/>
    <x v="0"/>
    <x v="0"/>
  </r>
  <r>
    <x v="770"/>
    <x v="24"/>
    <s v="Female"/>
    <x v="0"/>
    <x v="0"/>
    <s v="Upper-Middle"/>
    <s v="Single"/>
    <s v="With Family"/>
    <x v="3"/>
    <x v="0"/>
    <x v="2"/>
    <n v="2.17"/>
    <n v="1.34"/>
    <n v="3.93"/>
    <n v="8.8000000000000007"/>
    <n v="3"/>
    <n v="7.1"/>
    <n v="4.5999999999999996"/>
    <n v="5.5"/>
    <s v="No"/>
    <n v="6.7"/>
    <n v="4.5999999999999996"/>
    <n v="5.0999999999999996"/>
    <n v="5.5"/>
    <n v="5.7"/>
    <n v="5.8"/>
    <n v="4.2"/>
    <x v="1"/>
    <s v="No"/>
    <x v="0"/>
    <x v="1"/>
    <x v="1"/>
    <x v="2"/>
  </r>
  <r>
    <x v="771"/>
    <x v="6"/>
    <s v="Male"/>
    <x v="1"/>
    <x v="2"/>
    <s v="Upper-Middle"/>
    <s v="Married"/>
    <s v="Alone"/>
    <x v="2"/>
    <x v="1"/>
    <x v="4"/>
    <n v="0.9"/>
    <n v="4.3899999999999997"/>
    <n v="2.17"/>
    <n v="4.3"/>
    <n v="7"/>
    <n v="5.2"/>
    <n v="5.5"/>
    <n v="4.5999999999999996"/>
    <s v="No"/>
    <n v="7"/>
    <n v="7.3"/>
    <n v="5.0999999999999996"/>
    <n v="4"/>
    <n v="1.2"/>
    <n v="3.6"/>
    <n v="4.0999999999999996"/>
    <x v="1"/>
    <s v="No"/>
    <x v="1"/>
    <x v="2"/>
    <x v="0"/>
    <x v="0"/>
  </r>
  <r>
    <x v="772"/>
    <x v="25"/>
    <s v="Female"/>
    <x v="1"/>
    <x v="2"/>
    <s v="Upper-Middle"/>
    <s v="Married"/>
    <s v="With Roommates"/>
    <x v="3"/>
    <x v="1"/>
    <x v="1"/>
    <n v="1.46"/>
    <n v="5.0199999999999996"/>
    <n v="5.19"/>
    <n v="8.77"/>
    <n v="4"/>
    <n v="5.2"/>
    <n v="3.2"/>
    <n v="8.1"/>
    <s v="Yes"/>
    <n v="7.7"/>
    <n v="6.3"/>
    <n v="5.3"/>
    <n v="2.9"/>
    <n v="5"/>
    <n v="6.6"/>
    <n v="7.5"/>
    <x v="1"/>
    <s v="Yes"/>
    <x v="0"/>
    <x v="3"/>
    <x v="1"/>
    <x v="0"/>
  </r>
  <r>
    <x v="773"/>
    <x v="12"/>
    <s v="Male"/>
    <x v="0"/>
    <x v="1"/>
    <s v="Lower-Middle"/>
    <s v="Single"/>
    <s v="With Family"/>
    <x v="4"/>
    <x v="1"/>
    <x v="4"/>
    <n v="3"/>
    <n v="3.24"/>
    <n v="3"/>
    <n v="5.65"/>
    <n v="0"/>
    <n v="6.5"/>
    <n v="6"/>
    <n v="4.3"/>
    <s v="Yes"/>
    <n v="6.8"/>
    <n v="5.3"/>
    <n v="6.7"/>
    <n v="5.8"/>
    <n v="7.4"/>
    <n v="3.6"/>
    <n v="4.3"/>
    <x v="2"/>
    <s v="Yes"/>
    <x v="1"/>
    <x v="3"/>
    <x v="2"/>
    <x v="2"/>
  </r>
  <r>
    <x v="774"/>
    <x v="15"/>
    <s v="Female"/>
    <x v="4"/>
    <x v="1"/>
    <s v="High"/>
    <s v="In a Relationship"/>
    <s v="Alone"/>
    <x v="1"/>
    <x v="0"/>
    <x v="1"/>
    <n v="1.26"/>
    <n v="4.84"/>
    <n v="2.17"/>
    <n v="4.0999999999999996"/>
    <n v="8"/>
    <n v="4.3"/>
    <n v="5"/>
    <n v="7.2"/>
    <s v="No"/>
    <n v="7.8"/>
    <n v="7.5"/>
    <n v="3.6"/>
    <n v="3.4"/>
    <n v="4.5999999999999996"/>
    <n v="5.0999999999999996"/>
    <n v="7"/>
    <x v="1"/>
    <s v="No"/>
    <x v="0"/>
    <x v="1"/>
    <x v="1"/>
    <x v="0"/>
  </r>
  <r>
    <x v="775"/>
    <x v="20"/>
    <s v="Female"/>
    <x v="0"/>
    <x v="1"/>
    <s v="Low"/>
    <s v="Married"/>
    <s v="With Roommates"/>
    <x v="3"/>
    <x v="0"/>
    <x v="2"/>
    <n v="0.62"/>
    <n v="4.18"/>
    <n v="0.03"/>
    <n v="1.9"/>
    <n v="6"/>
    <n v="3.7"/>
    <n v="1"/>
    <n v="10"/>
    <s v="No"/>
    <n v="8.5"/>
    <n v="10"/>
    <n v="4.3"/>
    <n v="3.4"/>
    <n v="3"/>
    <n v="3.1"/>
    <n v="8.8000000000000007"/>
    <x v="0"/>
    <s v="No"/>
    <x v="0"/>
    <x v="2"/>
    <x v="0"/>
    <x v="0"/>
  </r>
  <r>
    <x v="776"/>
    <x v="1"/>
    <s v="Female"/>
    <x v="0"/>
    <x v="0"/>
    <s v="Upper-Middle"/>
    <s v="Divorced/Separated"/>
    <s v="With Family"/>
    <x v="1"/>
    <x v="1"/>
    <x v="1"/>
    <n v="3.53"/>
    <n v="1.47"/>
    <n v="3.86"/>
    <n v="8.6199999999999992"/>
    <n v="3"/>
    <n v="8.9"/>
    <n v="7.9"/>
    <n v="4.0999999999999996"/>
    <s v="No"/>
    <n v="5.9"/>
    <n v="4.9000000000000004"/>
    <n v="0.5"/>
    <n v="7.4"/>
    <n v="6.9"/>
    <n v="8.4"/>
    <n v="1.9"/>
    <x v="2"/>
    <s v="No"/>
    <x v="2"/>
    <x v="1"/>
    <x v="2"/>
    <x v="2"/>
  </r>
  <r>
    <x v="777"/>
    <x v="22"/>
    <s v="Male"/>
    <x v="2"/>
    <x v="0"/>
    <s v="High"/>
    <s v="In a Relationship"/>
    <s v="With Family"/>
    <x v="3"/>
    <x v="1"/>
    <x v="3"/>
    <n v="0"/>
    <n v="6.18"/>
    <n v="0.93"/>
    <n v="4.1399999999999997"/>
    <n v="4"/>
    <n v="1"/>
    <n v="1"/>
    <n v="9.6"/>
    <s v="Yes"/>
    <n v="8.1999999999999993"/>
    <n v="10"/>
    <n v="6.9"/>
    <n v="1"/>
    <n v="1"/>
    <n v="2.2000000000000002"/>
    <n v="10"/>
    <x v="0"/>
    <s v="No"/>
    <x v="0"/>
    <x v="2"/>
    <x v="0"/>
    <x v="1"/>
  </r>
  <r>
    <x v="778"/>
    <x v="6"/>
    <s v="Female"/>
    <x v="1"/>
    <x v="1"/>
    <s v="Low"/>
    <s v="In a Relationship"/>
    <s v="With Partner"/>
    <x v="5"/>
    <x v="0"/>
    <x v="4"/>
    <n v="3.32"/>
    <n v="4.09"/>
    <n v="2.83"/>
    <n v="6.24"/>
    <n v="2"/>
    <n v="8.8000000000000007"/>
    <n v="7.8"/>
    <n v="5.5"/>
    <s v="Yes"/>
    <n v="5.9"/>
    <n v="3.8"/>
    <n v="1.9"/>
    <n v="7.5"/>
    <n v="5.7"/>
    <n v="10"/>
    <n v="1"/>
    <x v="2"/>
    <s v="Yes"/>
    <x v="2"/>
    <x v="2"/>
    <x v="2"/>
    <x v="2"/>
  </r>
  <r>
    <x v="779"/>
    <x v="11"/>
    <s v="Female"/>
    <x v="1"/>
    <x v="2"/>
    <s v="Upper-Middle"/>
    <s v="Single"/>
    <s v="With Roommates"/>
    <x v="3"/>
    <x v="4"/>
    <x v="2"/>
    <n v="2.27"/>
    <n v="4"/>
    <n v="2.5099999999999998"/>
    <n v="5.35"/>
    <n v="3"/>
    <n v="6.3"/>
    <n v="5.0999999999999996"/>
    <n v="4.9000000000000004"/>
    <s v="No"/>
    <n v="7.1"/>
    <n v="6"/>
    <n v="4.5999999999999996"/>
    <n v="5.3"/>
    <n v="6.3"/>
    <n v="7"/>
    <n v="4.5999999999999996"/>
    <x v="1"/>
    <s v="No"/>
    <x v="2"/>
    <x v="3"/>
    <x v="1"/>
    <x v="2"/>
  </r>
  <r>
    <x v="780"/>
    <x v="6"/>
    <s v="Female"/>
    <x v="1"/>
    <x v="0"/>
    <s v="Low"/>
    <s v="Divorced/Separated"/>
    <s v="Alone"/>
    <x v="2"/>
    <x v="3"/>
    <x v="1"/>
    <n v="0.98"/>
    <n v="5.67"/>
    <n v="1.86"/>
    <n v="5.29"/>
    <n v="4"/>
    <n v="3.4"/>
    <n v="1.3"/>
    <n v="8.1"/>
    <s v="No"/>
    <n v="8.6999999999999993"/>
    <n v="9.1999999999999993"/>
    <n v="4.5"/>
    <n v="2.2999999999999998"/>
    <n v="1.1000000000000001"/>
    <n v="1.1000000000000001"/>
    <n v="7.3"/>
    <x v="1"/>
    <s v="No"/>
    <x v="0"/>
    <x v="2"/>
    <x v="0"/>
    <x v="0"/>
  </r>
  <r>
    <x v="781"/>
    <x v="9"/>
    <s v="Male"/>
    <x v="0"/>
    <x v="1"/>
    <s v="Lower-Middle"/>
    <s v="Single"/>
    <s v="With Roommates"/>
    <x v="1"/>
    <x v="4"/>
    <x v="3"/>
    <n v="1.71"/>
    <n v="2.9"/>
    <n v="2"/>
    <n v="5.94"/>
    <n v="5"/>
    <n v="6.6"/>
    <n v="4.9000000000000004"/>
    <n v="5.7"/>
    <s v="No"/>
    <n v="6.7"/>
    <n v="5.6"/>
    <n v="4.9000000000000004"/>
    <n v="5.4"/>
    <n v="3.6"/>
    <n v="6.7"/>
    <n v="5"/>
    <x v="0"/>
    <s v="No"/>
    <x v="0"/>
    <x v="2"/>
    <x v="1"/>
    <x v="2"/>
  </r>
  <r>
    <x v="782"/>
    <x v="24"/>
    <s v="Male"/>
    <x v="1"/>
    <x v="1"/>
    <s v="Lower-Middle"/>
    <s v="In a Relationship"/>
    <s v="With Family"/>
    <x v="4"/>
    <x v="1"/>
    <x v="2"/>
    <n v="0.49"/>
    <n v="4.8899999999999997"/>
    <n v="1.34"/>
    <n v="3.47"/>
    <n v="2"/>
    <n v="3.6"/>
    <n v="2.2999999999999998"/>
    <n v="5.3"/>
    <s v="No"/>
    <n v="7.2"/>
    <n v="8.4"/>
    <n v="3.9"/>
    <n v="3.3"/>
    <n v="3.4"/>
    <n v="4.5"/>
    <n v="8.3000000000000007"/>
    <x v="1"/>
    <s v="No"/>
    <x v="0"/>
    <x v="1"/>
    <x v="0"/>
    <x v="0"/>
  </r>
  <r>
    <x v="783"/>
    <x v="20"/>
    <s v="Male"/>
    <x v="4"/>
    <x v="2"/>
    <s v="Lower-Middle"/>
    <s v="Single"/>
    <s v="Alone"/>
    <x v="3"/>
    <x v="0"/>
    <x v="4"/>
    <n v="3.32"/>
    <n v="1.93"/>
    <n v="4.09"/>
    <n v="11.47"/>
    <n v="1"/>
    <n v="6"/>
    <n v="6.6"/>
    <n v="2.6"/>
    <s v="Yes"/>
    <n v="5.7"/>
    <n v="3.9"/>
    <n v="2.8"/>
    <n v="5.4"/>
    <n v="5.7"/>
    <n v="8.1"/>
    <n v="4.8"/>
    <x v="2"/>
    <s v="No"/>
    <x v="2"/>
    <x v="2"/>
    <x v="2"/>
    <x v="0"/>
  </r>
  <r>
    <x v="784"/>
    <x v="0"/>
    <s v="Male"/>
    <x v="0"/>
    <x v="0"/>
    <s v="High"/>
    <s v="Single"/>
    <s v="Alone"/>
    <x v="1"/>
    <x v="3"/>
    <x v="0"/>
    <n v="2.83"/>
    <n v="4.9000000000000004"/>
    <n v="2.0099999999999998"/>
    <n v="7.45"/>
    <n v="5"/>
    <n v="7.1"/>
    <n v="5.7"/>
    <n v="3.7"/>
    <s v="Yes"/>
    <n v="5.0999999999999996"/>
    <n v="5.6"/>
    <n v="3"/>
    <n v="4.4000000000000004"/>
    <n v="6"/>
    <n v="6"/>
    <n v="2.8"/>
    <x v="2"/>
    <s v="No"/>
    <x v="2"/>
    <x v="0"/>
    <x v="2"/>
    <x v="2"/>
  </r>
  <r>
    <x v="785"/>
    <x v="29"/>
    <s v="Female"/>
    <x v="0"/>
    <x v="1"/>
    <s v="Upper-Middle"/>
    <s v="Single"/>
    <s v="Alone"/>
    <x v="1"/>
    <x v="0"/>
    <x v="3"/>
    <n v="3.34"/>
    <n v="2.48"/>
    <n v="1.87"/>
    <n v="8.43"/>
    <n v="2"/>
    <n v="5.4"/>
    <n v="5"/>
    <n v="3.8"/>
    <s v="No"/>
    <n v="5.6"/>
    <n v="6.3"/>
    <n v="0.9"/>
    <n v="5.4"/>
    <n v="2.8"/>
    <n v="4.5"/>
    <n v="3.6"/>
    <x v="2"/>
    <s v="No"/>
    <x v="1"/>
    <x v="1"/>
    <x v="2"/>
    <x v="0"/>
  </r>
  <r>
    <x v="786"/>
    <x v="6"/>
    <s v="Male"/>
    <x v="1"/>
    <x v="2"/>
    <s v="Lower-Middle"/>
    <s v="Divorced/Separated"/>
    <s v="With Family"/>
    <x v="2"/>
    <x v="1"/>
    <x v="1"/>
    <n v="2.54"/>
    <n v="2.38"/>
    <n v="3.42"/>
    <n v="7.91"/>
    <n v="2"/>
    <n v="5.5"/>
    <n v="6.5"/>
    <n v="4.0999999999999996"/>
    <s v="No"/>
    <n v="5.6"/>
    <n v="4.4000000000000004"/>
    <n v="2.9"/>
    <n v="7.5"/>
    <n v="5.3"/>
    <n v="4.8"/>
    <n v="7.2"/>
    <x v="2"/>
    <s v="Yes"/>
    <x v="1"/>
    <x v="2"/>
    <x v="2"/>
    <x v="0"/>
  </r>
  <r>
    <x v="787"/>
    <x v="23"/>
    <s v="Prefer not to say"/>
    <x v="3"/>
    <x v="1"/>
    <s v="Upper-Middle"/>
    <s v="Single"/>
    <s v="With Family"/>
    <x v="3"/>
    <x v="0"/>
    <x v="4"/>
    <n v="0.52"/>
    <n v="2.65"/>
    <n v="3.23"/>
    <n v="5.21"/>
    <n v="4"/>
    <n v="5.9"/>
    <n v="3.6"/>
    <n v="7.3"/>
    <s v="No"/>
    <n v="6.5"/>
    <n v="4.9000000000000004"/>
    <n v="5"/>
    <n v="4.0999999999999996"/>
    <n v="4.7"/>
    <n v="6.1"/>
    <n v="5.6"/>
    <x v="1"/>
    <s v="Yes"/>
    <x v="1"/>
    <x v="0"/>
    <x v="0"/>
    <x v="0"/>
  </r>
  <r>
    <x v="788"/>
    <x v="7"/>
    <s v="Male"/>
    <x v="2"/>
    <x v="1"/>
    <s v="High"/>
    <s v="In a Relationship"/>
    <s v="With Family"/>
    <x v="3"/>
    <x v="4"/>
    <x v="0"/>
    <n v="4.7300000000000004"/>
    <n v="2.15"/>
    <n v="4.57"/>
    <n v="10.77"/>
    <n v="1"/>
    <n v="8.5"/>
    <n v="10"/>
    <n v="1.9"/>
    <s v="No"/>
    <n v="6.2"/>
    <n v="3"/>
    <n v="0.4"/>
    <n v="7.4"/>
    <n v="7.2"/>
    <n v="9"/>
    <n v="1.7"/>
    <x v="2"/>
    <s v="No"/>
    <x v="2"/>
    <x v="2"/>
    <x v="3"/>
    <x v="2"/>
  </r>
  <r>
    <x v="789"/>
    <x v="0"/>
    <s v="Male"/>
    <x v="3"/>
    <x v="1"/>
    <s v="Low"/>
    <s v="Single"/>
    <s v="With Partner"/>
    <x v="3"/>
    <x v="0"/>
    <x v="2"/>
    <n v="2.63"/>
    <n v="2.7"/>
    <n v="3.5"/>
    <n v="9.06"/>
    <n v="3"/>
    <n v="5.5"/>
    <n v="7.3"/>
    <n v="3.8"/>
    <s v="Yes"/>
    <n v="5.2"/>
    <n v="1.1000000000000001"/>
    <n v="5.4"/>
    <n v="6"/>
    <n v="5.5"/>
    <n v="6.4"/>
    <n v="5.0999999999999996"/>
    <x v="2"/>
    <s v="No"/>
    <x v="2"/>
    <x v="0"/>
    <x v="2"/>
    <x v="0"/>
  </r>
  <r>
    <x v="790"/>
    <x v="28"/>
    <s v="Female"/>
    <x v="1"/>
    <x v="2"/>
    <s v="High"/>
    <s v="Single"/>
    <s v="Alone"/>
    <x v="2"/>
    <x v="2"/>
    <x v="4"/>
    <n v="1.1200000000000001"/>
    <n v="6.04"/>
    <n v="1.72"/>
    <n v="5.61"/>
    <n v="5"/>
    <n v="5"/>
    <n v="4.5999999999999996"/>
    <n v="6.3"/>
    <s v="Yes"/>
    <n v="7.3"/>
    <n v="7.1"/>
    <n v="4.5999999999999996"/>
    <n v="1.5"/>
    <n v="4.0999999999999996"/>
    <n v="1"/>
    <n v="4.8"/>
    <x v="1"/>
    <s v="No"/>
    <x v="0"/>
    <x v="1"/>
    <x v="1"/>
    <x v="0"/>
  </r>
  <r>
    <x v="791"/>
    <x v="7"/>
    <s v="Female"/>
    <x v="0"/>
    <x v="0"/>
    <s v="Low"/>
    <s v="Single"/>
    <s v="Alone"/>
    <x v="3"/>
    <x v="4"/>
    <x v="1"/>
    <n v="2.7"/>
    <n v="3.88"/>
    <n v="4.32"/>
    <n v="8.81"/>
    <n v="1"/>
    <n v="6.3"/>
    <n v="5.5"/>
    <n v="7.7"/>
    <s v="No"/>
    <n v="7.2"/>
    <n v="3.5"/>
    <n v="2.1"/>
    <n v="7.5"/>
    <n v="5.2"/>
    <n v="7.7"/>
    <n v="6.1"/>
    <x v="2"/>
    <s v="No"/>
    <x v="2"/>
    <x v="2"/>
    <x v="2"/>
    <x v="2"/>
  </r>
  <r>
    <x v="792"/>
    <x v="25"/>
    <s v="Female"/>
    <x v="1"/>
    <x v="1"/>
    <s v="Upper-Middle"/>
    <s v="In a Relationship"/>
    <s v="With Family"/>
    <x v="2"/>
    <x v="1"/>
    <x v="2"/>
    <n v="2.48"/>
    <n v="2.41"/>
    <n v="4.08"/>
    <n v="9.0299999999999994"/>
    <n v="2"/>
    <n v="7.3"/>
    <n v="5.3"/>
    <n v="6.5"/>
    <s v="No"/>
    <n v="5.7"/>
    <n v="8.9"/>
    <n v="2.1"/>
    <n v="6.5"/>
    <n v="5.7"/>
    <n v="3.8"/>
    <n v="3.7"/>
    <x v="2"/>
    <s v="No"/>
    <x v="1"/>
    <x v="3"/>
    <x v="1"/>
    <x v="2"/>
  </r>
  <r>
    <x v="793"/>
    <x v="12"/>
    <s v="Female"/>
    <x v="1"/>
    <x v="2"/>
    <s v="Lower-Middle"/>
    <s v="Single"/>
    <s v="With Family"/>
    <x v="3"/>
    <x v="3"/>
    <x v="3"/>
    <n v="1.03"/>
    <n v="5.16"/>
    <n v="2.29"/>
    <n v="6.28"/>
    <n v="3"/>
    <n v="5.7"/>
    <n v="1.9"/>
    <n v="6.2"/>
    <s v="No"/>
    <n v="6.7"/>
    <n v="8.1999999999999993"/>
    <n v="6.4"/>
    <n v="4.9000000000000004"/>
    <n v="3.2"/>
    <n v="7.2"/>
    <n v="7.1"/>
    <x v="1"/>
    <s v="Yes"/>
    <x v="1"/>
    <x v="3"/>
    <x v="1"/>
    <x v="0"/>
  </r>
  <r>
    <x v="794"/>
    <x v="9"/>
    <s v="Female"/>
    <x v="1"/>
    <x v="1"/>
    <s v="Low"/>
    <s v="Single"/>
    <s v="With Roommates"/>
    <x v="0"/>
    <x v="1"/>
    <x v="2"/>
    <n v="0"/>
    <n v="3.13"/>
    <n v="1.88"/>
    <n v="3.32"/>
    <n v="4"/>
    <n v="4.5"/>
    <n v="3.1"/>
    <n v="7"/>
    <s v="Yes"/>
    <n v="6"/>
    <n v="7.2"/>
    <n v="3.2"/>
    <n v="4.0999999999999996"/>
    <n v="3.3"/>
    <n v="2.7"/>
    <n v="6.1"/>
    <x v="1"/>
    <s v="No"/>
    <x v="0"/>
    <x v="2"/>
    <x v="0"/>
    <x v="0"/>
  </r>
  <r>
    <x v="795"/>
    <x v="2"/>
    <s v="Male"/>
    <x v="0"/>
    <x v="0"/>
    <s v="Lower-Middle"/>
    <s v="Single"/>
    <s v="Alone"/>
    <x v="4"/>
    <x v="4"/>
    <x v="1"/>
    <n v="2.2799999999999998"/>
    <n v="1.95"/>
    <n v="3.75"/>
    <n v="7.68"/>
    <n v="2"/>
    <n v="5.2"/>
    <n v="7.1"/>
    <n v="1.8"/>
    <s v="Yes"/>
    <n v="5.3"/>
    <n v="5.9"/>
    <n v="3"/>
    <n v="6"/>
    <n v="8.4"/>
    <n v="7.1"/>
    <n v="1.8"/>
    <x v="2"/>
    <s v="No"/>
    <x v="2"/>
    <x v="2"/>
    <x v="1"/>
    <x v="0"/>
  </r>
  <r>
    <x v="796"/>
    <x v="4"/>
    <s v="Prefer not to say"/>
    <x v="0"/>
    <x v="0"/>
    <s v="Upper-Middle"/>
    <s v="Single"/>
    <s v="Alone"/>
    <x v="1"/>
    <x v="1"/>
    <x v="2"/>
    <n v="2.38"/>
    <n v="4.13"/>
    <n v="1.76"/>
    <n v="6.58"/>
    <n v="4"/>
    <n v="2.6"/>
    <n v="4.5999999999999996"/>
    <n v="5.8"/>
    <s v="No"/>
    <n v="8.1999999999999993"/>
    <n v="7.4"/>
    <n v="5.3"/>
    <n v="4.0999999999999996"/>
    <n v="4.7"/>
    <n v="5.3"/>
    <n v="6.2"/>
    <x v="1"/>
    <s v="No"/>
    <x v="0"/>
    <x v="1"/>
    <x v="1"/>
    <x v="1"/>
  </r>
  <r>
    <x v="797"/>
    <x v="4"/>
    <s v="Prefer not to say"/>
    <x v="1"/>
    <x v="1"/>
    <s v="Lower-Middle"/>
    <s v="Divorced/Separated"/>
    <s v="With Family"/>
    <x v="1"/>
    <x v="4"/>
    <x v="1"/>
    <n v="2.1800000000000002"/>
    <n v="2.58"/>
    <n v="2.61"/>
    <n v="5"/>
    <n v="0"/>
    <n v="4.8"/>
    <n v="6"/>
    <n v="4.7"/>
    <s v="No"/>
    <n v="7.3"/>
    <n v="4.5999999999999996"/>
    <n v="4.5"/>
    <n v="4.4000000000000004"/>
    <n v="3.1"/>
    <n v="5.9"/>
    <n v="6.6"/>
    <x v="1"/>
    <s v="Yes"/>
    <x v="1"/>
    <x v="1"/>
    <x v="1"/>
    <x v="0"/>
  </r>
  <r>
    <x v="798"/>
    <x v="27"/>
    <s v="Female"/>
    <x v="1"/>
    <x v="1"/>
    <s v="Low"/>
    <s v="Married"/>
    <s v="With Roommates"/>
    <x v="3"/>
    <x v="1"/>
    <x v="4"/>
    <n v="4.8499999999999996"/>
    <n v="3.52"/>
    <n v="3.41"/>
    <n v="10.73"/>
    <n v="3"/>
    <n v="8"/>
    <n v="8.6"/>
    <n v="4.2"/>
    <s v="Yes"/>
    <n v="8"/>
    <n v="3.2"/>
    <n v="1.5"/>
    <n v="6.8"/>
    <n v="6.5"/>
    <n v="7.8"/>
    <n v="1"/>
    <x v="2"/>
    <s v="No"/>
    <x v="2"/>
    <x v="1"/>
    <x v="3"/>
    <x v="2"/>
  </r>
  <r>
    <x v="799"/>
    <x v="3"/>
    <s v="Male"/>
    <x v="0"/>
    <x v="3"/>
    <s v="Lower-Middle"/>
    <s v="Single"/>
    <s v="With Family"/>
    <x v="3"/>
    <x v="2"/>
    <x v="3"/>
    <n v="3.96"/>
    <n v="3.49"/>
    <n v="4.93"/>
    <n v="9.77"/>
    <n v="0"/>
    <n v="10"/>
    <n v="10"/>
    <n v="1"/>
    <s v="No"/>
    <n v="4.5999999999999996"/>
    <n v="3.2"/>
    <n v="2.2000000000000002"/>
    <n v="9.1"/>
    <n v="8.8000000000000007"/>
    <n v="9.5"/>
    <n v="1"/>
    <x v="2"/>
    <s v="Yes"/>
    <x v="2"/>
    <x v="1"/>
    <x v="2"/>
    <x v="2"/>
  </r>
  <r>
    <x v="800"/>
    <x v="15"/>
    <s v="Female"/>
    <x v="1"/>
    <x v="1"/>
    <s v="High"/>
    <s v="In a Relationship"/>
    <s v="With Family"/>
    <x v="3"/>
    <x v="1"/>
    <x v="0"/>
    <n v="0.79"/>
    <n v="4.28"/>
    <n v="1.52"/>
    <n v="5.25"/>
    <n v="3"/>
    <n v="4.2"/>
    <n v="2.2000000000000002"/>
    <n v="9.1999999999999993"/>
    <s v="No"/>
    <n v="8.6999999999999993"/>
    <n v="6.3"/>
    <n v="4.9000000000000004"/>
    <n v="4.8"/>
    <n v="3.2"/>
    <n v="3.6"/>
    <n v="8.5"/>
    <x v="1"/>
    <s v="No"/>
    <x v="0"/>
    <x v="1"/>
    <x v="0"/>
    <x v="0"/>
  </r>
  <r>
    <x v="801"/>
    <x v="26"/>
    <s v="Male"/>
    <x v="1"/>
    <x v="2"/>
    <s v="Lower-Middle"/>
    <s v="Married"/>
    <s v="Alone"/>
    <x v="2"/>
    <x v="1"/>
    <x v="1"/>
    <n v="2.14"/>
    <n v="3.59"/>
    <n v="2.8"/>
    <n v="9.09"/>
    <n v="6"/>
    <n v="7.7"/>
    <n v="4"/>
    <n v="6.4"/>
    <s v="No"/>
    <n v="6.5"/>
    <n v="7.4"/>
    <n v="1.7"/>
    <n v="6.5"/>
    <n v="4.5999999999999996"/>
    <n v="4.4000000000000004"/>
    <n v="6.9"/>
    <x v="1"/>
    <s v="Yes"/>
    <x v="1"/>
    <x v="0"/>
    <x v="1"/>
    <x v="2"/>
  </r>
  <r>
    <x v="802"/>
    <x v="23"/>
    <s v="Male"/>
    <x v="1"/>
    <x v="1"/>
    <s v="Low"/>
    <s v="Single"/>
    <s v="With Family"/>
    <x v="1"/>
    <x v="4"/>
    <x v="1"/>
    <n v="1.1399999999999999"/>
    <n v="3.79"/>
    <n v="3.39"/>
    <n v="5.84"/>
    <n v="1"/>
    <n v="3.4"/>
    <n v="3.5"/>
    <n v="4.7"/>
    <s v="No"/>
    <n v="6.5"/>
    <n v="7.2"/>
    <n v="5.7"/>
    <n v="3.6"/>
    <n v="4.2"/>
    <n v="4.3"/>
    <n v="6.4"/>
    <x v="1"/>
    <s v="Yes"/>
    <x v="0"/>
    <x v="0"/>
    <x v="1"/>
    <x v="0"/>
  </r>
  <r>
    <x v="803"/>
    <x v="7"/>
    <s v="Male"/>
    <x v="3"/>
    <x v="1"/>
    <s v="Lower-Middle"/>
    <s v="Married"/>
    <s v="With Family"/>
    <x v="4"/>
    <x v="4"/>
    <x v="3"/>
    <n v="1.24"/>
    <n v="3.34"/>
    <n v="2.2200000000000002"/>
    <n v="4.0999999999999996"/>
    <n v="1"/>
    <n v="5.4"/>
    <n v="5.2"/>
    <n v="5.8"/>
    <s v="Yes"/>
    <n v="9.4"/>
    <n v="6"/>
    <n v="3"/>
    <n v="4.5"/>
    <n v="4.2"/>
    <n v="5.3"/>
    <n v="6.9"/>
    <x v="1"/>
    <s v="No"/>
    <x v="0"/>
    <x v="2"/>
    <x v="1"/>
    <x v="0"/>
  </r>
  <r>
    <x v="804"/>
    <x v="15"/>
    <s v="Female"/>
    <x v="1"/>
    <x v="2"/>
    <s v="Low"/>
    <s v="Married"/>
    <s v="With Roommates"/>
    <x v="1"/>
    <x v="1"/>
    <x v="1"/>
    <n v="1.75"/>
    <n v="3.85"/>
    <n v="2.06"/>
    <n v="5.64"/>
    <n v="7"/>
    <n v="5.3"/>
    <n v="7.6"/>
    <n v="6.2"/>
    <s v="No"/>
    <n v="6"/>
    <n v="6"/>
    <n v="3.3"/>
    <n v="5.5"/>
    <n v="2.1"/>
    <n v="3.5"/>
    <n v="5.8"/>
    <x v="1"/>
    <s v="No"/>
    <x v="0"/>
    <x v="1"/>
    <x v="1"/>
    <x v="0"/>
  </r>
  <r>
    <x v="805"/>
    <x v="21"/>
    <s v="Female"/>
    <x v="1"/>
    <x v="2"/>
    <s v="Upper-Middle"/>
    <s v="Single"/>
    <s v="With Roommates"/>
    <x v="2"/>
    <x v="0"/>
    <x v="2"/>
    <n v="0.51"/>
    <n v="3.22"/>
    <n v="2.72"/>
    <n v="4.96"/>
    <n v="5"/>
    <n v="4.2"/>
    <n v="1.9"/>
    <n v="7.7"/>
    <s v="No"/>
    <n v="8.8000000000000007"/>
    <n v="8.4"/>
    <n v="5.0999999999999996"/>
    <n v="2.2999999999999998"/>
    <n v="4.5999999999999996"/>
    <n v="4.5"/>
    <n v="7.1"/>
    <x v="1"/>
    <s v="No"/>
    <x v="0"/>
    <x v="1"/>
    <x v="0"/>
    <x v="0"/>
  </r>
  <r>
    <x v="806"/>
    <x v="2"/>
    <s v="Female"/>
    <x v="1"/>
    <x v="0"/>
    <s v="Upper-Middle"/>
    <s v="Single"/>
    <s v="With Partner"/>
    <x v="1"/>
    <x v="1"/>
    <x v="2"/>
    <n v="0.28000000000000003"/>
    <n v="5.71"/>
    <n v="1.42"/>
    <n v="4.3600000000000003"/>
    <n v="5"/>
    <n v="4.3"/>
    <n v="2.2999999999999998"/>
    <n v="8.6999999999999993"/>
    <s v="No"/>
    <n v="7.9"/>
    <n v="9.6999999999999993"/>
    <n v="4.7"/>
    <n v="2"/>
    <n v="1.1000000000000001"/>
    <n v="2.7"/>
    <n v="9.6999999999999993"/>
    <x v="1"/>
    <s v="Yes"/>
    <x v="0"/>
    <x v="2"/>
    <x v="0"/>
    <x v="0"/>
  </r>
  <r>
    <x v="807"/>
    <x v="17"/>
    <s v="Female"/>
    <x v="2"/>
    <x v="2"/>
    <s v="Lower-Middle"/>
    <s v="Divorced/Separated"/>
    <s v="Alone"/>
    <x v="1"/>
    <x v="2"/>
    <x v="4"/>
    <n v="2.36"/>
    <n v="3.98"/>
    <n v="3.89"/>
    <n v="8.48"/>
    <n v="2"/>
    <n v="10"/>
    <n v="10"/>
    <n v="3.6"/>
    <s v="Yes"/>
    <n v="4.8"/>
    <n v="3.9"/>
    <n v="3"/>
    <n v="8.4"/>
    <n v="8"/>
    <n v="9"/>
    <n v="2.2000000000000002"/>
    <x v="2"/>
    <s v="Yes"/>
    <x v="2"/>
    <x v="0"/>
    <x v="1"/>
    <x v="2"/>
  </r>
  <r>
    <x v="808"/>
    <x v="0"/>
    <s v="Male"/>
    <x v="0"/>
    <x v="1"/>
    <s v="Lower-Middle"/>
    <s v="In a Relationship"/>
    <s v="With Family"/>
    <x v="3"/>
    <x v="3"/>
    <x v="0"/>
    <n v="3.61"/>
    <n v="1.32"/>
    <n v="4.49"/>
    <n v="9.8000000000000007"/>
    <n v="3"/>
    <n v="6.4"/>
    <n v="4.9000000000000004"/>
    <n v="5.8"/>
    <s v="No"/>
    <n v="5.3"/>
    <n v="5.4"/>
    <n v="1.6"/>
    <n v="5.6"/>
    <n v="5.6"/>
    <n v="5.7"/>
    <n v="4.8"/>
    <x v="1"/>
    <s v="No"/>
    <x v="1"/>
    <x v="0"/>
    <x v="2"/>
    <x v="2"/>
  </r>
  <r>
    <x v="809"/>
    <x v="28"/>
    <s v="Male"/>
    <x v="0"/>
    <x v="2"/>
    <s v="Upper-Middle"/>
    <s v="Single"/>
    <s v="With Family"/>
    <x v="1"/>
    <x v="4"/>
    <x v="2"/>
    <n v="0.19"/>
    <n v="3.29"/>
    <n v="1.52"/>
    <n v="3.8"/>
    <n v="5"/>
    <n v="5.0999999999999996"/>
    <n v="4"/>
    <n v="7.9"/>
    <s v="No"/>
    <n v="7.4"/>
    <n v="8"/>
    <n v="3.6"/>
    <n v="4.4000000000000004"/>
    <n v="2.2000000000000002"/>
    <n v="5"/>
    <n v="7.8"/>
    <x v="0"/>
    <s v="No"/>
    <x v="0"/>
    <x v="1"/>
    <x v="0"/>
    <x v="0"/>
  </r>
  <r>
    <x v="810"/>
    <x v="29"/>
    <s v="Male"/>
    <x v="1"/>
    <x v="0"/>
    <s v="Lower-Middle"/>
    <s v="Single"/>
    <s v="With Partner"/>
    <x v="1"/>
    <x v="0"/>
    <x v="2"/>
    <n v="0.37"/>
    <n v="3.07"/>
    <n v="0.94"/>
    <n v="2.2000000000000002"/>
    <n v="4"/>
    <n v="6.2"/>
    <n v="5.0999999999999996"/>
    <n v="4.8"/>
    <s v="No"/>
    <n v="5.7"/>
    <n v="3.3"/>
    <n v="5.3"/>
    <n v="5.4"/>
    <n v="4.5999999999999996"/>
    <n v="6.4"/>
    <n v="4.3"/>
    <x v="1"/>
    <s v="No"/>
    <x v="2"/>
    <x v="1"/>
    <x v="0"/>
    <x v="2"/>
  </r>
  <r>
    <x v="811"/>
    <x v="5"/>
    <s v="Prefer not to say"/>
    <x v="0"/>
    <x v="2"/>
    <s v="Upper-Middle"/>
    <s v="Single"/>
    <s v="Alone"/>
    <x v="2"/>
    <x v="1"/>
    <x v="3"/>
    <n v="3.87"/>
    <n v="2.5299999999999998"/>
    <n v="3.62"/>
    <n v="10.33"/>
    <n v="1"/>
    <n v="7.7"/>
    <n v="8.8000000000000007"/>
    <n v="2"/>
    <s v="Yes"/>
    <n v="5.5"/>
    <n v="5"/>
    <n v="1.8"/>
    <n v="4.7"/>
    <n v="6.9"/>
    <n v="7.9"/>
    <n v="4.2"/>
    <x v="2"/>
    <s v="No"/>
    <x v="2"/>
    <x v="0"/>
    <x v="2"/>
    <x v="2"/>
  </r>
  <r>
    <x v="812"/>
    <x v="23"/>
    <s v="Male"/>
    <x v="1"/>
    <x v="0"/>
    <s v="Upper-Middle"/>
    <s v="In a Relationship"/>
    <s v="With Roommates"/>
    <x v="4"/>
    <x v="3"/>
    <x v="2"/>
    <n v="0.17"/>
    <n v="5.76"/>
    <n v="3.33"/>
    <n v="7.12"/>
    <n v="6"/>
    <n v="3.3"/>
    <n v="2.1"/>
    <n v="7.3"/>
    <s v="No"/>
    <n v="5.8"/>
    <n v="7.8"/>
    <n v="3.4"/>
    <n v="1.8"/>
    <n v="4"/>
    <n v="4.0999999999999996"/>
    <n v="7.8"/>
    <x v="0"/>
    <s v="No"/>
    <x v="0"/>
    <x v="0"/>
    <x v="0"/>
    <x v="0"/>
  </r>
  <r>
    <x v="813"/>
    <x v="26"/>
    <s v="Female"/>
    <x v="0"/>
    <x v="0"/>
    <s v="Upper-Middle"/>
    <s v="In a Relationship"/>
    <s v="With Family"/>
    <x v="3"/>
    <x v="4"/>
    <x v="4"/>
    <n v="1.63"/>
    <n v="4.58"/>
    <n v="2.39"/>
    <n v="4.83"/>
    <n v="3"/>
    <n v="4.9000000000000004"/>
    <n v="4.7"/>
    <n v="4.9000000000000004"/>
    <s v="No"/>
    <n v="7.2"/>
    <n v="5.2"/>
    <n v="3.9"/>
    <n v="6.6"/>
    <n v="1.8"/>
    <n v="3.7"/>
    <n v="4.2"/>
    <x v="1"/>
    <s v="No"/>
    <x v="0"/>
    <x v="0"/>
    <x v="1"/>
    <x v="0"/>
  </r>
  <r>
    <x v="814"/>
    <x v="27"/>
    <s v="Female"/>
    <x v="4"/>
    <x v="2"/>
    <s v="Lower-Middle"/>
    <s v="Divorced/Separated"/>
    <s v="Alone"/>
    <x v="3"/>
    <x v="0"/>
    <x v="1"/>
    <n v="0"/>
    <n v="3.84"/>
    <n v="0.59"/>
    <n v="1.02"/>
    <n v="5"/>
    <n v="1.9"/>
    <n v="2.6"/>
    <n v="8.9"/>
    <s v="No"/>
    <n v="6.6"/>
    <n v="9.6999999999999993"/>
    <n v="6.3"/>
    <n v="2.2999999999999998"/>
    <n v="1"/>
    <n v="4.2"/>
    <n v="8.4"/>
    <x v="0"/>
    <s v="No"/>
    <x v="0"/>
    <x v="1"/>
    <x v="0"/>
    <x v="1"/>
  </r>
  <r>
    <x v="815"/>
    <x v="22"/>
    <s v="Male"/>
    <x v="0"/>
    <x v="3"/>
    <s v="Lower-Middle"/>
    <s v="Single"/>
    <s v="With Family"/>
    <x v="1"/>
    <x v="4"/>
    <x v="2"/>
    <n v="1.86"/>
    <n v="3.46"/>
    <n v="2.41"/>
    <n v="5.87"/>
    <n v="3"/>
    <n v="3.7"/>
    <n v="4.0999999999999996"/>
    <n v="6.2"/>
    <s v="No"/>
    <n v="7"/>
    <n v="7.4"/>
    <n v="1.8"/>
    <n v="1"/>
    <n v="3.4"/>
    <n v="4.0999999999999996"/>
    <n v="4.5999999999999996"/>
    <x v="1"/>
    <s v="No"/>
    <x v="1"/>
    <x v="2"/>
    <x v="1"/>
    <x v="0"/>
  </r>
  <r>
    <x v="816"/>
    <x v="7"/>
    <s v="Female"/>
    <x v="4"/>
    <x v="2"/>
    <s v="High"/>
    <s v="In a Relationship"/>
    <s v="Alone"/>
    <x v="1"/>
    <x v="1"/>
    <x v="4"/>
    <n v="3.65"/>
    <n v="2.42"/>
    <n v="4.13"/>
    <n v="8.56"/>
    <n v="5"/>
    <n v="6.5"/>
    <n v="5.3"/>
    <n v="6.9"/>
    <s v="No"/>
    <n v="5.3"/>
    <n v="4.2"/>
    <n v="5.7"/>
    <n v="3.9"/>
    <n v="7.1"/>
    <n v="5.8"/>
    <n v="4.9000000000000004"/>
    <x v="1"/>
    <s v="No"/>
    <x v="2"/>
    <x v="2"/>
    <x v="2"/>
    <x v="2"/>
  </r>
  <r>
    <x v="817"/>
    <x v="14"/>
    <s v="Female"/>
    <x v="3"/>
    <x v="0"/>
    <s v="Lower-Middle"/>
    <s v="In a Relationship"/>
    <s v="With Partner"/>
    <x v="3"/>
    <x v="0"/>
    <x v="4"/>
    <n v="0"/>
    <n v="5.16"/>
    <n v="1.3"/>
    <n v="2.0299999999999998"/>
    <n v="7"/>
    <n v="2.9"/>
    <n v="1.9"/>
    <n v="7.6"/>
    <s v="No"/>
    <n v="8.9"/>
    <n v="8.6"/>
    <n v="8"/>
    <n v="3.1"/>
    <n v="2.5"/>
    <n v="1.8"/>
    <n v="7.7"/>
    <x v="0"/>
    <s v="No"/>
    <x v="0"/>
    <x v="3"/>
    <x v="0"/>
    <x v="1"/>
  </r>
  <r>
    <x v="818"/>
    <x v="25"/>
    <s v="Female"/>
    <x v="1"/>
    <x v="0"/>
    <s v="Upper-Middle"/>
    <s v="Single"/>
    <s v="With Partner"/>
    <x v="2"/>
    <x v="0"/>
    <x v="2"/>
    <n v="1.88"/>
    <n v="4.22"/>
    <n v="2.9"/>
    <n v="5.38"/>
    <n v="6"/>
    <n v="5.4"/>
    <n v="1.5"/>
    <n v="5.0999999999999996"/>
    <s v="No"/>
    <n v="5.2"/>
    <n v="6.9"/>
    <n v="4.4000000000000004"/>
    <n v="3.4"/>
    <n v="1.6"/>
    <n v="3.8"/>
    <n v="5.3"/>
    <x v="2"/>
    <s v="No"/>
    <x v="0"/>
    <x v="3"/>
    <x v="1"/>
    <x v="0"/>
  </r>
  <r>
    <x v="819"/>
    <x v="2"/>
    <s v="Female"/>
    <x v="4"/>
    <x v="1"/>
    <s v="Low"/>
    <s v="Single"/>
    <s v="Alone"/>
    <x v="5"/>
    <x v="0"/>
    <x v="2"/>
    <n v="3.11"/>
    <n v="1.75"/>
    <n v="3.11"/>
    <n v="8.02"/>
    <n v="3"/>
    <n v="7.1"/>
    <n v="5.4"/>
    <n v="5.2"/>
    <s v="No"/>
    <n v="6.2"/>
    <n v="5"/>
    <n v="2.7"/>
    <n v="2.9"/>
    <n v="5.5"/>
    <n v="8.3000000000000007"/>
    <n v="2.2999999999999998"/>
    <x v="2"/>
    <s v="No"/>
    <x v="2"/>
    <x v="2"/>
    <x v="2"/>
    <x v="2"/>
  </r>
  <r>
    <x v="820"/>
    <x v="25"/>
    <s v="Male"/>
    <x v="1"/>
    <x v="2"/>
    <s v="Upper-Middle"/>
    <s v="Divorced/Separated"/>
    <s v="Alone"/>
    <x v="4"/>
    <x v="1"/>
    <x v="4"/>
    <n v="0.15"/>
    <n v="2.91"/>
    <n v="3.69"/>
    <n v="5.43"/>
    <n v="3"/>
    <n v="8.3000000000000007"/>
    <n v="7.4"/>
    <n v="4.9000000000000004"/>
    <s v="Yes"/>
    <n v="7.1"/>
    <n v="7.4"/>
    <n v="3.3"/>
    <n v="6.9"/>
    <n v="6.1"/>
    <n v="6.2"/>
    <n v="3.9"/>
    <x v="1"/>
    <s v="Yes"/>
    <x v="1"/>
    <x v="3"/>
    <x v="0"/>
    <x v="2"/>
  </r>
  <r>
    <x v="821"/>
    <x v="17"/>
    <s v="Male"/>
    <x v="0"/>
    <x v="1"/>
    <s v="Lower-Middle"/>
    <s v="Married"/>
    <s v="With Partner"/>
    <x v="3"/>
    <x v="0"/>
    <x v="2"/>
    <n v="0"/>
    <n v="5.85"/>
    <n v="1.52"/>
    <n v="3.9"/>
    <n v="5"/>
    <n v="5.0999999999999996"/>
    <n v="1.5"/>
    <n v="7.4"/>
    <s v="No"/>
    <n v="8.1"/>
    <n v="8.6"/>
    <n v="6.7"/>
    <n v="3.1"/>
    <n v="4.2"/>
    <n v="2.7"/>
    <n v="8"/>
    <x v="0"/>
    <s v="No"/>
    <x v="0"/>
    <x v="0"/>
    <x v="0"/>
    <x v="0"/>
  </r>
  <r>
    <x v="822"/>
    <x v="8"/>
    <s v="Female"/>
    <x v="1"/>
    <x v="1"/>
    <s v="Low"/>
    <s v="In a Relationship"/>
    <s v="With Roommates"/>
    <x v="0"/>
    <x v="0"/>
    <x v="3"/>
    <n v="0.96"/>
    <n v="2.96"/>
    <n v="2.48"/>
    <n v="4.87"/>
    <n v="5"/>
    <n v="5.3"/>
    <n v="4.8"/>
    <n v="6.3"/>
    <s v="No"/>
    <n v="5.6"/>
    <n v="5.7"/>
    <n v="4.2"/>
    <n v="4.3"/>
    <n v="4.4000000000000004"/>
    <n v="5.3"/>
    <n v="4.8"/>
    <x v="2"/>
    <s v="No"/>
    <x v="0"/>
    <x v="1"/>
    <x v="0"/>
    <x v="0"/>
  </r>
  <r>
    <x v="823"/>
    <x v="5"/>
    <s v="Female"/>
    <x v="1"/>
    <x v="1"/>
    <s v="Low"/>
    <s v="In a Relationship"/>
    <s v="With Family"/>
    <x v="2"/>
    <x v="4"/>
    <x v="1"/>
    <n v="2.58"/>
    <n v="3.19"/>
    <n v="3.32"/>
    <n v="6.68"/>
    <n v="3"/>
    <n v="7.4"/>
    <n v="6"/>
    <n v="4.5"/>
    <s v="No"/>
    <n v="5"/>
    <n v="4.7"/>
    <n v="3.7"/>
    <n v="7.1"/>
    <n v="3.8"/>
    <n v="6"/>
    <n v="3.2"/>
    <x v="2"/>
    <s v="No"/>
    <x v="2"/>
    <x v="0"/>
    <x v="2"/>
    <x v="2"/>
  </r>
  <r>
    <x v="824"/>
    <x v="24"/>
    <s v="Male"/>
    <x v="0"/>
    <x v="2"/>
    <s v="Upper-Middle"/>
    <s v="Single"/>
    <s v="Alone"/>
    <x v="1"/>
    <x v="0"/>
    <x v="2"/>
    <n v="1.91"/>
    <n v="5.58"/>
    <n v="2.0699999999999998"/>
    <n v="5.96"/>
    <n v="2"/>
    <n v="7.8"/>
    <n v="5.6"/>
    <n v="7.8"/>
    <s v="No"/>
    <n v="7.6"/>
    <n v="5.3"/>
    <n v="5.9"/>
    <n v="3.8"/>
    <n v="4.5999999999999996"/>
    <n v="6.1"/>
    <n v="5.8"/>
    <x v="1"/>
    <s v="No"/>
    <x v="1"/>
    <x v="1"/>
    <x v="1"/>
    <x v="2"/>
  </r>
  <r>
    <x v="825"/>
    <x v="29"/>
    <s v="Female"/>
    <x v="1"/>
    <x v="1"/>
    <s v="Upper-Middle"/>
    <s v="In a Relationship"/>
    <s v="With Family"/>
    <x v="1"/>
    <x v="0"/>
    <x v="1"/>
    <n v="3.2"/>
    <n v="4.79"/>
    <n v="2.21"/>
    <n v="6.36"/>
    <n v="3"/>
    <n v="8.6"/>
    <n v="8.6999999999999993"/>
    <n v="2.6"/>
    <s v="Yes"/>
    <n v="6.1"/>
    <n v="5"/>
    <n v="4.4000000000000004"/>
    <n v="5.9"/>
    <n v="6.2"/>
    <n v="7.1"/>
    <n v="2.7"/>
    <x v="2"/>
    <s v="Yes"/>
    <x v="2"/>
    <x v="1"/>
    <x v="2"/>
    <x v="2"/>
  </r>
  <r>
    <x v="826"/>
    <x v="19"/>
    <s v="Female"/>
    <x v="0"/>
    <x v="2"/>
    <s v="Lower-Middle"/>
    <s v="In a Relationship"/>
    <s v="Alone"/>
    <x v="0"/>
    <x v="1"/>
    <x v="4"/>
    <n v="0.49"/>
    <n v="2.4900000000000002"/>
    <n v="1.89"/>
    <n v="4.8899999999999997"/>
    <n v="5"/>
    <n v="4.5999999999999996"/>
    <n v="2.5"/>
    <n v="6.4"/>
    <s v="No"/>
    <n v="6.4"/>
    <n v="7"/>
    <n v="3.3"/>
    <n v="2.7"/>
    <n v="3.3"/>
    <n v="4.3"/>
    <n v="8.1999999999999993"/>
    <x v="0"/>
    <s v="No"/>
    <x v="0"/>
    <x v="3"/>
    <x v="0"/>
    <x v="0"/>
  </r>
  <r>
    <x v="827"/>
    <x v="13"/>
    <s v="Female"/>
    <x v="0"/>
    <x v="3"/>
    <s v="Low"/>
    <s v="In a Relationship"/>
    <s v="Alone"/>
    <x v="1"/>
    <x v="1"/>
    <x v="1"/>
    <n v="1.87"/>
    <n v="3.66"/>
    <n v="1.62"/>
    <n v="3.83"/>
    <n v="4"/>
    <n v="3.7"/>
    <n v="5"/>
    <n v="5.3"/>
    <s v="Yes"/>
    <n v="7.4"/>
    <n v="5.5"/>
    <n v="4.8"/>
    <n v="3.1"/>
    <n v="5.7"/>
    <n v="4.5999999999999996"/>
    <n v="6.5"/>
    <x v="1"/>
    <s v="No"/>
    <x v="1"/>
    <x v="2"/>
    <x v="1"/>
    <x v="0"/>
  </r>
  <r>
    <x v="828"/>
    <x v="1"/>
    <s v="Male"/>
    <x v="1"/>
    <x v="2"/>
    <s v="Upper-Middle"/>
    <s v="Divorced/Separated"/>
    <s v="Alone"/>
    <x v="1"/>
    <x v="3"/>
    <x v="1"/>
    <n v="0"/>
    <n v="8.1999999999999993"/>
    <n v="1.93"/>
    <n v="1.77"/>
    <n v="7"/>
    <n v="1.8"/>
    <n v="1.4"/>
    <n v="10"/>
    <s v="No"/>
    <n v="7.3"/>
    <n v="8.8000000000000007"/>
    <n v="7.1"/>
    <n v="2.7"/>
    <n v="1.9"/>
    <n v="2.7"/>
    <n v="7.9"/>
    <x v="1"/>
    <s v="No"/>
    <x v="0"/>
    <x v="1"/>
    <x v="0"/>
    <x v="1"/>
  </r>
  <r>
    <x v="829"/>
    <x v="21"/>
    <s v="Female"/>
    <x v="1"/>
    <x v="2"/>
    <s v="Low"/>
    <s v="In a Relationship"/>
    <s v="With Family"/>
    <x v="1"/>
    <x v="1"/>
    <x v="1"/>
    <n v="0"/>
    <n v="6.24"/>
    <n v="0.86"/>
    <n v="1.25"/>
    <n v="6"/>
    <n v="1"/>
    <n v="1.9"/>
    <n v="8.3000000000000007"/>
    <s v="Yes"/>
    <n v="7.5"/>
    <n v="9.5"/>
    <n v="6.3"/>
    <n v="1.9"/>
    <n v="1.3"/>
    <n v="2.5"/>
    <n v="10"/>
    <x v="1"/>
    <s v="No"/>
    <x v="0"/>
    <x v="1"/>
    <x v="0"/>
    <x v="1"/>
  </r>
  <r>
    <x v="830"/>
    <x v="0"/>
    <s v="Female"/>
    <x v="0"/>
    <x v="2"/>
    <s v="Lower-Middle"/>
    <s v="Single"/>
    <s v="With Family"/>
    <x v="2"/>
    <x v="4"/>
    <x v="2"/>
    <n v="3.14"/>
    <n v="3.16"/>
    <n v="4.7"/>
    <n v="9.42"/>
    <n v="2"/>
    <n v="8.4"/>
    <n v="6.4"/>
    <n v="4.9000000000000004"/>
    <s v="No"/>
    <n v="5.7"/>
    <n v="5.3"/>
    <n v="4"/>
    <n v="5.5"/>
    <n v="7.6"/>
    <n v="6.3"/>
    <n v="4.3"/>
    <x v="1"/>
    <s v="No"/>
    <x v="2"/>
    <x v="0"/>
    <x v="2"/>
    <x v="2"/>
  </r>
  <r>
    <x v="831"/>
    <x v="20"/>
    <s v="Male"/>
    <x v="1"/>
    <x v="0"/>
    <s v="Low"/>
    <s v="Married"/>
    <s v="Alone"/>
    <x v="3"/>
    <x v="1"/>
    <x v="2"/>
    <n v="0.67"/>
    <n v="5.29"/>
    <n v="2.19"/>
    <n v="4.57"/>
    <n v="4"/>
    <n v="4.2"/>
    <n v="7.1"/>
    <n v="4.4000000000000004"/>
    <s v="Yes"/>
    <n v="6.3"/>
    <n v="6.6"/>
    <n v="3.5"/>
    <n v="5.4"/>
    <n v="3.7"/>
    <n v="4.5"/>
    <n v="4.4000000000000004"/>
    <x v="1"/>
    <s v="No"/>
    <x v="0"/>
    <x v="2"/>
    <x v="0"/>
    <x v="0"/>
  </r>
  <r>
    <x v="832"/>
    <x v="29"/>
    <s v="Male"/>
    <x v="3"/>
    <x v="1"/>
    <s v="Low"/>
    <s v="Single"/>
    <s v="With Partner"/>
    <x v="4"/>
    <x v="0"/>
    <x v="3"/>
    <n v="0.27"/>
    <n v="4.7300000000000004"/>
    <n v="2.02"/>
    <n v="4.43"/>
    <n v="7"/>
    <n v="3.9"/>
    <n v="3.2"/>
    <n v="8.1"/>
    <s v="No"/>
    <n v="6.6"/>
    <n v="8.1"/>
    <n v="2.7"/>
    <n v="1.7"/>
    <n v="1.6"/>
    <n v="3.6"/>
    <n v="8.3000000000000007"/>
    <x v="0"/>
    <s v="No"/>
    <x v="0"/>
    <x v="1"/>
    <x v="0"/>
    <x v="0"/>
  </r>
  <r>
    <x v="833"/>
    <x v="11"/>
    <s v="Prefer not to say"/>
    <x v="0"/>
    <x v="0"/>
    <s v="Low"/>
    <s v="Single"/>
    <s v="With Roommates"/>
    <x v="2"/>
    <x v="0"/>
    <x v="2"/>
    <n v="0.21"/>
    <n v="5.88"/>
    <n v="0"/>
    <n v="1.65"/>
    <n v="6"/>
    <n v="3.7"/>
    <n v="4.0999999999999996"/>
    <n v="7.3"/>
    <s v="No"/>
    <n v="8"/>
    <n v="10"/>
    <n v="8.1"/>
    <n v="3.2"/>
    <n v="2.1"/>
    <n v="3.7"/>
    <n v="10"/>
    <x v="0"/>
    <s v="No"/>
    <x v="0"/>
    <x v="3"/>
    <x v="0"/>
    <x v="0"/>
  </r>
  <r>
    <x v="834"/>
    <x v="11"/>
    <s v="Male"/>
    <x v="4"/>
    <x v="2"/>
    <s v="Lower-Middle"/>
    <s v="Single"/>
    <s v="With Family"/>
    <x v="2"/>
    <x v="1"/>
    <x v="4"/>
    <n v="2.2799999999999998"/>
    <n v="2.88"/>
    <n v="2.2200000000000002"/>
    <n v="5.66"/>
    <n v="3"/>
    <n v="5.9"/>
    <n v="5.4"/>
    <n v="5.2"/>
    <s v="No"/>
    <n v="7.8"/>
    <n v="6.5"/>
    <n v="1"/>
    <n v="6.5"/>
    <n v="4.2"/>
    <n v="7"/>
    <n v="5.6"/>
    <x v="1"/>
    <s v="No"/>
    <x v="2"/>
    <x v="3"/>
    <x v="1"/>
    <x v="0"/>
  </r>
  <r>
    <x v="835"/>
    <x v="17"/>
    <s v="Female"/>
    <x v="0"/>
    <x v="2"/>
    <s v="Low"/>
    <s v="Single"/>
    <s v="With Partner"/>
    <x v="3"/>
    <x v="1"/>
    <x v="4"/>
    <n v="0"/>
    <n v="5.86"/>
    <n v="0"/>
    <n v="3.43"/>
    <n v="5"/>
    <n v="2"/>
    <n v="1"/>
    <n v="9.9"/>
    <s v="No"/>
    <n v="6.8"/>
    <n v="8.8000000000000007"/>
    <n v="8.3000000000000007"/>
    <n v="1"/>
    <n v="1"/>
    <n v="3.6"/>
    <n v="7.9"/>
    <x v="1"/>
    <s v="No"/>
    <x v="0"/>
    <x v="0"/>
    <x v="0"/>
    <x v="1"/>
  </r>
  <r>
    <x v="836"/>
    <x v="18"/>
    <s v="Female"/>
    <x v="0"/>
    <x v="1"/>
    <s v="Lower-Middle"/>
    <s v="Married"/>
    <s v="With Partner"/>
    <x v="2"/>
    <x v="3"/>
    <x v="2"/>
    <n v="3.22"/>
    <n v="3.33"/>
    <n v="4.57"/>
    <n v="10.96"/>
    <n v="4"/>
    <n v="7.4"/>
    <n v="6.8"/>
    <n v="1.7"/>
    <s v="Yes"/>
    <n v="6"/>
    <n v="6.2"/>
    <n v="2.7"/>
    <n v="7"/>
    <n v="5.0999999999999996"/>
    <n v="6.9"/>
    <n v="2.6"/>
    <x v="1"/>
    <s v="No"/>
    <x v="2"/>
    <x v="2"/>
    <x v="2"/>
    <x v="2"/>
  </r>
  <r>
    <x v="837"/>
    <x v="8"/>
    <s v="Male"/>
    <x v="0"/>
    <x v="1"/>
    <s v="Lower-Middle"/>
    <s v="In a Relationship"/>
    <s v="With Family"/>
    <x v="3"/>
    <x v="1"/>
    <x v="4"/>
    <n v="1.63"/>
    <n v="4.37"/>
    <n v="2.4900000000000002"/>
    <n v="7.11"/>
    <n v="4"/>
    <n v="7"/>
    <n v="6.9"/>
    <n v="5.4"/>
    <s v="No"/>
    <n v="6.5"/>
    <n v="4.4000000000000004"/>
    <n v="5.3"/>
    <n v="4.3"/>
    <n v="3.4"/>
    <n v="3.3"/>
    <n v="4.7"/>
    <x v="2"/>
    <s v="No"/>
    <x v="2"/>
    <x v="1"/>
    <x v="1"/>
    <x v="2"/>
  </r>
  <r>
    <x v="838"/>
    <x v="2"/>
    <s v="Female"/>
    <x v="1"/>
    <x v="1"/>
    <s v="Lower-Middle"/>
    <s v="Married"/>
    <s v="With Family"/>
    <x v="3"/>
    <x v="1"/>
    <x v="4"/>
    <n v="0"/>
    <n v="5.17"/>
    <n v="2.37"/>
    <n v="4.68"/>
    <n v="5"/>
    <n v="2.6"/>
    <n v="1"/>
    <n v="8.3000000000000007"/>
    <s v="No"/>
    <n v="8.4"/>
    <n v="8.4"/>
    <n v="5.8"/>
    <n v="2.9"/>
    <n v="2.2999999999999998"/>
    <n v="5.4"/>
    <n v="10"/>
    <x v="0"/>
    <s v="Yes"/>
    <x v="0"/>
    <x v="2"/>
    <x v="0"/>
    <x v="1"/>
  </r>
  <r>
    <x v="839"/>
    <x v="15"/>
    <s v="Male"/>
    <x v="1"/>
    <x v="1"/>
    <s v="Lower-Middle"/>
    <s v="In a Relationship"/>
    <s v="With Roommates"/>
    <x v="1"/>
    <x v="0"/>
    <x v="3"/>
    <n v="1.52"/>
    <n v="3.4"/>
    <n v="0"/>
    <n v="3.91"/>
    <n v="7"/>
    <n v="6"/>
    <n v="4.0999999999999996"/>
    <n v="6.4"/>
    <s v="No"/>
    <n v="7.8"/>
    <n v="7.1"/>
    <n v="5.3"/>
    <n v="5.4"/>
    <n v="4.3"/>
    <n v="5.2"/>
    <n v="4.3"/>
    <x v="2"/>
    <s v="No"/>
    <x v="0"/>
    <x v="1"/>
    <x v="1"/>
    <x v="0"/>
  </r>
  <r>
    <x v="840"/>
    <x v="13"/>
    <s v="Female"/>
    <x v="3"/>
    <x v="0"/>
    <s v="Upper-Middle"/>
    <s v="Single"/>
    <s v="With Partner"/>
    <x v="1"/>
    <x v="0"/>
    <x v="1"/>
    <n v="4.24"/>
    <n v="0"/>
    <n v="6.7"/>
    <n v="12.13"/>
    <n v="1"/>
    <n v="10"/>
    <n v="10"/>
    <n v="1"/>
    <s v="Yes"/>
    <n v="5"/>
    <n v="2.5"/>
    <n v="1.5"/>
    <n v="10"/>
    <n v="10"/>
    <n v="9"/>
    <n v="1.9"/>
    <x v="2"/>
    <s v="No"/>
    <x v="2"/>
    <x v="2"/>
    <x v="3"/>
    <x v="2"/>
  </r>
  <r>
    <x v="841"/>
    <x v="0"/>
    <s v="Male"/>
    <x v="0"/>
    <x v="0"/>
    <s v="Low"/>
    <s v="Married"/>
    <s v="With Partner"/>
    <x v="2"/>
    <x v="1"/>
    <x v="2"/>
    <n v="3.02"/>
    <n v="2.2999999999999998"/>
    <n v="3.62"/>
    <n v="8.7799999999999994"/>
    <n v="1"/>
    <n v="5.6"/>
    <n v="8.1999999999999993"/>
    <n v="2.9"/>
    <s v="Yes"/>
    <n v="5.6"/>
    <n v="5.0999999999999996"/>
    <n v="1.6"/>
    <n v="6.3"/>
    <n v="7.1"/>
    <n v="7"/>
    <n v="3.6"/>
    <x v="2"/>
    <s v="Yes"/>
    <x v="2"/>
    <x v="0"/>
    <x v="2"/>
    <x v="0"/>
  </r>
  <r>
    <x v="842"/>
    <x v="22"/>
    <s v="Female"/>
    <x v="3"/>
    <x v="1"/>
    <s v="Lower-Middle"/>
    <s v="Single"/>
    <s v="With Partner"/>
    <x v="3"/>
    <x v="1"/>
    <x v="1"/>
    <n v="0.14000000000000001"/>
    <n v="5.86"/>
    <n v="2.0099999999999998"/>
    <n v="3.21"/>
    <n v="5"/>
    <n v="3.3"/>
    <n v="1.6"/>
    <n v="9.1999999999999993"/>
    <s v="No"/>
    <n v="8.1"/>
    <n v="7.3"/>
    <n v="5.2"/>
    <n v="3.8"/>
    <n v="2"/>
    <n v="3.1"/>
    <n v="8.6999999999999993"/>
    <x v="0"/>
    <s v="No"/>
    <x v="0"/>
    <x v="2"/>
    <x v="0"/>
    <x v="0"/>
  </r>
  <r>
    <x v="843"/>
    <x v="23"/>
    <s v="Male"/>
    <x v="3"/>
    <x v="2"/>
    <s v="Low"/>
    <s v="Single"/>
    <s v="Alone"/>
    <x v="1"/>
    <x v="1"/>
    <x v="4"/>
    <n v="2.02"/>
    <n v="3.67"/>
    <n v="2.15"/>
    <n v="5.12"/>
    <n v="2"/>
    <n v="6.6"/>
    <n v="5.2"/>
    <n v="6"/>
    <s v="No"/>
    <n v="5"/>
    <n v="4.5"/>
    <n v="2.9"/>
    <n v="7.4"/>
    <n v="6.7"/>
    <n v="5.2"/>
    <n v="3.1"/>
    <x v="1"/>
    <s v="No"/>
    <x v="2"/>
    <x v="0"/>
    <x v="1"/>
    <x v="2"/>
  </r>
  <r>
    <x v="844"/>
    <x v="7"/>
    <s v="Male"/>
    <x v="4"/>
    <x v="2"/>
    <s v="Low"/>
    <s v="In a Relationship"/>
    <s v="Alone"/>
    <x v="3"/>
    <x v="0"/>
    <x v="1"/>
    <n v="0"/>
    <n v="4.5599999999999996"/>
    <n v="1.61"/>
    <n v="1.99"/>
    <n v="8"/>
    <n v="2.8"/>
    <n v="2.1"/>
    <n v="7.5"/>
    <s v="No"/>
    <n v="6.1"/>
    <n v="9.1999999999999993"/>
    <n v="6.7"/>
    <n v="3.6"/>
    <n v="1"/>
    <n v="3.3"/>
    <n v="8.4"/>
    <x v="0"/>
    <s v="No"/>
    <x v="0"/>
    <x v="2"/>
    <x v="0"/>
    <x v="1"/>
  </r>
  <r>
    <x v="845"/>
    <x v="8"/>
    <s v="Non-binary"/>
    <x v="4"/>
    <x v="0"/>
    <s v="Lower-Middle"/>
    <s v="Single"/>
    <s v="With Family"/>
    <x v="5"/>
    <x v="3"/>
    <x v="3"/>
    <n v="0.51"/>
    <n v="3.6"/>
    <n v="0.75"/>
    <n v="3.67"/>
    <n v="7"/>
    <n v="1.5"/>
    <n v="1"/>
    <n v="10"/>
    <s v="No"/>
    <n v="10"/>
    <n v="8.6999999999999993"/>
    <n v="5.9"/>
    <n v="1.1000000000000001"/>
    <n v="1"/>
    <n v="2.5"/>
    <n v="7.5"/>
    <x v="0"/>
    <s v="Yes"/>
    <x v="0"/>
    <x v="1"/>
    <x v="0"/>
    <x v="1"/>
  </r>
  <r>
    <x v="846"/>
    <x v="0"/>
    <s v="Male"/>
    <x v="0"/>
    <x v="2"/>
    <s v="Lower-Middle"/>
    <s v="Single"/>
    <s v="With Family"/>
    <x v="1"/>
    <x v="4"/>
    <x v="1"/>
    <n v="1.71"/>
    <n v="3.93"/>
    <n v="1.24"/>
    <n v="5.1100000000000003"/>
    <n v="5"/>
    <n v="4.9000000000000004"/>
    <n v="5.6"/>
    <n v="2.8"/>
    <s v="No"/>
    <n v="6.3"/>
    <n v="7.7"/>
    <n v="4.5"/>
    <n v="5.3"/>
    <n v="3"/>
    <n v="4.8"/>
    <n v="5.0999999999999996"/>
    <x v="1"/>
    <s v="No"/>
    <x v="1"/>
    <x v="0"/>
    <x v="1"/>
    <x v="0"/>
  </r>
  <r>
    <x v="847"/>
    <x v="16"/>
    <s v="Female"/>
    <x v="1"/>
    <x v="0"/>
    <s v="Upper-Middle"/>
    <s v="In a Relationship"/>
    <s v="Alone"/>
    <x v="2"/>
    <x v="0"/>
    <x v="1"/>
    <n v="0.85"/>
    <n v="4.32"/>
    <n v="1.84"/>
    <n v="4.3899999999999997"/>
    <n v="6"/>
    <n v="6.3"/>
    <n v="6.7"/>
    <n v="5.2"/>
    <s v="No"/>
    <n v="6.2"/>
    <n v="5.2"/>
    <n v="1.8"/>
    <n v="7.3"/>
    <n v="6.8"/>
    <n v="2.9"/>
    <n v="5.8"/>
    <x v="1"/>
    <s v="No"/>
    <x v="0"/>
    <x v="2"/>
    <x v="0"/>
    <x v="2"/>
  </r>
  <r>
    <x v="848"/>
    <x v="12"/>
    <s v="Male"/>
    <x v="0"/>
    <x v="1"/>
    <s v="Lower-Middle"/>
    <s v="In a Relationship"/>
    <s v="With Roommates"/>
    <x v="3"/>
    <x v="1"/>
    <x v="2"/>
    <n v="3.26"/>
    <n v="2.63"/>
    <n v="2.09"/>
    <n v="6.91"/>
    <n v="1"/>
    <n v="5.9"/>
    <n v="3.7"/>
    <n v="2.7"/>
    <s v="No"/>
    <n v="6.9"/>
    <n v="4.7"/>
    <n v="1.1000000000000001"/>
    <n v="5.8"/>
    <n v="5.6"/>
    <n v="6.1"/>
    <n v="3.1"/>
    <x v="1"/>
    <s v="No"/>
    <x v="2"/>
    <x v="3"/>
    <x v="2"/>
    <x v="0"/>
  </r>
  <r>
    <x v="849"/>
    <x v="29"/>
    <s v="Female"/>
    <x v="1"/>
    <x v="0"/>
    <s v="High"/>
    <s v="Single"/>
    <s v="Alone"/>
    <x v="3"/>
    <x v="2"/>
    <x v="0"/>
    <n v="2.99"/>
    <n v="1.65"/>
    <n v="3.71"/>
    <n v="6.86"/>
    <n v="4"/>
    <n v="5.4"/>
    <n v="6.5"/>
    <n v="4.8"/>
    <s v="Yes"/>
    <n v="6.7"/>
    <n v="3.1"/>
    <n v="3.1"/>
    <n v="7.8"/>
    <n v="6.5"/>
    <n v="5.0999999999999996"/>
    <n v="4.8"/>
    <x v="2"/>
    <s v="No"/>
    <x v="2"/>
    <x v="1"/>
    <x v="2"/>
    <x v="0"/>
  </r>
  <r>
    <x v="850"/>
    <x v="29"/>
    <s v="Male"/>
    <x v="0"/>
    <x v="2"/>
    <s v="Low"/>
    <s v="Divorced/Separated"/>
    <s v="With Roommates"/>
    <x v="5"/>
    <x v="0"/>
    <x v="4"/>
    <n v="2.5099999999999998"/>
    <n v="2.87"/>
    <n v="2.36"/>
    <n v="7.12"/>
    <n v="4"/>
    <n v="6.5"/>
    <n v="3.3"/>
    <n v="4.7"/>
    <s v="No"/>
    <n v="7.5"/>
    <n v="6.7"/>
    <n v="3.7"/>
    <n v="5.7"/>
    <n v="4.3"/>
    <n v="5.2"/>
    <n v="5.0999999999999996"/>
    <x v="2"/>
    <s v="No"/>
    <x v="2"/>
    <x v="1"/>
    <x v="2"/>
    <x v="2"/>
  </r>
  <r>
    <x v="851"/>
    <x v="27"/>
    <s v="Non-binary"/>
    <x v="0"/>
    <x v="0"/>
    <s v="Low"/>
    <s v="In a Relationship"/>
    <s v="With Family"/>
    <x v="3"/>
    <x v="1"/>
    <x v="1"/>
    <n v="0.11"/>
    <n v="6.1"/>
    <n v="0"/>
    <n v="1.8"/>
    <n v="6"/>
    <n v="2.7"/>
    <n v="1"/>
    <n v="7.9"/>
    <s v="No"/>
    <n v="9"/>
    <n v="9.8000000000000007"/>
    <n v="4.4000000000000004"/>
    <n v="1"/>
    <n v="1.6"/>
    <n v="2.5"/>
    <n v="7.9"/>
    <x v="0"/>
    <s v="No"/>
    <x v="0"/>
    <x v="1"/>
    <x v="0"/>
    <x v="1"/>
  </r>
  <r>
    <x v="852"/>
    <x v="18"/>
    <s v="Male"/>
    <x v="0"/>
    <x v="1"/>
    <s v="Low"/>
    <s v="Married"/>
    <s v="Alone"/>
    <x v="1"/>
    <x v="0"/>
    <x v="1"/>
    <n v="1.43"/>
    <n v="5.31"/>
    <n v="2.81"/>
    <n v="7.14"/>
    <n v="4"/>
    <n v="4.0999999999999996"/>
    <n v="3.8"/>
    <n v="5.2"/>
    <s v="No"/>
    <n v="5.7"/>
    <n v="3.9"/>
    <n v="4.9000000000000004"/>
    <n v="3.5"/>
    <n v="4.8"/>
    <n v="4.2"/>
    <n v="5.2"/>
    <x v="1"/>
    <s v="Yes"/>
    <x v="0"/>
    <x v="2"/>
    <x v="1"/>
    <x v="0"/>
  </r>
  <r>
    <x v="853"/>
    <x v="16"/>
    <s v="Male"/>
    <x v="1"/>
    <x v="2"/>
    <s v="Low"/>
    <s v="Single"/>
    <s v="With Family"/>
    <x v="2"/>
    <x v="1"/>
    <x v="0"/>
    <n v="3.26"/>
    <n v="2.68"/>
    <n v="1.3"/>
    <n v="6.7"/>
    <n v="4"/>
    <n v="6.9"/>
    <n v="5.3"/>
    <n v="3"/>
    <s v="Yes"/>
    <n v="7.5"/>
    <n v="5.3"/>
    <n v="3.8"/>
    <n v="4.7"/>
    <n v="4.0999999999999996"/>
    <n v="6.1"/>
    <n v="4.5999999999999996"/>
    <x v="1"/>
    <s v="No"/>
    <x v="2"/>
    <x v="2"/>
    <x v="2"/>
    <x v="2"/>
  </r>
  <r>
    <x v="854"/>
    <x v="7"/>
    <s v="Male"/>
    <x v="1"/>
    <x v="1"/>
    <s v="Lower-Middle"/>
    <s v="In a Relationship"/>
    <s v="Alone"/>
    <x v="3"/>
    <x v="0"/>
    <x v="0"/>
    <n v="1.7"/>
    <n v="4.57"/>
    <n v="4.2699999999999996"/>
    <n v="8.68"/>
    <n v="5"/>
    <n v="7"/>
    <n v="8.1999999999999993"/>
    <n v="5.2"/>
    <s v="No"/>
    <n v="7.1"/>
    <n v="5.2"/>
    <n v="3.7"/>
    <n v="5.3"/>
    <n v="4.9000000000000004"/>
    <n v="5.9"/>
    <n v="5.0999999999999996"/>
    <x v="1"/>
    <s v="No"/>
    <x v="1"/>
    <x v="2"/>
    <x v="1"/>
    <x v="2"/>
  </r>
  <r>
    <x v="855"/>
    <x v="1"/>
    <s v="Male"/>
    <x v="0"/>
    <x v="1"/>
    <s v="Upper-Middle"/>
    <s v="Married"/>
    <s v="With Roommates"/>
    <x v="0"/>
    <x v="2"/>
    <x v="4"/>
    <n v="2.41"/>
    <n v="4.74"/>
    <n v="4.67"/>
    <n v="9.08"/>
    <n v="2"/>
    <n v="6.5"/>
    <n v="6"/>
    <n v="6.9"/>
    <s v="Yes"/>
    <n v="7.2"/>
    <n v="7.1"/>
    <n v="3.8"/>
    <n v="4.7"/>
    <n v="4.5"/>
    <n v="4.7"/>
    <n v="5.7"/>
    <x v="1"/>
    <s v="No"/>
    <x v="0"/>
    <x v="1"/>
    <x v="1"/>
    <x v="2"/>
  </r>
  <r>
    <x v="856"/>
    <x v="18"/>
    <s v="Female"/>
    <x v="1"/>
    <x v="2"/>
    <s v="Low"/>
    <s v="In a Relationship"/>
    <s v="With Roommates"/>
    <x v="1"/>
    <x v="3"/>
    <x v="2"/>
    <n v="2.1"/>
    <n v="2.46"/>
    <n v="1.52"/>
    <n v="5.8"/>
    <n v="6"/>
    <n v="6"/>
    <n v="6.9"/>
    <n v="7.9"/>
    <s v="No"/>
    <n v="7.1"/>
    <n v="5.8"/>
    <n v="1.7"/>
    <n v="5.4"/>
    <n v="4.3"/>
    <n v="4.3"/>
    <n v="5.0999999999999996"/>
    <x v="1"/>
    <s v="No"/>
    <x v="1"/>
    <x v="2"/>
    <x v="1"/>
    <x v="0"/>
  </r>
  <r>
    <x v="857"/>
    <x v="5"/>
    <s v="Male"/>
    <x v="4"/>
    <x v="3"/>
    <s v="High"/>
    <s v="In a Relationship"/>
    <s v="With Partner"/>
    <x v="3"/>
    <x v="4"/>
    <x v="1"/>
    <n v="0.8"/>
    <n v="4.91"/>
    <n v="3.86"/>
    <n v="7.6"/>
    <n v="5"/>
    <n v="6.2"/>
    <n v="5.0999999999999996"/>
    <n v="5.2"/>
    <s v="No"/>
    <n v="4.8"/>
    <n v="5"/>
    <n v="1.7"/>
    <n v="6.8"/>
    <n v="6.3"/>
    <n v="3.5"/>
    <n v="5"/>
    <x v="1"/>
    <s v="No"/>
    <x v="0"/>
    <x v="0"/>
    <x v="0"/>
    <x v="2"/>
  </r>
  <r>
    <x v="858"/>
    <x v="2"/>
    <s v="Female"/>
    <x v="1"/>
    <x v="3"/>
    <s v="Upper-Middle"/>
    <s v="Single"/>
    <s v="With Family"/>
    <x v="3"/>
    <x v="3"/>
    <x v="4"/>
    <n v="0"/>
    <n v="6.46"/>
    <n v="0.88"/>
    <n v="2.69"/>
    <n v="7"/>
    <n v="1.3"/>
    <n v="1"/>
    <n v="10"/>
    <s v="No"/>
    <n v="8.1999999999999993"/>
    <n v="10"/>
    <n v="6.9"/>
    <n v="1"/>
    <n v="1"/>
    <n v="2.1"/>
    <n v="9.6999999999999993"/>
    <x v="0"/>
    <s v="No"/>
    <x v="0"/>
    <x v="2"/>
    <x v="0"/>
    <x v="1"/>
  </r>
  <r>
    <x v="859"/>
    <x v="26"/>
    <s v="Male"/>
    <x v="1"/>
    <x v="1"/>
    <s v="Lower-Middle"/>
    <s v="Single"/>
    <s v="Alone"/>
    <x v="3"/>
    <x v="1"/>
    <x v="4"/>
    <n v="2.9"/>
    <n v="1.52"/>
    <n v="3.15"/>
    <n v="8.52"/>
    <n v="1"/>
    <n v="8.4"/>
    <n v="9.1999999999999993"/>
    <n v="5.2"/>
    <s v="Yes"/>
    <n v="5.3"/>
    <n v="6.3"/>
    <n v="1.4"/>
    <n v="6.5"/>
    <n v="5.9"/>
    <n v="6.3"/>
    <n v="5.5"/>
    <x v="2"/>
    <s v="Yes"/>
    <x v="2"/>
    <x v="0"/>
    <x v="2"/>
    <x v="2"/>
  </r>
  <r>
    <x v="860"/>
    <x v="0"/>
    <s v="Male"/>
    <x v="1"/>
    <x v="1"/>
    <s v="Low"/>
    <s v="In a Relationship"/>
    <s v="With Family"/>
    <x v="4"/>
    <x v="1"/>
    <x v="1"/>
    <n v="1.1399999999999999"/>
    <n v="5.88"/>
    <n v="1.94"/>
    <n v="4.63"/>
    <n v="6"/>
    <n v="3.5"/>
    <n v="4.8"/>
    <n v="5.6"/>
    <s v="No"/>
    <n v="6.1"/>
    <n v="6.5"/>
    <n v="3"/>
    <n v="4"/>
    <n v="2.7"/>
    <n v="2.8"/>
    <n v="6.8"/>
    <x v="0"/>
    <s v="No"/>
    <x v="0"/>
    <x v="0"/>
    <x v="1"/>
    <x v="0"/>
  </r>
  <r>
    <x v="861"/>
    <x v="19"/>
    <s v="Female"/>
    <x v="0"/>
    <x v="0"/>
    <s v="Low"/>
    <s v="Single"/>
    <s v="Alone"/>
    <x v="2"/>
    <x v="4"/>
    <x v="1"/>
    <n v="2.0699999999999998"/>
    <n v="3.1"/>
    <n v="3.86"/>
    <n v="7.8"/>
    <n v="4"/>
    <n v="8.9"/>
    <n v="6.9"/>
    <n v="3.6"/>
    <s v="Yes"/>
    <n v="6.1"/>
    <n v="5.7"/>
    <n v="3.6"/>
    <n v="3.7"/>
    <n v="6.7"/>
    <n v="7.7"/>
    <n v="4.5"/>
    <x v="1"/>
    <s v="No"/>
    <x v="2"/>
    <x v="3"/>
    <x v="1"/>
    <x v="2"/>
  </r>
  <r>
    <x v="862"/>
    <x v="12"/>
    <s v="Female"/>
    <x v="0"/>
    <x v="2"/>
    <s v="Low"/>
    <s v="Married"/>
    <s v="With Partner"/>
    <x v="3"/>
    <x v="2"/>
    <x v="4"/>
    <n v="0"/>
    <n v="4.59"/>
    <n v="0.15"/>
    <n v="3.75"/>
    <n v="9"/>
    <n v="1"/>
    <n v="1"/>
    <n v="10"/>
    <s v="No"/>
    <n v="9.4"/>
    <n v="10"/>
    <n v="9.8000000000000007"/>
    <n v="1"/>
    <n v="1"/>
    <n v="1.5"/>
    <n v="9.1"/>
    <x v="0"/>
    <s v="Yes"/>
    <x v="0"/>
    <x v="3"/>
    <x v="0"/>
    <x v="1"/>
  </r>
  <r>
    <x v="863"/>
    <x v="29"/>
    <s v="Male"/>
    <x v="1"/>
    <x v="0"/>
    <s v="Low"/>
    <s v="Single"/>
    <s v="With Roommates"/>
    <x v="3"/>
    <x v="1"/>
    <x v="3"/>
    <n v="3.84"/>
    <n v="1.47"/>
    <n v="1.57"/>
    <n v="8.0500000000000007"/>
    <n v="2"/>
    <n v="9.5"/>
    <n v="7.4"/>
    <n v="2.4"/>
    <s v="No"/>
    <n v="6.1"/>
    <n v="1.5"/>
    <n v="1.4"/>
    <n v="7.6"/>
    <n v="5.3"/>
    <n v="6.4"/>
    <n v="2.2999999999999998"/>
    <x v="1"/>
    <s v="No"/>
    <x v="2"/>
    <x v="1"/>
    <x v="2"/>
    <x v="2"/>
  </r>
  <r>
    <x v="864"/>
    <x v="18"/>
    <s v="Male"/>
    <x v="1"/>
    <x v="0"/>
    <s v="Lower-Middle"/>
    <s v="Divorced/Separated"/>
    <s v="With Partner"/>
    <x v="2"/>
    <x v="2"/>
    <x v="1"/>
    <n v="0"/>
    <n v="4.32"/>
    <n v="3.42"/>
    <n v="4.88"/>
    <n v="8"/>
    <n v="1.5"/>
    <n v="2"/>
    <n v="8.6"/>
    <s v="No"/>
    <n v="8.1999999999999993"/>
    <n v="10"/>
    <n v="8.5"/>
    <n v="2.2999999999999998"/>
    <n v="2.1"/>
    <n v="2.2000000000000002"/>
    <n v="7.1"/>
    <x v="0"/>
    <s v="No"/>
    <x v="0"/>
    <x v="2"/>
    <x v="0"/>
    <x v="1"/>
  </r>
  <r>
    <x v="865"/>
    <x v="16"/>
    <s v="Male"/>
    <x v="1"/>
    <x v="3"/>
    <s v="Low"/>
    <s v="Divorced/Separated"/>
    <s v="With Family"/>
    <x v="2"/>
    <x v="1"/>
    <x v="3"/>
    <n v="3.55"/>
    <n v="0.52"/>
    <n v="5.47"/>
    <n v="11.45"/>
    <n v="1"/>
    <n v="10"/>
    <n v="10"/>
    <n v="1"/>
    <s v="No"/>
    <n v="4.8"/>
    <n v="1"/>
    <n v="0.8"/>
    <n v="9.3000000000000007"/>
    <n v="9.1999999999999993"/>
    <n v="10"/>
    <n v="1"/>
    <x v="2"/>
    <s v="Yes"/>
    <x v="2"/>
    <x v="2"/>
    <x v="2"/>
    <x v="2"/>
  </r>
  <r>
    <x v="866"/>
    <x v="20"/>
    <s v="Female"/>
    <x v="1"/>
    <x v="2"/>
    <s v="Lower-Middle"/>
    <s v="Single"/>
    <s v="With Partner"/>
    <x v="1"/>
    <x v="1"/>
    <x v="1"/>
    <n v="3.4"/>
    <n v="1.22"/>
    <n v="4.57"/>
    <n v="8.69"/>
    <n v="0"/>
    <n v="10"/>
    <n v="8.4"/>
    <n v="1.1000000000000001"/>
    <s v="No"/>
    <n v="5.9"/>
    <n v="4.2"/>
    <n v="2.2999999999999998"/>
    <n v="8.9"/>
    <n v="9.6999999999999993"/>
    <n v="8.4"/>
    <n v="1"/>
    <x v="2"/>
    <s v="Yes"/>
    <x v="2"/>
    <x v="2"/>
    <x v="2"/>
    <x v="2"/>
  </r>
  <r>
    <x v="867"/>
    <x v="18"/>
    <s v="Female"/>
    <x v="0"/>
    <x v="1"/>
    <s v="High"/>
    <s v="Single"/>
    <s v="With Family"/>
    <x v="1"/>
    <x v="1"/>
    <x v="4"/>
    <n v="0.08"/>
    <n v="5.2"/>
    <n v="0.46"/>
    <n v="2.3199999999999998"/>
    <n v="5"/>
    <n v="1"/>
    <n v="1.8"/>
    <n v="10"/>
    <s v="No"/>
    <n v="7.7"/>
    <n v="9.6999999999999993"/>
    <n v="7"/>
    <n v="1"/>
    <n v="2.2000000000000002"/>
    <n v="2.2000000000000002"/>
    <n v="8.5"/>
    <x v="0"/>
    <s v="No"/>
    <x v="0"/>
    <x v="2"/>
    <x v="0"/>
    <x v="1"/>
  </r>
  <r>
    <x v="868"/>
    <x v="21"/>
    <s v="Female"/>
    <x v="0"/>
    <x v="1"/>
    <s v="Upper-Middle"/>
    <s v="Married"/>
    <s v="With Partner"/>
    <x v="3"/>
    <x v="0"/>
    <x v="1"/>
    <n v="2.4300000000000002"/>
    <n v="2.81"/>
    <n v="3.13"/>
    <n v="6.61"/>
    <n v="3"/>
    <n v="5.7"/>
    <n v="5"/>
    <n v="5"/>
    <s v="Yes"/>
    <n v="7.3"/>
    <n v="5.4"/>
    <n v="4.5999999999999996"/>
    <n v="6.1"/>
    <n v="5.7"/>
    <n v="7.3"/>
    <n v="6.9"/>
    <x v="1"/>
    <s v="No"/>
    <x v="2"/>
    <x v="1"/>
    <x v="1"/>
    <x v="0"/>
  </r>
  <r>
    <x v="869"/>
    <x v="20"/>
    <s v="Female"/>
    <x v="1"/>
    <x v="1"/>
    <s v="High"/>
    <s v="Divorced/Separated"/>
    <s v="With Family"/>
    <x v="2"/>
    <x v="0"/>
    <x v="4"/>
    <n v="1.07"/>
    <n v="5.0199999999999996"/>
    <n v="2.75"/>
    <n v="6.27"/>
    <n v="9"/>
    <n v="1.9"/>
    <n v="2.1"/>
    <n v="8"/>
    <s v="Yes"/>
    <n v="8.3000000000000007"/>
    <n v="8.3000000000000007"/>
    <n v="5.7"/>
    <n v="1.7"/>
    <n v="1"/>
    <n v="3.1"/>
    <n v="8.1999999999999993"/>
    <x v="0"/>
    <s v="No"/>
    <x v="0"/>
    <x v="2"/>
    <x v="1"/>
    <x v="1"/>
  </r>
  <r>
    <x v="870"/>
    <x v="10"/>
    <s v="Female"/>
    <x v="1"/>
    <x v="3"/>
    <s v="Low"/>
    <s v="Single"/>
    <s v="With Family"/>
    <x v="5"/>
    <x v="0"/>
    <x v="1"/>
    <n v="0.62"/>
    <n v="5.29"/>
    <n v="2.12"/>
    <n v="4.55"/>
    <n v="5"/>
    <n v="2.1"/>
    <n v="1.2"/>
    <n v="9.1"/>
    <s v="No"/>
    <n v="7.6"/>
    <n v="8.5"/>
    <n v="4.4000000000000004"/>
    <n v="3.3"/>
    <n v="1.2"/>
    <n v="5.4"/>
    <n v="8.1"/>
    <x v="1"/>
    <s v="No"/>
    <x v="0"/>
    <x v="2"/>
    <x v="0"/>
    <x v="1"/>
  </r>
  <r>
    <x v="871"/>
    <x v="19"/>
    <s v="Female"/>
    <x v="2"/>
    <x v="0"/>
    <s v="Lower-Middle"/>
    <s v="Single"/>
    <s v="Alone"/>
    <x v="3"/>
    <x v="1"/>
    <x v="4"/>
    <n v="1.37"/>
    <n v="3.93"/>
    <n v="2.2599999999999998"/>
    <n v="5.91"/>
    <n v="5"/>
    <n v="3.8"/>
    <n v="4.5999999999999996"/>
    <n v="5.0999999999999996"/>
    <s v="No"/>
    <n v="6.7"/>
    <n v="6.5"/>
    <n v="6"/>
    <n v="2"/>
    <n v="1"/>
    <n v="3.5"/>
    <n v="8.3000000000000007"/>
    <x v="2"/>
    <s v="No"/>
    <x v="0"/>
    <x v="3"/>
    <x v="1"/>
    <x v="0"/>
  </r>
  <r>
    <x v="872"/>
    <x v="17"/>
    <s v="Female"/>
    <x v="0"/>
    <x v="0"/>
    <s v="Lower-Middle"/>
    <s v="In a Relationship"/>
    <s v="With Partner"/>
    <x v="2"/>
    <x v="0"/>
    <x v="1"/>
    <n v="1.53"/>
    <n v="4.6900000000000004"/>
    <n v="1.7"/>
    <n v="6"/>
    <n v="5"/>
    <n v="5.9"/>
    <n v="5.2"/>
    <n v="4.5999999999999996"/>
    <s v="No"/>
    <n v="6.9"/>
    <n v="7.3"/>
    <n v="4.0999999999999996"/>
    <n v="6"/>
    <n v="4.8"/>
    <n v="5.0999999999999996"/>
    <n v="4.8"/>
    <x v="2"/>
    <s v="Yes"/>
    <x v="2"/>
    <x v="0"/>
    <x v="1"/>
    <x v="0"/>
  </r>
  <r>
    <x v="873"/>
    <x v="6"/>
    <s v="Male"/>
    <x v="0"/>
    <x v="2"/>
    <s v="Low"/>
    <s v="In a Relationship"/>
    <s v="With Family"/>
    <x v="1"/>
    <x v="1"/>
    <x v="4"/>
    <n v="1.57"/>
    <n v="2.42"/>
    <n v="2.48"/>
    <n v="5.59"/>
    <n v="3"/>
    <n v="7.4"/>
    <n v="4.4000000000000004"/>
    <n v="8.3000000000000007"/>
    <s v="No"/>
    <n v="7"/>
    <n v="6.1"/>
    <n v="3"/>
    <n v="5.2"/>
    <n v="3.9"/>
    <n v="5.6"/>
    <n v="5.0999999999999996"/>
    <x v="1"/>
    <s v="No"/>
    <x v="2"/>
    <x v="2"/>
    <x v="1"/>
    <x v="2"/>
  </r>
  <r>
    <x v="874"/>
    <x v="17"/>
    <s v="Male"/>
    <x v="1"/>
    <x v="0"/>
    <s v="Low"/>
    <s v="Single"/>
    <s v="With Family"/>
    <x v="1"/>
    <x v="2"/>
    <x v="3"/>
    <n v="0"/>
    <n v="5.94"/>
    <n v="1.35"/>
    <n v="2.92"/>
    <n v="7"/>
    <n v="1"/>
    <n v="1"/>
    <n v="8.3000000000000007"/>
    <s v="No"/>
    <n v="7.9"/>
    <n v="10"/>
    <n v="7.6"/>
    <n v="1"/>
    <n v="1.3"/>
    <n v="4.0999999999999996"/>
    <n v="6.6"/>
    <x v="0"/>
    <s v="No"/>
    <x v="0"/>
    <x v="0"/>
    <x v="0"/>
    <x v="1"/>
  </r>
  <r>
    <x v="875"/>
    <x v="7"/>
    <s v="Male"/>
    <x v="0"/>
    <x v="0"/>
    <s v="Upper-Middle"/>
    <s v="In a Relationship"/>
    <s v="With Partner"/>
    <x v="3"/>
    <x v="0"/>
    <x v="2"/>
    <n v="1.95"/>
    <n v="5.16"/>
    <n v="3.64"/>
    <n v="7.55"/>
    <n v="3"/>
    <n v="6.2"/>
    <n v="4.0999999999999996"/>
    <n v="5"/>
    <s v="No"/>
    <n v="6.3"/>
    <n v="5.6"/>
    <n v="4.2"/>
    <n v="6.5"/>
    <n v="5.0999999999999996"/>
    <n v="6"/>
    <n v="5.4"/>
    <x v="1"/>
    <s v="No"/>
    <x v="0"/>
    <x v="2"/>
    <x v="1"/>
    <x v="2"/>
  </r>
  <r>
    <x v="876"/>
    <x v="15"/>
    <s v="Male"/>
    <x v="1"/>
    <x v="2"/>
    <s v="Upper-Middle"/>
    <s v="Single"/>
    <s v="With Family"/>
    <x v="0"/>
    <x v="1"/>
    <x v="4"/>
    <n v="1.04"/>
    <n v="4.05"/>
    <n v="1.88"/>
    <n v="4.0599999999999996"/>
    <n v="6"/>
    <n v="3.5"/>
    <n v="4.5"/>
    <n v="7.9"/>
    <s v="No"/>
    <n v="6.6"/>
    <n v="7"/>
    <n v="3.1"/>
    <n v="3.5"/>
    <n v="5.8"/>
    <n v="4.8"/>
    <n v="6.5"/>
    <x v="2"/>
    <s v="No"/>
    <x v="0"/>
    <x v="1"/>
    <x v="1"/>
    <x v="0"/>
  </r>
  <r>
    <x v="877"/>
    <x v="29"/>
    <s v="Female"/>
    <x v="0"/>
    <x v="1"/>
    <s v="Lower-Middle"/>
    <s v="Single"/>
    <s v="With Family"/>
    <x v="1"/>
    <x v="0"/>
    <x v="1"/>
    <n v="0"/>
    <n v="6.2"/>
    <n v="1.61"/>
    <n v="3.6"/>
    <n v="5"/>
    <n v="1"/>
    <n v="1.3"/>
    <n v="10"/>
    <s v="No"/>
    <n v="8.6"/>
    <n v="10"/>
    <n v="4.9000000000000004"/>
    <n v="1"/>
    <n v="1"/>
    <n v="1"/>
    <n v="8.4"/>
    <x v="0"/>
    <s v="Yes"/>
    <x v="0"/>
    <x v="1"/>
    <x v="0"/>
    <x v="1"/>
  </r>
  <r>
    <x v="878"/>
    <x v="29"/>
    <s v="Non-binary"/>
    <x v="2"/>
    <x v="2"/>
    <s v="Lower-Middle"/>
    <s v="Single"/>
    <s v="Alone"/>
    <x v="1"/>
    <x v="0"/>
    <x v="4"/>
    <n v="0"/>
    <n v="3.51"/>
    <n v="0.92"/>
    <n v="2.96"/>
    <n v="8"/>
    <n v="4.8"/>
    <n v="4.5"/>
    <n v="5.2"/>
    <s v="No"/>
    <n v="6.5"/>
    <n v="8"/>
    <n v="7.5"/>
    <n v="4.5999999999999996"/>
    <n v="3.2"/>
    <n v="3.1"/>
    <n v="8.1999999999999993"/>
    <x v="0"/>
    <s v="No"/>
    <x v="0"/>
    <x v="1"/>
    <x v="0"/>
    <x v="0"/>
  </r>
  <r>
    <x v="879"/>
    <x v="2"/>
    <s v="Male"/>
    <x v="1"/>
    <x v="2"/>
    <s v="Lower-Middle"/>
    <s v="Single"/>
    <s v="With Family"/>
    <x v="3"/>
    <x v="3"/>
    <x v="3"/>
    <n v="4.16"/>
    <n v="1.66"/>
    <n v="4.2300000000000004"/>
    <n v="10.62"/>
    <n v="1"/>
    <n v="9.5"/>
    <n v="10"/>
    <n v="3.2"/>
    <s v="No"/>
    <n v="5.6"/>
    <n v="5.7"/>
    <n v="1.3"/>
    <n v="9.1"/>
    <n v="5.6"/>
    <n v="9"/>
    <n v="1.9"/>
    <x v="2"/>
    <s v="Yes"/>
    <x v="2"/>
    <x v="2"/>
    <x v="3"/>
    <x v="2"/>
  </r>
  <r>
    <x v="880"/>
    <x v="3"/>
    <s v="Male"/>
    <x v="1"/>
    <x v="1"/>
    <s v="Low"/>
    <s v="Single"/>
    <s v="With Partner"/>
    <x v="3"/>
    <x v="1"/>
    <x v="4"/>
    <n v="1.4"/>
    <n v="6.01"/>
    <n v="2"/>
    <n v="5.82"/>
    <n v="5"/>
    <n v="4.8"/>
    <n v="5.6"/>
    <n v="9.1"/>
    <s v="No"/>
    <n v="7.8"/>
    <n v="6.7"/>
    <n v="5.6"/>
    <n v="3.1"/>
    <n v="3.2"/>
    <n v="5.6"/>
    <n v="10"/>
    <x v="1"/>
    <s v="No"/>
    <x v="0"/>
    <x v="1"/>
    <x v="1"/>
    <x v="0"/>
  </r>
  <r>
    <x v="881"/>
    <x v="6"/>
    <s v="Male"/>
    <x v="1"/>
    <x v="0"/>
    <s v="Lower-Middle"/>
    <s v="In a Relationship"/>
    <s v="With Roommates"/>
    <x v="3"/>
    <x v="3"/>
    <x v="1"/>
    <n v="0"/>
    <n v="6.77"/>
    <n v="0"/>
    <n v="1"/>
    <n v="7"/>
    <n v="1"/>
    <n v="1.2"/>
    <n v="8.8000000000000007"/>
    <s v="No"/>
    <n v="8.6999999999999993"/>
    <n v="9.6999999999999993"/>
    <n v="6.8"/>
    <n v="1"/>
    <n v="1.2"/>
    <n v="3.1"/>
    <n v="10"/>
    <x v="0"/>
    <s v="No"/>
    <x v="0"/>
    <x v="2"/>
    <x v="0"/>
    <x v="1"/>
  </r>
  <r>
    <x v="882"/>
    <x v="24"/>
    <s v="Non-binary"/>
    <x v="1"/>
    <x v="0"/>
    <s v="Low"/>
    <s v="Single"/>
    <s v="Alone"/>
    <x v="2"/>
    <x v="0"/>
    <x v="1"/>
    <n v="2.86"/>
    <n v="3.52"/>
    <n v="3.27"/>
    <n v="6.84"/>
    <n v="1"/>
    <n v="6.9"/>
    <n v="5.9"/>
    <n v="3.9"/>
    <s v="No"/>
    <n v="5.4"/>
    <n v="5"/>
    <n v="4.0999999999999996"/>
    <n v="6.9"/>
    <n v="6.2"/>
    <n v="7.3"/>
    <n v="4.4000000000000004"/>
    <x v="2"/>
    <s v="Yes"/>
    <x v="2"/>
    <x v="1"/>
    <x v="2"/>
    <x v="2"/>
  </r>
  <r>
    <x v="883"/>
    <x v="13"/>
    <s v="Male"/>
    <x v="1"/>
    <x v="1"/>
    <s v="Low"/>
    <s v="Single"/>
    <s v="With Partner"/>
    <x v="3"/>
    <x v="1"/>
    <x v="0"/>
    <n v="0.16"/>
    <n v="3.08"/>
    <n v="0.99"/>
    <n v="1.98"/>
    <n v="7"/>
    <n v="3.7"/>
    <n v="2.5"/>
    <n v="7.9"/>
    <s v="No"/>
    <n v="7.9"/>
    <n v="5.4"/>
    <n v="8"/>
    <n v="4.2"/>
    <n v="1"/>
    <n v="4"/>
    <n v="10"/>
    <x v="1"/>
    <s v="Yes"/>
    <x v="0"/>
    <x v="2"/>
    <x v="0"/>
    <x v="0"/>
  </r>
  <r>
    <x v="884"/>
    <x v="6"/>
    <s v="Female"/>
    <x v="1"/>
    <x v="2"/>
    <s v="High"/>
    <s v="Single"/>
    <s v="Alone"/>
    <x v="2"/>
    <x v="0"/>
    <x v="1"/>
    <n v="2.66"/>
    <n v="3.05"/>
    <n v="4.13"/>
    <n v="8.8800000000000008"/>
    <n v="3"/>
    <n v="6.6"/>
    <n v="2.2999999999999998"/>
    <n v="6.5"/>
    <s v="No"/>
    <n v="8.6999999999999993"/>
    <n v="5.4"/>
    <n v="5.2"/>
    <n v="5"/>
    <n v="4"/>
    <n v="5.9"/>
    <n v="2.9"/>
    <x v="1"/>
    <s v="No"/>
    <x v="0"/>
    <x v="2"/>
    <x v="2"/>
    <x v="2"/>
  </r>
  <r>
    <x v="885"/>
    <x v="4"/>
    <s v="Male"/>
    <x v="3"/>
    <x v="1"/>
    <s v="Lower-Middle"/>
    <s v="Divorced/Separated"/>
    <s v="With Family"/>
    <x v="1"/>
    <x v="0"/>
    <x v="3"/>
    <n v="0.23"/>
    <n v="5.93"/>
    <n v="1.92"/>
    <n v="3.86"/>
    <n v="5"/>
    <n v="5.4"/>
    <n v="4.9000000000000004"/>
    <n v="4.5"/>
    <s v="No"/>
    <n v="7.7"/>
    <n v="6.2"/>
    <n v="5.5"/>
    <n v="4.7"/>
    <n v="3.7"/>
    <n v="4.9000000000000004"/>
    <n v="6"/>
    <x v="1"/>
    <s v="Yes"/>
    <x v="0"/>
    <x v="1"/>
    <x v="0"/>
    <x v="0"/>
  </r>
  <r>
    <x v="886"/>
    <x v="18"/>
    <s v="Male"/>
    <x v="0"/>
    <x v="0"/>
    <s v="Upper-Middle"/>
    <s v="Single"/>
    <s v="With Family"/>
    <x v="1"/>
    <x v="0"/>
    <x v="1"/>
    <n v="3.69"/>
    <n v="2.4700000000000002"/>
    <n v="4.6100000000000003"/>
    <n v="8.0299999999999994"/>
    <n v="0"/>
    <n v="10"/>
    <n v="8.9"/>
    <n v="1"/>
    <s v="No"/>
    <n v="5.5"/>
    <n v="6.5"/>
    <n v="1.6"/>
    <n v="6.9"/>
    <n v="7.2"/>
    <n v="8.6999999999999993"/>
    <n v="2.1"/>
    <x v="2"/>
    <s v="Yes"/>
    <x v="2"/>
    <x v="2"/>
    <x v="2"/>
    <x v="2"/>
  </r>
  <r>
    <x v="887"/>
    <x v="25"/>
    <s v="Prefer not to say"/>
    <x v="1"/>
    <x v="1"/>
    <s v="Lower-Middle"/>
    <s v="Single"/>
    <s v="Alone"/>
    <x v="1"/>
    <x v="0"/>
    <x v="0"/>
    <n v="1.1100000000000001"/>
    <n v="4.72"/>
    <n v="1.1000000000000001"/>
    <n v="6.16"/>
    <n v="4"/>
    <n v="5.9"/>
    <n v="6"/>
    <n v="6.6"/>
    <s v="Yes"/>
    <n v="8.3000000000000007"/>
    <n v="7.1"/>
    <n v="3.2"/>
    <n v="2.2999999999999998"/>
    <n v="2.9"/>
    <n v="4.7"/>
    <n v="6.1"/>
    <x v="1"/>
    <s v="Yes"/>
    <x v="0"/>
    <x v="3"/>
    <x v="1"/>
    <x v="0"/>
  </r>
  <r>
    <x v="888"/>
    <x v="11"/>
    <s v="Non-binary"/>
    <x v="4"/>
    <x v="2"/>
    <s v="Lower-Middle"/>
    <s v="In a Relationship"/>
    <s v="With Family"/>
    <x v="1"/>
    <x v="0"/>
    <x v="2"/>
    <n v="0.14000000000000001"/>
    <n v="5.43"/>
    <n v="1.59"/>
    <n v="1.74"/>
    <n v="5"/>
    <n v="2.6"/>
    <n v="1"/>
    <n v="9.8000000000000007"/>
    <s v="No"/>
    <n v="9.8000000000000007"/>
    <n v="9.1999999999999993"/>
    <n v="9"/>
    <n v="2.9"/>
    <n v="1"/>
    <n v="3.7"/>
    <n v="8.4"/>
    <x v="1"/>
    <s v="No"/>
    <x v="0"/>
    <x v="3"/>
    <x v="0"/>
    <x v="1"/>
  </r>
  <r>
    <x v="889"/>
    <x v="12"/>
    <s v="Male"/>
    <x v="1"/>
    <x v="2"/>
    <s v="Low"/>
    <s v="Divorced/Separated"/>
    <s v="With Partner"/>
    <x v="3"/>
    <x v="0"/>
    <x v="1"/>
    <n v="2.12"/>
    <n v="3.9"/>
    <n v="1.62"/>
    <n v="5.77"/>
    <n v="6"/>
    <n v="4.5999999999999996"/>
    <n v="4"/>
    <n v="6.5"/>
    <s v="No"/>
    <n v="8.1"/>
    <n v="5.6"/>
    <n v="4.5"/>
    <n v="2.6"/>
    <n v="2.1"/>
    <n v="5.3"/>
    <n v="6.6"/>
    <x v="1"/>
    <s v="No"/>
    <x v="0"/>
    <x v="3"/>
    <x v="1"/>
    <x v="0"/>
  </r>
  <r>
    <x v="890"/>
    <x v="8"/>
    <s v="Non-binary"/>
    <x v="2"/>
    <x v="2"/>
    <s v="Low"/>
    <s v="Single"/>
    <s v="With Roommates"/>
    <x v="3"/>
    <x v="2"/>
    <x v="2"/>
    <n v="0"/>
    <n v="5.68"/>
    <n v="0.49"/>
    <n v="3.06"/>
    <n v="6"/>
    <n v="3.5"/>
    <n v="1"/>
    <n v="7.7"/>
    <s v="No"/>
    <n v="6.3"/>
    <n v="8.6"/>
    <n v="5.3"/>
    <n v="1"/>
    <n v="1.7"/>
    <n v="1.4"/>
    <n v="10"/>
    <x v="0"/>
    <s v="No"/>
    <x v="0"/>
    <x v="1"/>
    <x v="0"/>
    <x v="0"/>
  </r>
  <r>
    <x v="891"/>
    <x v="1"/>
    <s v="Female"/>
    <x v="1"/>
    <x v="1"/>
    <s v="Low"/>
    <s v="In a Relationship"/>
    <s v="With Family"/>
    <x v="2"/>
    <x v="0"/>
    <x v="1"/>
    <n v="1.82"/>
    <n v="2.7"/>
    <n v="5.12"/>
    <n v="8.23"/>
    <n v="4"/>
    <n v="5"/>
    <n v="3.9"/>
    <n v="6.2"/>
    <s v="No"/>
    <n v="7.7"/>
    <n v="8"/>
    <n v="4.7"/>
    <n v="4.9000000000000004"/>
    <n v="4.5999999999999996"/>
    <n v="6"/>
    <n v="6.9"/>
    <x v="0"/>
    <s v="No"/>
    <x v="1"/>
    <x v="1"/>
    <x v="1"/>
    <x v="0"/>
  </r>
  <r>
    <x v="892"/>
    <x v="20"/>
    <s v="Female"/>
    <x v="4"/>
    <x v="2"/>
    <s v="Upper-Middle"/>
    <s v="In a Relationship"/>
    <s v="Alone"/>
    <x v="2"/>
    <x v="0"/>
    <x v="2"/>
    <n v="3.68"/>
    <n v="0.45"/>
    <n v="3.92"/>
    <n v="10.24"/>
    <n v="1"/>
    <n v="10"/>
    <n v="6.8"/>
    <n v="4.5"/>
    <s v="No"/>
    <n v="7"/>
    <n v="6.3"/>
    <n v="2.2000000000000002"/>
    <n v="7.9"/>
    <n v="7.8"/>
    <n v="7.9"/>
    <n v="3.2"/>
    <x v="1"/>
    <s v="No"/>
    <x v="2"/>
    <x v="2"/>
    <x v="2"/>
    <x v="2"/>
  </r>
  <r>
    <x v="893"/>
    <x v="27"/>
    <s v="Male"/>
    <x v="0"/>
    <x v="2"/>
    <s v="Upper-Middle"/>
    <s v="In a Relationship"/>
    <s v="With Roommates"/>
    <x v="3"/>
    <x v="0"/>
    <x v="2"/>
    <n v="3.98"/>
    <n v="1.89"/>
    <n v="3.54"/>
    <n v="8.51"/>
    <n v="3"/>
    <n v="8.8000000000000007"/>
    <n v="9.1"/>
    <n v="2.6"/>
    <s v="Yes"/>
    <n v="4.3"/>
    <n v="3.4"/>
    <n v="4.9000000000000004"/>
    <n v="7.3"/>
    <n v="7.9"/>
    <n v="8.9"/>
    <n v="4.2"/>
    <x v="2"/>
    <s v="No"/>
    <x v="2"/>
    <x v="1"/>
    <x v="2"/>
    <x v="2"/>
  </r>
  <r>
    <x v="894"/>
    <x v="3"/>
    <s v="Female"/>
    <x v="3"/>
    <x v="3"/>
    <s v="Lower-Middle"/>
    <s v="Single"/>
    <s v="With Partner"/>
    <x v="1"/>
    <x v="1"/>
    <x v="4"/>
    <n v="4.76"/>
    <n v="1.95"/>
    <n v="5.44"/>
    <n v="12.37"/>
    <n v="1"/>
    <n v="8.6999999999999993"/>
    <n v="10"/>
    <n v="2.7"/>
    <s v="Yes"/>
    <n v="6.4"/>
    <n v="1"/>
    <n v="2.4"/>
    <n v="7"/>
    <n v="8.1999999999999993"/>
    <n v="10"/>
    <n v="1"/>
    <x v="2"/>
    <s v="No"/>
    <x v="2"/>
    <x v="1"/>
    <x v="3"/>
    <x v="2"/>
  </r>
  <r>
    <x v="895"/>
    <x v="26"/>
    <s v="Female"/>
    <x v="2"/>
    <x v="1"/>
    <s v="Lower-Middle"/>
    <s v="In a Relationship"/>
    <s v="With Partner"/>
    <x v="3"/>
    <x v="0"/>
    <x v="2"/>
    <n v="1.86"/>
    <n v="1.9"/>
    <n v="2.21"/>
    <n v="3.89"/>
    <n v="3"/>
    <n v="4.5"/>
    <n v="5.0999999999999996"/>
    <n v="3.5"/>
    <s v="Yes"/>
    <n v="6.5"/>
    <n v="4.7"/>
    <n v="1.5"/>
    <n v="4.4000000000000004"/>
    <n v="4"/>
    <n v="4.5999999999999996"/>
    <n v="5.3"/>
    <x v="2"/>
    <s v="No"/>
    <x v="1"/>
    <x v="0"/>
    <x v="1"/>
    <x v="0"/>
  </r>
  <r>
    <x v="896"/>
    <x v="21"/>
    <s v="Female"/>
    <x v="1"/>
    <x v="2"/>
    <s v="High"/>
    <s v="Single"/>
    <s v="Alone"/>
    <x v="3"/>
    <x v="4"/>
    <x v="1"/>
    <n v="1.36"/>
    <n v="3.97"/>
    <n v="3.05"/>
    <n v="7.58"/>
    <n v="7"/>
    <n v="5.3"/>
    <n v="5.2"/>
    <n v="4.3"/>
    <s v="No"/>
    <n v="8.1"/>
    <n v="5.3"/>
    <n v="2.8"/>
    <n v="6.7"/>
    <n v="3.7"/>
    <n v="5.2"/>
    <n v="6"/>
    <x v="1"/>
    <s v="No"/>
    <x v="1"/>
    <x v="1"/>
    <x v="1"/>
    <x v="0"/>
  </r>
  <r>
    <x v="897"/>
    <x v="28"/>
    <s v="Male"/>
    <x v="2"/>
    <x v="1"/>
    <s v="Low"/>
    <s v="In a Relationship"/>
    <s v="With Roommates"/>
    <x v="3"/>
    <x v="2"/>
    <x v="1"/>
    <n v="0.59"/>
    <n v="4.0999999999999996"/>
    <n v="2.0099999999999998"/>
    <n v="4.5999999999999996"/>
    <n v="6"/>
    <n v="1.4"/>
    <n v="2.2000000000000002"/>
    <n v="9.1"/>
    <s v="No"/>
    <n v="7.6"/>
    <n v="7.4"/>
    <n v="5.2"/>
    <n v="1.7"/>
    <n v="2.5"/>
    <n v="1.1000000000000001"/>
    <n v="6.5"/>
    <x v="0"/>
    <s v="No"/>
    <x v="0"/>
    <x v="1"/>
    <x v="0"/>
    <x v="1"/>
  </r>
  <r>
    <x v="898"/>
    <x v="3"/>
    <s v="Male"/>
    <x v="1"/>
    <x v="2"/>
    <s v="Lower-Middle"/>
    <s v="In a Relationship"/>
    <s v="Alone"/>
    <x v="4"/>
    <x v="0"/>
    <x v="1"/>
    <n v="1.33"/>
    <n v="2.84"/>
    <n v="3.01"/>
    <n v="4.75"/>
    <n v="6"/>
    <n v="5.7"/>
    <n v="4.4000000000000004"/>
    <n v="7.6"/>
    <s v="No"/>
    <n v="7.1"/>
    <n v="7.1"/>
    <n v="5.2"/>
    <n v="4.8"/>
    <n v="4.2"/>
    <n v="5"/>
    <n v="6.6"/>
    <x v="1"/>
    <s v="No"/>
    <x v="0"/>
    <x v="1"/>
    <x v="1"/>
    <x v="0"/>
  </r>
  <r>
    <x v="899"/>
    <x v="19"/>
    <s v="Male"/>
    <x v="1"/>
    <x v="0"/>
    <s v="Lower-Middle"/>
    <s v="Single"/>
    <s v="Alone"/>
    <x v="3"/>
    <x v="1"/>
    <x v="2"/>
    <n v="1.48"/>
    <n v="5.44"/>
    <n v="4.67"/>
    <n v="8.7799999999999994"/>
    <n v="4"/>
    <n v="4.7"/>
    <n v="4.3"/>
    <n v="7.4"/>
    <s v="No"/>
    <n v="7.4"/>
    <n v="7.1"/>
    <n v="1.9"/>
    <n v="4.5"/>
    <n v="3"/>
    <n v="5.2"/>
    <n v="3.8"/>
    <x v="1"/>
    <s v="No"/>
    <x v="0"/>
    <x v="3"/>
    <x v="1"/>
    <x v="0"/>
  </r>
  <r>
    <x v="900"/>
    <x v="6"/>
    <s v="Female"/>
    <x v="1"/>
    <x v="2"/>
    <s v="Upper-Middle"/>
    <s v="Married"/>
    <s v="With Family"/>
    <x v="3"/>
    <x v="0"/>
    <x v="4"/>
    <n v="2.23"/>
    <n v="3.18"/>
    <n v="2.4700000000000002"/>
    <n v="8.33"/>
    <n v="3"/>
    <n v="8.3000000000000007"/>
    <n v="5.8"/>
    <n v="1.8"/>
    <s v="No"/>
    <n v="7.1"/>
    <n v="3.7"/>
    <n v="3.8"/>
    <n v="4.8"/>
    <n v="3.8"/>
    <n v="7.3"/>
    <n v="7.5"/>
    <x v="1"/>
    <s v="No"/>
    <x v="2"/>
    <x v="2"/>
    <x v="1"/>
    <x v="2"/>
  </r>
  <r>
    <x v="901"/>
    <x v="13"/>
    <s v="Male"/>
    <x v="0"/>
    <x v="3"/>
    <s v="High"/>
    <s v="Single"/>
    <s v="With Family"/>
    <x v="3"/>
    <x v="3"/>
    <x v="4"/>
    <n v="0.34"/>
    <n v="4.33"/>
    <n v="2.92"/>
    <n v="4.32"/>
    <n v="5"/>
    <n v="3.1"/>
    <n v="3"/>
    <n v="7.7"/>
    <s v="Yes"/>
    <n v="8.1999999999999993"/>
    <n v="10"/>
    <n v="6.4"/>
    <n v="3.9"/>
    <n v="1"/>
    <n v="3.2"/>
    <n v="8.1"/>
    <x v="0"/>
    <s v="No"/>
    <x v="0"/>
    <x v="2"/>
    <x v="0"/>
    <x v="0"/>
  </r>
  <r>
    <x v="902"/>
    <x v="13"/>
    <s v="Female"/>
    <x v="1"/>
    <x v="3"/>
    <s v="Low"/>
    <s v="Married"/>
    <s v="Alone"/>
    <x v="3"/>
    <x v="1"/>
    <x v="2"/>
    <n v="1.44"/>
    <n v="4.13"/>
    <n v="3.02"/>
    <n v="6.25"/>
    <n v="4"/>
    <n v="6.3"/>
    <n v="4.4000000000000004"/>
    <n v="6.2"/>
    <s v="No"/>
    <n v="6.2"/>
    <n v="8.6999999999999993"/>
    <n v="5.3"/>
    <n v="4.5999999999999996"/>
    <n v="3.6"/>
    <n v="5.6"/>
    <n v="4.9000000000000004"/>
    <x v="1"/>
    <s v="No"/>
    <x v="1"/>
    <x v="2"/>
    <x v="1"/>
    <x v="2"/>
  </r>
  <r>
    <x v="903"/>
    <x v="12"/>
    <s v="Non-binary"/>
    <x v="0"/>
    <x v="2"/>
    <s v="Upper-Middle"/>
    <s v="In a Relationship"/>
    <s v="With Family"/>
    <x v="2"/>
    <x v="0"/>
    <x v="4"/>
    <n v="0"/>
    <n v="4.26"/>
    <n v="1.84"/>
    <n v="3.32"/>
    <n v="6"/>
    <n v="1"/>
    <n v="3.6"/>
    <n v="9.1999999999999993"/>
    <s v="Yes"/>
    <n v="7.9"/>
    <n v="7.3"/>
    <n v="5.8"/>
    <n v="1.1000000000000001"/>
    <n v="1"/>
    <n v="1.5"/>
    <n v="9.6999999999999993"/>
    <x v="0"/>
    <s v="No"/>
    <x v="0"/>
    <x v="3"/>
    <x v="0"/>
    <x v="1"/>
  </r>
  <r>
    <x v="904"/>
    <x v="24"/>
    <s v="Male"/>
    <x v="0"/>
    <x v="2"/>
    <s v="Upper-Middle"/>
    <s v="Single"/>
    <s v="With Family"/>
    <x v="3"/>
    <x v="0"/>
    <x v="4"/>
    <n v="2.82"/>
    <n v="4.01"/>
    <n v="3.18"/>
    <n v="7.23"/>
    <n v="3"/>
    <n v="7.6"/>
    <n v="5.2"/>
    <n v="2.8"/>
    <s v="Yes"/>
    <n v="6.8"/>
    <n v="7.3"/>
    <n v="5.2"/>
    <n v="6.5"/>
    <n v="3.5"/>
    <n v="5.6"/>
    <n v="6.1"/>
    <x v="2"/>
    <s v="No"/>
    <x v="2"/>
    <x v="1"/>
    <x v="2"/>
    <x v="2"/>
  </r>
  <r>
    <x v="905"/>
    <x v="9"/>
    <s v="Female"/>
    <x v="3"/>
    <x v="0"/>
    <s v="Low"/>
    <s v="Single"/>
    <s v="With Roommates"/>
    <x v="3"/>
    <x v="3"/>
    <x v="4"/>
    <n v="2.57"/>
    <n v="4.3600000000000003"/>
    <n v="5.05"/>
    <n v="8.75"/>
    <n v="0"/>
    <n v="7.6"/>
    <n v="6.3"/>
    <n v="3"/>
    <s v="No"/>
    <n v="7.6"/>
    <n v="5.0999999999999996"/>
    <n v="2"/>
    <n v="6.9"/>
    <n v="7.3"/>
    <n v="5.4"/>
    <n v="7.2"/>
    <x v="2"/>
    <s v="No"/>
    <x v="2"/>
    <x v="2"/>
    <x v="2"/>
    <x v="2"/>
  </r>
  <r>
    <x v="906"/>
    <x v="20"/>
    <s v="Male"/>
    <x v="3"/>
    <x v="3"/>
    <s v="Lower-Middle"/>
    <s v="Divorced/Separated"/>
    <s v="With Family"/>
    <x v="2"/>
    <x v="1"/>
    <x v="1"/>
    <n v="0"/>
    <n v="6.45"/>
    <n v="0.56000000000000005"/>
    <n v="1.91"/>
    <n v="9"/>
    <n v="1.9"/>
    <n v="1.2"/>
    <n v="8.1999999999999993"/>
    <s v="No"/>
    <n v="8.6"/>
    <n v="8.3000000000000007"/>
    <n v="7.4"/>
    <n v="3.6"/>
    <n v="1.3"/>
    <n v="2.6"/>
    <n v="10"/>
    <x v="0"/>
    <s v="No"/>
    <x v="0"/>
    <x v="2"/>
    <x v="0"/>
    <x v="1"/>
  </r>
  <r>
    <x v="907"/>
    <x v="4"/>
    <s v="Female"/>
    <x v="0"/>
    <x v="3"/>
    <s v="Lower-Middle"/>
    <s v="Single"/>
    <s v="Alone"/>
    <x v="3"/>
    <x v="0"/>
    <x v="1"/>
    <n v="0.09"/>
    <n v="7.63"/>
    <n v="1.66"/>
    <n v="3.16"/>
    <n v="5"/>
    <n v="1"/>
    <n v="2.2999999999999998"/>
    <n v="8.6"/>
    <s v="No"/>
    <n v="7.3"/>
    <n v="7.2"/>
    <n v="5.5"/>
    <n v="1.3"/>
    <n v="3.8"/>
    <n v="4.4000000000000004"/>
    <n v="6.9"/>
    <x v="0"/>
    <s v="No"/>
    <x v="0"/>
    <x v="1"/>
    <x v="0"/>
    <x v="1"/>
  </r>
  <r>
    <x v="908"/>
    <x v="15"/>
    <s v="Male"/>
    <x v="1"/>
    <x v="2"/>
    <s v="High"/>
    <s v="Single"/>
    <s v="Alone"/>
    <x v="2"/>
    <x v="3"/>
    <x v="4"/>
    <n v="0"/>
    <n v="3.49"/>
    <n v="2.5099999999999998"/>
    <n v="4.1500000000000004"/>
    <n v="8"/>
    <n v="3.6"/>
    <n v="1.5"/>
    <n v="6.1"/>
    <s v="Yes"/>
    <n v="7.1"/>
    <n v="8.3000000000000007"/>
    <n v="5.6"/>
    <n v="4.5"/>
    <n v="1"/>
    <n v="2.7"/>
    <n v="8.1"/>
    <x v="0"/>
    <s v="No"/>
    <x v="0"/>
    <x v="1"/>
    <x v="0"/>
    <x v="0"/>
  </r>
  <r>
    <x v="909"/>
    <x v="23"/>
    <s v="Female"/>
    <x v="1"/>
    <x v="1"/>
    <s v="Low"/>
    <s v="Single"/>
    <s v="With Partner"/>
    <x v="1"/>
    <x v="1"/>
    <x v="0"/>
    <n v="2.94"/>
    <n v="4.32"/>
    <n v="1.76"/>
    <n v="6.28"/>
    <n v="4"/>
    <n v="6.7"/>
    <n v="4.7"/>
    <n v="7.1"/>
    <s v="No"/>
    <n v="7.7"/>
    <n v="6.2"/>
    <n v="4.3"/>
    <n v="4.9000000000000004"/>
    <n v="4"/>
    <n v="3.1"/>
    <n v="5.2"/>
    <x v="1"/>
    <s v="No"/>
    <x v="1"/>
    <x v="0"/>
    <x v="2"/>
    <x v="2"/>
  </r>
  <r>
    <x v="910"/>
    <x v="24"/>
    <s v="Female"/>
    <x v="1"/>
    <x v="1"/>
    <s v="Upper-Middle"/>
    <s v="In a Relationship"/>
    <s v="Alone"/>
    <x v="3"/>
    <x v="4"/>
    <x v="2"/>
    <n v="0"/>
    <n v="4.1900000000000004"/>
    <n v="2.1"/>
    <n v="4.8600000000000003"/>
    <n v="7"/>
    <n v="1.9"/>
    <n v="1.4"/>
    <n v="8.6999999999999993"/>
    <s v="Yes"/>
    <n v="7.6"/>
    <n v="9.1999999999999993"/>
    <n v="6.7"/>
    <n v="3.7"/>
    <n v="1"/>
    <n v="2.9"/>
    <n v="9.5"/>
    <x v="0"/>
    <s v="No"/>
    <x v="0"/>
    <x v="1"/>
    <x v="0"/>
    <x v="1"/>
  </r>
  <r>
    <x v="911"/>
    <x v="5"/>
    <s v="Non-binary"/>
    <x v="1"/>
    <x v="2"/>
    <s v="Lower-Middle"/>
    <s v="In a Relationship"/>
    <s v="With Family"/>
    <x v="2"/>
    <x v="0"/>
    <x v="1"/>
    <n v="1.72"/>
    <n v="2.31"/>
    <n v="3.86"/>
    <n v="8.25"/>
    <n v="2"/>
    <n v="8.1"/>
    <n v="6.9"/>
    <n v="1.9"/>
    <s v="Yes"/>
    <n v="6.7"/>
    <n v="6.6"/>
    <n v="0.7"/>
    <n v="8.4"/>
    <n v="6.9"/>
    <n v="8.1999999999999993"/>
    <n v="5.0999999999999996"/>
    <x v="2"/>
    <s v="No"/>
    <x v="2"/>
    <x v="0"/>
    <x v="1"/>
    <x v="2"/>
  </r>
  <r>
    <x v="912"/>
    <x v="17"/>
    <s v="Female"/>
    <x v="1"/>
    <x v="0"/>
    <s v="Upper-Middle"/>
    <s v="Single"/>
    <s v="Alone"/>
    <x v="3"/>
    <x v="4"/>
    <x v="1"/>
    <n v="3.02"/>
    <n v="3.52"/>
    <n v="1.7"/>
    <n v="5.19"/>
    <n v="4"/>
    <n v="5.3"/>
    <n v="4.3"/>
    <n v="5.4"/>
    <s v="No"/>
    <n v="6.6"/>
    <n v="5.0999999999999996"/>
    <n v="4.8"/>
    <n v="4.5999999999999996"/>
    <n v="7.1"/>
    <n v="4.5999999999999996"/>
    <n v="3.6"/>
    <x v="1"/>
    <s v="No"/>
    <x v="1"/>
    <x v="0"/>
    <x v="2"/>
    <x v="0"/>
  </r>
  <r>
    <x v="913"/>
    <x v="15"/>
    <s v="Female"/>
    <x v="1"/>
    <x v="2"/>
    <s v="Lower-Middle"/>
    <s v="Single"/>
    <s v="With Partner"/>
    <x v="1"/>
    <x v="3"/>
    <x v="1"/>
    <n v="1.68"/>
    <n v="5.62"/>
    <n v="1.65"/>
    <n v="4.7300000000000004"/>
    <n v="2"/>
    <n v="4.4000000000000004"/>
    <n v="6.8"/>
    <n v="2.9"/>
    <s v="Yes"/>
    <n v="7.9"/>
    <n v="3.7"/>
    <n v="4.5999999999999996"/>
    <n v="4.7"/>
    <n v="3.2"/>
    <n v="7.5"/>
    <n v="4.8"/>
    <x v="1"/>
    <s v="No"/>
    <x v="2"/>
    <x v="1"/>
    <x v="1"/>
    <x v="0"/>
  </r>
  <r>
    <x v="914"/>
    <x v="10"/>
    <s v="Female"/>
    <x v="2"/>
    <x v="1"/>
    <s v="Lower-Middle"/>
    <s v="Single"/>
    <s v="With Partner"/>
    <x v="1"/>
    <x v="0"/>
    <x v="3"/>
    <n v="0.27"/>
    <n v="5.69"/>
    <n v="0.82"/>
    <n v="4.34"/>
    <n v="8"/>
    <n v="1"/>
    <n v="2.5"/>
    <n v="9.1"/>
    <s v="No"/>
    <n v="7.4"/>
    <n v="9"/>
    <n v="5.5"/>
    <n v="1"/>
    <n v="1"/>
    <n v="1.6"/>
    <n v="8.3000000000000007"/>
    <x v="0"/>
    <s v="Yes"/>
    <x v="0"/>
    <x v="2"/>
    <x v="0"/>
    <x v="1"/>
  </r>
  <r>
    <x v="915"/>
    <x v="18"/>
    <s v="Female"/>
    <x v="0"/>
    <x v="1"/>
    <s v="Upper-Middle"/>
    <s v="Single"/>
    <s v="Alone"/>
    <x v="3"/>
    <x v="3"/>
    <x v="4"/>
    <n v="3.28"/>
    <n v="2.5"/>
    <n v="4.78"/>
    <n v="10.36"/>
    <n v="2"/>
    <n v="9.8000000000000007"/>
    <n v="5.6"/>
    <n v="1.1000000000000001"/>
    <s v="No"/>
    <n v="7.4"/>
    <n v="5.4"/>
    <n v="2.5"/>
    <n v="4.7"/>
    <n v="5.8"/>
    <n v="6.3"/>
    <n v="4.5999999999999996"/>
    <x v="1"/>
    <s v="Yes"/>
    <x v="2"/>
    <x v="2"/>
    <x v="2"/>
    <x v="2"/>
  </r>
  <r>
    <x v="916"/>
    <x v="6"/>
    <s v="Female"/>
    <x v="1"/>
    <x v="2"/>
    <s v="Upper-Middle"/>
    <s v="Single"/>
    <s v="With Family"/>
    <x v="2"/>
    <x v="1"/>
    <x v="4"/>
    <n v="1.0900000000000001"/>
    <n v="4.29"/>
    <n v="1.07"/>
    <n v="4.49"/>
    <n v="4"/>
    <n v="7.7"/>
    <n v="4.3"/>
    <n v="2.5"/>
    <s v="Yes"/>
    <n v="7.4"/>
    <n v="5"/>
    <n v="1.9"/>
    <n v="5.0999999999999996"/>
    <n v="4.7"/>
    <n v="4"/>
    <n v="5.3"/>
    <x v="0"/>
    <s v="No"/>
    <x v="2"/>
    <x v="2"/>
    <x v="1"/>
    <x v="2"/>
  </r>
  <r>
    <x v="917"/>
    <x v="5"/>
    <s v="Male"/>
    <x v="0"/>
    <x v="3"/>
    <s v="Upper-Middle"/>
    <s v="In a Relationship"/>
    <s v="With Partner"/>
    <x v="0"/>
    <x v="2"/>
    <x v="2"/>
    <n v="0.82"/>
    <n v="4.7"/>
    <n v="2.02"/>
    <n v="5.08"/>
    <n v="3"/>
    <n v="2.6"/>
    <n v="1.1000000000000001"/>
    <n v="6.8"/>
    <s v="No"/>
    <n v="7.1"/>
    <n v="8.5"/>
    <n v="3.1"/>
    <n v="4.7"/>
    <n v="1"/>
    <n v="4.2"/>
    <n v="8.6999999999999993"/>
    <x v="1"/>
    <s v="No"/>
    <x v="0"/>
    <x v="0"/>
    <x v="0"/>
    <x v="1"/>
  </r>
  <r>
    <x v="918"/>
    <x v="7"/>
    <s v="Non-binary"/>
    <x v="1"/>
    <x v="0"/>
    <s v="Low"/>
    <s v="Single"/>
    <s v="With Family"/>
    <x v="5"/>
    <x v="0"/>
    <x v="4"/>
    <n v="0"/>
    <n v="7.53"/>
    <n v="1.85"/>
    <n v="3.59"/>
    <n v="5"/>
    <n v="1"/>
    <n v="1.7"/>
    <n v="8.1999999999999993"/>
    <s v="No"/>
    <n v="7.3"/>
    <n v="9.5"/>
    <n v="6.1"/>
    <n v="1"/>
    <n v="2.2999999999999998"/>
    <n v="4.5999999999999996"/>
    <n v="8.4"/>
    <x v="0"/>
    <s v="No"/>
    <x v="0"/>
    <x v="2"/>
    <x v="0"/>
    <x v="1"/>
  </r>
  <r>
    <x v="919"/>
    <x v="18"/>
    <s v="Female"/>
    <x v="0"/>
    <x v="2"/>
    <s v="Upper-Middle"/>
    <s v="Single"/>
    <s v="Alone"/>
    <x v="2"/>
    <x v="3"/>
    <x v="1"/>
    <n v="2.3199999999999998"/>
    <n v="4.75"/>
    <n v="1.1499999999999999"/>
    <n v="5.43"/>
    <n v="5"/>
    <n v="7.4"/>
    <n v="5.3"/>
    <n v="6.7"/>
    <s v="No"/>
    <n v="8.8000000000000007"/>
    <n v="6.7"/>
    <n v="4.4000000000000004"/>
    <n v="3.5"/>
    <n v="5.4"/>
    <n v="5.3"/>
    <n v="6"/>
    <x v="2"/>
    <s v="No"/>
    <x v="1"/>
    <x v="2"/>
    <x v="1"/>
    <x v="2"/>
  </r>
  <r>
    <x v="920"/>
    <x v="11"/>
    <s v="Female"/>
    <x v="0"/>
    <x v="1"/>
    <s v="Low"/>
    <s v="Single"/>
    <s v="Alone"/>
    <x v="1"/>
    <x v="1"/>
    <x v="2"/>
    <n v="1.31"/>
    <n v="5.34"/>
    <n v="1.4"/>
    <n v="4.3099999999999996"/>
    <n v="4"/>
    <n v="2.7"/>
    <n v="2.2000000000000002"/>
    <n v="6.9"/>
    <s v="No"/>
    <n v="6.5"/>
    <n v="9.1999999999999993"/>
    <n v="4.0999999999999996"/>
    <n v="4.4000000000000004"/>
    <n v="3.7"/>
    <n v="3.3"/>
    <n v="7.4"/>
    <x v="1"/>
    <s v="No"/>
    <x v="0"/>
    <x v="3"/>
    <x v="1"/>
    <x v="1"/>
  </r>
  <r>
    <x v="921"/>
    <x v="7"/>
    <s v="Male"/>
    <x v="0"/>
    <x v="1"/>
    <s v="Lower-Middle"/>
    <s v="Divorced/Separated"/>
    <s v="With Family"/>
    <x v="3"/>
    <x v="2"/>
    <x v="3"/>
    <n v="0"/>
    <n v="2.6"/>
    <n v="2.65"/>
    <n v="5.5"/>
    <n v="5"/>
    <n v="3.2"/>
    <n v="6.1"/>
    <n v="9.6"/>
    <s v="No"/>
    <n v="7.6"/>
    <n v="6.1"/>
    <n v="2.6"/>
    <n v="2.6"/>
    <n v="1.5"/>
    <n v="4.9000000000000004"/>
    <n v="6.5"/>
    <x v="1"/>
    <s v="No"/>
    <x v="0"/>
    <x v="2"/>
    <x v="0"/>
    <x v="0"/>
  </r>
  <r>
    <x v="922"/>
    <x v="5"/>
    <s v="Female"/>
    <x v="1"/>
    <x v="2"/>
    <s v="Lower-Middle"/>
    <s v="Divorced/Separated"/>
    <s v="With Family"/>
    <x v="3"/>
    <x v="0"/>
    <x v="1"/>
    <n v="1.38"/>
    <n v="6.76"/>
    <n v="2.64"/>
    <n v="5.63"/>
    <n v="5"/>
    <n v="2.9"/>
    <n v="2.2999999999999998"/>
    <n v="7.1"/>
    <s v="Yes"/>
    <n v="7.8"/>
    <n v="6.5"/>
    <n v="5.5"/>
    <n v="5.3"/>
    <n v="2.9"/>
    <n v="4.8"/>
    <n v="7.7"/>
    <x v="1"/>
    <s v="No"/>
    <x v="0"/>
    <x v="0"/>
    <x v="1"/>
    <x v="1"/>
  </r>
  <r>
    <x v="923"/>
    <x v="7"/>
    <s v="Male"/>
    <x v="2"/>
    <x v="2"/>
    <s v="Lower-Middle"/>
    <s v="Married"/>
    <s v="With Family"/>
    <x v="1"/>
    <x v="2"/>
    <x v="3"/>
    <n v="2.11"/>
    <n v="2.5499999999999998"/>
    <n v="4.83"/>
    <n v="8.82"/>
    <n v="6"/>
    <n v="5"/>
    <n v="8"/>
    <n v="1"/>
    <s v="No"/>
    <n v="6.5"/>
    <n v="4.0999999999999996"/>
    <n v="2.6"/>
    <n v="5.6"/>
    <n v="6.6"/>
    <n v="7.6"/>
    <n v="6.2"/>
    <x v="1"/>
    <s v="No"/>
    <x v="1"/>
    <x v="2"/>
    <x v="1"/>
    <x v="0"/>
  </r>
  <r>
    <x v="924"/>
    <x v="18"/>
    <s v="Female"/>
    <x v="4"/>
    <x v="0"/>
    <s v="Lower-Middle"/>
    <s v="Single"/>
    <s v="With Roommates"/>
    <x v="1"/>
    <x v="2"/>
    <x v="4"/>
    <n v="0"/>
    <n v="6.85"/>
    <n v="0"/>
    <n v="2.74"/>
    <n v="9"/>
    <n v="1"/>
    <n v="1"/>
    <n v="8.6"/>
    <s v="Yes"/>
    <n v="9.5"/>
    <n v="10"/>
    <n v="6"/>
    <n v="1"/>
    <n v="1"/>
    <n v="1"/>
    <n v="10"/>
    <x v="0"/>
    <s v="No"/>
    <x v="0"/>
    <x v="2"/>
    <x v="0"/>
    <x v="1"/>
  </r>
  <r>
    <x v="925"/>
    <x v="27"/>
    <s v="Male"/>
    <x v="0"/>
    <x v="2"/>
    <s v="High"/>
    <s v="Single"/>
    <s v="With Partner"/>
    <x v="4"/>
    <x v="0"/>
    <x v="2"/>
    <n v="3.08"/>
    <n v="1.77"/>
    <n v="3.11"/>
    <n v="7.86"/>
    <n v="1"/>
    <n v="7.5"/>
    <n v="6.8"/>
    <n v="1.6"/>
    <s v="No"/>
    <n v="5.2"/>
    <n v="4"/>
    <n v="4.2"/>
    <n v="7.1"/>
    <n v="6.9"/>
    <n v="9.3000000000000007"/>
    <n v="2.7"/>
    <x v="2"/>
    <s v="No"/>
    <x v="2"/>
    <x v="1"/>
    <x v="2"/>
    <x v="2"/>
  </r>
  <r>
    <x v="926"/>
    <x v="18"/>
    <s v="Female"/>
    <x v="0"/>
    <x v="2"/>
    <s v="Low"/>
    <s v="Single"/>
    <s v="With Family"/>
    <x v="1"/>
    <x v="4"/>
    <x v="1"/>
    <n v="2.63"/>
    <n v="1.88"/>
    <n v="5.15"/>
    <n v="9.7100000000000009"/>
    <n v="2"/>
    <n v="6.1"/>
    <n v="6.4"/>
    <n v="8.4"/>
    <s v="Yes"/>
    <n v="8"/>
    <n v="5.6"/>
    <n v="1.3"/>
    <n v="6.5"/>
    <n v="7.8"/>
    <n v="7"/>
    <n v="6.7"/>
    <x v="2"/>
    <s v="No"/>
    <x v="2"/>
    <x v="2"/>
    <x v="2"/>
    <x v="2"/>
  </r>
  <r>
    <x v="927"/>
    <x v="18"/>
    <s v="Prefer not to say"/>
    <x v="0"/>
    <x v="0"/>
    <s v="Upper-Middle"/>
    <s v="Single"/>
    <s v="With Roommates"/>
    <x v="1"/>
    <x v="2"/>
    <x v="2"/>
    <n v="1.1200000000000001"/>
    <n v="2.57"/>
    <n v="1.96"/>
    <n v="4.71"/>
    <n v="5"/>
    <n v="7.1"/>
    <n v="4"/>
    <n v="5.5"/>
    <s v="No"/>
    <n v="6.1"/>
    <n v="6"/>
    <n v="4.5999999999999996"/>
    <n v="6.3"/>
    <n v="3.6"/>
    <n v="7.5"/>
    <n v="5"/>
    <x v="2"/>
    <s v="Yes"/>
    <x v="1"/>
    <x v="2"/>
    <x v="1"/>
    <x v="2"/>
  </r>
  <r>
    <x v="928"/>
    <x v="25"/>
    <s v="Male"/>
    <x v="1"/>
    <x v="1"/>
    <s v="Lower-Middle"/>
    <s v="In a Relationship"/>
    <s v="With Family"/>
    <x v="1"/>
    <x v="0"/>
    <x v="0"/>
    <n v="0.91"/>
    <n v="4.26"/>
    <n v="2.86"/>
    <n v="5.69"/>
    <n v="2"/>
    <n v="3.3"/>
    <n v="2.5"/>
    <n v="7.7"/>
    <s v="No"/>
    <n v="7"/>
    <n v="6.5"/>
    <n v="1.9"/>
    <n v="4.5"/>
    <n v="3.5"/>
    <n v="4.9000000000000004"/>
    <n v="7.3"/>
    <x v="2"/>
    <s v="No"/>
    <x v="0"/>
    <x v="3"/>
    <x v="0"/>
    <x v="0"/>
  </r>
  <r>
    <x v="929"/>
    <x v="26"/>
    <s v="Prefer not to say"/>
    <x v="1"/>
    <x v="2"/>
    <s v="Low"/>
    <s v="Married"/>
    <s v="Alone"/>
    <x v="0"/>
    <x v="1"/>
    <x v="0"/>
    <n v="2.2999999999999998"/>
    <n v="0.84"/>
    <n v="5.77"/>
    <n v="9.74"/>
    <n v="3"/>
    <n v="7.2"/>
    <n v="6.8"/>
    <n v="5.0999999999999996"/>
    <s v="No"/>
    <n v="4.9000000000000004"/>
    <n v="4.9000000000000004"/>
    <n v="0.5"/>
    <n v="8.5"/>
    <n v="7"/>
    <n v="7.5"/>
    <n v="3.3"/>
    <x v="1"/>
    <s v="No"/>
    <x v="2"/>
    <x v="0"/>
    <x v="1"/>
    <x v="2"/>
  </r>
  <r>
    <x v="930"/>
    <x v="11"/>
    <s v="Male"/>
    <x v="1"/>
    <x v="1"/>
    <s v="Low"/>
    <s v="Married"/>
    <s v="With Family"/>
    <x v="2"/>
    <x v="1"/>
    <x v="0"/>
    <n v="2.39"/>
    <n v="3.8"/>
    <n v="3.21"/>
    <n v="7.06"/>
    <n v="2"/>
    <n v="3.9"/>
    <n v="3"/>
    <n v="4.4000000000000004"/>
    <s v="No"/>
    <n v="8"/>
    <n v="8.6"/>
    <n v="4.8"/>
    <n v="3.5"/>
    <n v="4.3"/>
    <n v="3.8"/>
    <n v="4.8"/>
    <x v="1"/>
    <s v="No"/>
    <x v="1"/>
    <x v="3"/>
    <x v="1"/>
    <x v="0"/>
  </r>
  <r>
    <x v="931"/>
    <x v="22"/>
    <s v="Female"/>
    <x v="0"/>
    <x v="1"/>
    <s v="High"/>
    <s v="Married"/>
    <s v="With Partner"/>
    <x v="2"/>
    <x v="0"/>
    <x v="1"/>
    <n v="7.0000000000000007E-2"/>
    <n v="5.36"/>
    <n v="3"/>
    <n v="4.37"/>
    <n v="6"/>
    <n v="4.0999999999999996"/>
    <n v="3.6"/>
    <n v="4.2"/>
    <s v="No"/>
    <n v="8.9"/>
    <n v="5.6"/>
    <n v="3.8"/>
    <n v="2.4"/>
    <n v="4.0999999999999996"/>
    <n v="5.7"/>
    <n v="8"/>
    <x v="0"/>
    <s v="No"/>
    <x v="0"/>
    <x v="2"/>
    <x v="0"/>
    <x v="0"/>
  </r>
  <r>
    <x v="932"/>
    <x v="13"/>
    <s v="Female"/>
    <x v="0"/>
    <x v="0"/>
    <s v="Upper-Middle"/>
    <s v="Single"/>
    <s v="With Roommates"/>
    <x v="3"/>
    <x v="0"/>
    <x v="1"/>
    <n v="3.62"/>
    <n v="3.38"/>
    <n v="4.92"/>
    <n v="10.37"/>
    <n v="2"/>
    <n v="6.4"/>
    <n v="9.6"/>
    <n v="4.5999999999999996"/>
    <s v="Yes"/>
    <n v="8"/>
    <n v="3.3"/>
    <n v="0.9"/>
    <n v="4.7"/>
    <n v="7"/>
    <n v="5.6"/>
    <n v="3.8"/>
    <x v="2"/>
    <s v="No"/>
    <x v="2"/>
    <x v="2"/>
    <x v="2"/>
    <x v="2"/>
  </r>
  <r>
    <x v="933"/>
    <x v="21"/>
    <s v="Female"/>
    <x v="1"/>
    <x v="0"/>
    <s v="High"/>
    <s v="In a Relationship"/>
    <s v="With Roommates"/>
    <x v="0"/>
    <x v="0"/>
    <x v="1"/>
    <n v="4.88"/>
    <n v="2.13"/>
    <n v="5.12"/>
    <n v="13.02"/>
    <n v="2"/>
    <n v="9.6999999999999993"/>
    <n v="10"/>
    <n v="1"/>
    <s v="Yes"/>
    <n v="6.6"/>
    <n v="2.8"/>
    <n v="2.9"/>
    <n v="10"/>
    <n v="9"/>
    <n v="8.9"/>
    <n v="3.6"/>
    <x v="2"/>
    <s v="No"/>
    <x v="2"/>
    <x v="1"/>
    <x v="3"/>
    <x v="2"/>
  </r>
  <r>
    <x v="934"/>
    <x v="26"/>
    <s v="Female"/>
    <x v="2"/>
    <x v="1"/>
    <s v="High"/>
    <s v="Single"/>
    <s v="With Partner"/>
    <x v="3"/>
    <x v="0"/>
    <x v="3"/>
    <n v="1.34"/>
    <n v="4.17"/>
    <n v="2.3199999999999998"/>
    <n v="6.28"/>
    <n v="6"/>
    <n v="3.2"/>
    <n v="1.5"/>
    <n v="9.1999999999999993"/>
    <s v="No"/>
    <n v="7.3"/>
    <n v="10"/>
    <n v="5.7"/>
    <n v="3.6"/>
    <n v="1.5"/>
    <n v="2.8"/>
    <n v="8.6999999999999993"/>
    <x v="0"/>
    <s v="No"/>
    <x v="0"/>
    <x v="0"/>
    <x v="1"/>
    <x v="0"/>
  </r>
  <r>
    <x v="935"/>
    <x v="19"/>
    <s v="Female"/>
    <x v="4"/>
    <x v="2"/>
    <s v="Low"/>
    <s v="Single"/>
    <s v="With Roommates"/>
    <x v="0"/>
    <x v="1"/>
    <x v="0"/>
    <n v="2.09"/>
    <n v="1.95"/>
    <n v="2.58"/>
    <n v="5.09"/>
    <n v="1"/>
    <n v="7.6"/>
    <n v="4.8"/>
    <n v="5"/>
    <s v="No"/>
    <n v="6.7"/>
    <n v="4.4000000000000004"/>
    <n v="0.3"/>
    <n v="5"/>
    <n v="4.0999999999999996"/>
    <n v="5.6"/>
    <n v="5.7"/>
    <x v="1"/>
    <s v="No"/>
    <x v="2"/>
    <x v="3"/>
    <x v="1"/>
    <x v="2"/>
  </r>
  <r>
    <x v="936"/>
    <x v="6"/>
    <s v="Male"/>
    <x v="3"/>
    <x v="1"/>
    <s v="Lower-Middle"/>
    <s v="In a Relationship"/>
    <s v="With Partner"/>
    <x v="1"/>
    <x v="0"/>
    <x v="4"/>
    <n v="0"/>
    <n v="6.24"/>
    <n v="2.57"/>
    <n v="4.1399999999999997"/>
    <n v="7"/>
    <n v="1.9"/>
    <n v="1.4"/>
    <n v="9"/>
    <s v="No"/>
    <n v="7.5"/>
    <n v="8.4"/>
    <n v="6.7"/>
    <n v="2.7"/>
    <n v="1.9"/>
    <n v="4.5"/>
    <n v="8.6999999999999993"/>
    <x v="1"/>
    <s v="Yes"/>
    <x v="0"/>
    <x v="2"/>
    <x v="0"/>
    <x v="1"/>
  </r>
  <r>
    <x v="937"/>
    <x v="1"/>
    <s v="Male"/>
    <x v="0"/>
    <x v="1"/>
    <s v="Upper-Middle"/>
    <s v="Single"/>
    <s v="With Roommates"/>
    <x v="1"/>
    <x v="4"/>
    <x v="0"/>
    <n v="2.0099999999999998"/>
    <n v="3"/>
    <n v="3.42"/>
    <n v="6.79"/>
    <n v="2"/>
    <n v="8"/>
    <n v="8.1999999999999993"/>
    <n v="5.4"/>
    <s v="Yes"/>
    <n v="5.6"/>
    <n v="4.5"/>
    <n v="1.8"/>
    <n v="6.8"/>
    <n v="6.9"/>
    <n v="5.4"/>
    <n v="6.4"/>
    <x v="2"/>
    <s v="Yes"/>
    <x v="2"/>
    <x v="1"/>
    <x v="1"/>
    <x v="2"/>
  </r>
  <r>
    <x v="938"/>
    <x v="29"/>
    <s v="Female"/>
    <x v="4"/>
    <x v="1"/>
    <s v="Lower-Middle"/>
    <s v="Single"/>
    <s v="With Partner"/>
    <x v="1"/>
    <x v="3"/>
    <x v="2"/>
    <n v="0.96"/>
    <n v="4.7699999999999996"/>
    <n v="0.24"/>
    <n v="1.65"/>
    <n v="6"/>
    <n v="2.2999999999999998"/>
    <n v="1.3"/>
    <n v="8"/>
    <s v="No"/>
    <n v="7.3"/>
    <n v="8.4"/>
    <n v="2.4"/>
    <n v="2.7"/>
    <n v="2.2999999999999998"/>
    <n v="5"/>
    <n v="8.6"/>
    <x v="0"/>
    <s v="Yes"/>
    <x v="0"/>
    <x v="1"/>
    <x v="0"/>
    <x v="1"/>
  </r>
  <r>
    <x v="939"/>
    <x v="18"/>
    <s v="Female"/>
    <x v="1"/>
    <x v="3"/>
    <s v="Lower-Middle"/>
    <s v="Single"/>
    <s v="Alone"/>
    <x v="2"/>
    <x v="0"/>
    <x v="0"/>
    <n v="3.14"/>
    <n v="2.4700000000000002"/>
    <n v="3.95"/>
    <n v="9.3699999999999992"/>
    <n v="1"/>
    <n v="7.4"/>
    <n v="7.4"/>
    <n v="3.7"/>
    <s v="Yes"/>
    <n v="7"/>
    <n v="1.8"/>
    <n v="1.3"/>
    <n v="4.8"/>
    <n v="7.3"/>
    <n v="6.6"/>
    <n v="3.2"/>
    <x v="2"/>
    <s v="Yes"/>
    <x v="2"/>
    <x v="2"/>
    <x v="2"/>
    <x v="2"/>
  </r>
  <r>
    <x v="940"/>
    <x v="24"/>
    <s v="Female"/>
    <x v="3"/>
    <x v="2"/>
    <s v="Lower-Middle"/>
    <s v="In a Relationship"/>
    <s v="With Family"/>
    <x v="3"/>
    <x v="3"/>
    <x v="0"/>
    <n v="1.66"/>
    <n v="4.78"/>
    <n v="0.23"/>
    <n v="3.8"/>
    <n v="5"/>
    <n v="6.9"/>
    <n v="4.8"/>
    <n v="6.6"/>
    <s v="No"/>
    <n v="6.3"/>
    <n v="5.4"/>
    <n v="4.0999999999999996"/>
    <n v="2.2000000000000002"/>
    <n v="3.9"/>
    <n v="5"/>
    <n v="6.7"/>
    <x v="2"/>
    <s v="No"/>
    <x v="1"/>
    <x v="1"/>
    <x v="1"/>
    <x v="2"/>
  </r>
  <r>
    <x v="941"/>
    <x v="2"/>
    <s v="Female"/>
    <x v="1"/>
    <x v="2"/>
    <s v="Lower-Middle"/>
    <s v="Married"/>
    <s v="Alone"/>
    <x v="0"/>
    <x v="3"/>
    <x v="4"/>
    <n v="2.65"/>
    <n v="5.79"/>
    <n v="3.26"/>
    <n v="9.94"/>
    <n v="4"/>
    <n v="8.6"/>
    <n v="6.1"/>
    <n v="6"/>
    <s v="No"/>
    <n v="4.9000000000000004"/>
    <n v="8"/>
    <n v="4.0999999999999996"/>
    <n v="3.3"/>
    <n v="6.5"/>
    <n v="7.7"/>
    <n v="7.7"/>
    <x v="1"/>
    <s v="Yes"/>
    <x v="2"/>
    <x v="2"/>
    <x v="2"/>
    <x v="2"/>
  </r>
  <r>
    <x v="942"/>
    <x v="29"/>
    <s v="Male"/>
    <x v="3"/>
    <x v="2"/>
    <s v="Lower-Middle"/>
    <s v="Single"/>
    <s v="With Family"/>
    <x v="1"/>
    <x v="2"/>
    <x v="4"/>
    <n v="4.09"/>
    <n v="3.67"/>
    <n v="3.9"/>
    <n v="9.65"/>
    <n v="1"/>
    <n v="10"/>
    <n v="8"/>
    <n v="1"/>
    <s v="Yes"/>
    <n v="4.7"/>
    <n v="3.6"/>
    <n v="0"/>
    <n v="7.9"/>
    <n v="7.3"/>
    <n v="7.9"/>
    <n v="3"/>
    <x v="2"/>
    <s v="No"/>
    <x v="2"/>
    <x v="1"/>
    <x v="3"/>
    <x v="2"/>
  </r>
  <r>
    <x v="943"/>
    <x v="28"/>
    <s v="Female"/>
    <x v="1"/>
    <x v="0"/>
    <s v="Low"/>
    <s v="Married"/>
    <s v="Alone"/>
    <x v="3"/>
    <x v="0"/>
    <x v="4"/>
    <n v="0.71"/>
    <n v="2.4700000000000002"/>
    <n v="3.67"/>
    <n v="5.6"/>
    <n v="7"/>
    <n v="3.1"/>
    <n v="1.6"/>
    <n v="7"/>
    <s v="No"/>
    <n v="8.1999999999999993"/>
    <n v="6.9"/>
    <n v="2.8"/>
    <n v="1.9"/>
    <n v="3.2"/>
    <n v="3.7"/>
    <n v="6.8"/>
    <x v="0"/>
    <s v="No"/>
    <x v="0"/>
    <x v="1"/>
    <x v="0"/>
    <x v="0"/>
  </r>
  <r>
    <x v="944"/>
    <x v="12"/>
    <s v="Male"/>
    <x v="4"/>
    <x v="2"/>
    <s v="Lower-Middle"/>
    <s v="Single"/>
    <s v="Alone"/>
    <x v="3"/>
    <x v="0"/>
    <x v="1"/>
    <n v="0.91"/>
    <n v="2.94"/>
    <n v="3.67"/>
    <n v="5.72"/>
    <n v="3"/>
    <n v="7.1"/>
    <n v="6.5"/>
    <n v="7.5"/>
    <s v="No"/>
    <n v="5"/>
    <n v="5.2"/>
    <n v="2"/>
    <n v="7.1"/>
    <n v="4.5999999999999996"/>
    <n v="6.3"/>
    <n v="4"/>
    <x v="1"/>
    <s v="Yes"/>
    <x v="1"/>
    <x v="3"/>
    <x v="0"/>
    <x v="2"/>
  </r>
  <r>
    <x v="945"/>
    <x v="2"/>
    <s v="Female"/>
    <x v="2"/>
    <x v="2"/>
    <s v="Lower-Middle"/>
    <s v="Single"/>
    <s v="With Roommates"/>
    <x v="1"/>
    <x v="2"/>
    <x v="3"/>
    <n v="0.05"/>
    <n v="3.35"/>
    <n v="2.79"/>
    <n v="4.3899999999999997"/>
    <n v="4"/>
    <n v="4.4000000000000004"/>
    <n v="4.5999999999999996"/>
    <n v="7.7"/>
    <s v="No"/>
    <n v="7"/>
    <n v="7.6"/>
    <n v="3.7"/>
    <n v="1.7"/>
    <n v="1.3"/>
    <n v="3.5"/>
    <n v="8.1999999999999993"/>
    <x v="0"/>
    <s v="Yes"/>
    <x v="0"/>
    <x v="2"/>
    <x v="0"/>
    <x v="0"/>
  </r>
  <r>
    <x v="946"/>
    <x v="17"/>
    <s v="Male"/>
    <x v="1"/>
    <x v="3"/>
    <s v="Lower-Middle"/>
    <s v="In a Relationship"/>
    <s v="With Family"/>
    <x v="1"/>
    <x v="2"/>
    <x v="2"/>
    <n v="2.73"/>
    <n v="3.62"/>
    <n v="2.65"/>
    <n v="7.97"/>
    <n v="3"/>
    <n v="8"/>
    <n v="7"/>
    <n v="5.0999999999999996"/>
    <s v="Yes"/>
    <n v="5.8"/>
    <n v="5"/>
    <n v="3.7"/>
    <n v="6.1"/>
    <n v="6.5"/>
    <n v="5.8"/>
    <n v="3.4"/>
    <x v="1"/>
    <s v="No"/>
    <x v="1"/>
    <x v="0"/>
    <x v="2"/>
    <x v="2"/>
  </r>
  <r>
    <x v="947"/>
    <x v="27"/>
    <s v="Male"/>
    <x v="0"/>
    <x v="2"/>
    <s v="Low"/>
    <s v="In a Relationship"/>
    <s v="With Family"/>
    <x v="1"/>
    <x v="3"/>
    <x v="0"/>
    <n v="2.2400000000000002"/>
    <n v="2.04"/>
    <n v="4.97"/>
    <n v="9.92"/>
    <n v="0"/>
    <n v="7.7"/>
    <n v="7.8"/>
    <n v="1.1000000000000001"/>
    <s v="No"/>
    <n v="6"/>
    <n v="1"/>
    <n v="1.2"/>
    <n v="5.9"/>
    <n v="9.1999999999999993"/>
    <n v="10"/>
    <n v="3"/>
    <x v="2"/>
    <s v="No"/>
    <x v="2"/>
    <x v="1"/>
    <x v="1"/>
    <x v="2"/>
  </r>
  <r>
    <x v="948"/>
    <x v="8"/>
    <s v="Male"/>
    <x v="2"/>
    <x v="2"/>
    <s v="Upper-Middle"/>
    <s v="Divorced/Separated"/>
    <s v="Alone"/>
    <x v="2"/>
    <x v="3"/>
    <x v="3"/>
    <n v="0.27"/>
    <n v="4.9000000000000004"/>
    <n v="1.6"/>
    <n v="6.79"/>
    <n v="8"/>
    <n v="4.7"/>
    <n v="4"/>
    <n v="5.2"/>
    <s v="Yes"/>
    <n v="7.4"/>
    <n v="5.7"/>
    <n v="5.4"/>
    <n v="3.4"/>
    <n v="4.2"/>
    <n v="4.0999999999999996"/>
    <n v="6.2"/>
    <x v="1"/>
    <s v="No"/>
    <x v="0"/>
    <x v="1"/>
    <x v="0"/>
    <x v="0"/>
  </r>
  <r>
    <x v="949"/>
    <x v="25"/>
    <s v="Male"/>
    <x v="0"/>
    <x v="2"/>
    <s v="Low"/>
    <s v="Single"/>
    <s v="With Partner"/>
    <x v="1"/>
    <x v="0"/>
    <x v="4"/>
    <n v="0"/>
    <n v="6.02"/>
    <n v="1.4"/>
    <n v="2.19"/>
    <n v="6"/>
    <n v="1"/>
    <n v="1"/>
    <n v="8.8000000000000007"/>
    <s v="No"/>
    <n v="8.9"/>
    <n v="9.3000000000000007"/>
    <n v="8.3000000000000007"/>
    <n v="1"/>
    <n v="1"/>
    <n v="1"/>
    <n v="10"/>
    <x v="0"/>
    <s v="No"/>
    <x v="0"/>
    <x v="3"/>
    <x v="0"/>
    <x v="1"/>
  </r>
  <r>
    <x v="950"/>
    <x v="3"/>
    <s v="Female"/>
    <x v="4"/>
    <x v="0"/>
    <s v="Lower-Middle"/>
    <s v="In a Relationship"/>
    <s v="With Family"/>
    <x v="4"/>
    <x v="1"/>
    <x v="4"/>
    <n v="0.52"/>
    <n v="3.72"/>
    <n v="0.69"/>
    <n v="3.3"/>
    <n v="6"/>
    <n v="2.2999999999999998"/>
    <n v="2.6"/>
    <n v="5.6"/>
    <s v="No"/>
    <n v="7.3"/>
    <n v="8.5"/>
    <n v="5.7"/>
    <n v="4.4000000000000004"/>
    <n v="3.4"/>
    <n v="3.6"/>
    <n v="7.5"/>
    <x v="0"/>
    <s v="No"/>
    <x v="0"/>
    <x v="1"/>
    <x v="0"/>
    <x v="1"/>
  </r>
  <r>
    <x v="951"/>
    <x v="20"/>
    <s v="Male"/>
    <x v="0"/>
    <x v="0"/>
    <s v="Upper-Middle"/>
    <s v="In a Relationship"/>
    <s v="Alone"/>
    <x v="2"/>
    <x v="0"/>
    <x v="4"/>
    <n v="5.07"/>
    <n v="0.46"/>
    <n v="5.04"/>
    <n v="11.43"/>
    <n v="0"/>
    <n v="10"/>
    <n v="10"/>
    <n v="1"/>
    <s v="Yes"/>
    <n v="4.4000000000000004"/>
    <n v="2.1"/>
    <n v="0"/>
    <n v="9.5"/>
    <n v="7.3"/>
    <n v="9.6"/>
    <n v="3.1"/>
    <x v="2"/>
    <s v="Yes"/>
    <x v="2"/>
    <x v="2"/>
    <x v="3"/>
    <x v="2"/>
  </r>
  <r>
    <x v="952"/>
    <x v="14"/>
    <s v="Male"/>
    <x v="1"/>
    <x v="2"/>
    <s v="Lower-Middle"/>
    <s v="Married"/>
    <s v="With Roommates"/>
    <x v="0"/>
    <x v="0"/>
    <x v="1"/>
    <n v="0.56999999999999995"/>
    <n v="3.12"/>
    <n v="0.75"/>
    <n v="3.67"/>
    <n v="7"/>
    <n v="4.0999999999999996"/>
    <n v="4.0999999999999996"/>
    <n v="7.5"/>
    <s v="No"/>
    <n v="8.1999999999999993"/>
    <n v="9.3000000000000007"/>
    <n v="4.3"/>
    <n v="4.2"/>
    <n v="3.8"/>
    <n v="3.7"/>
    <n v="8.8000000000000007"/>
    <x v="1"/>
    <s v="No"/>
    <x v="0"/>
    <x v="3"/>
    <x v="0"/>
    <x v="0"/>
  </r>
  <r>
    <x v="953"/>
    <x v="23"/>
    <s v="Male"/>
    <x v="1"/>
    <x v="0"/>
    <s v="Lower-Middle"/>
    <s v="Single"/>
    <s v="Alone"/>
    <x v="3"/>
    <x v="4"/>
    <x v="1"/>
    <n v="4"/>
    <n v="0.79"/>
    <n v="4.4000000000000004"/>
    <n v="11.78"/>
    <n v="2"/>
    <n v="10"/>
    <n v="8.6"/>
    <n v="2"/>
    <s v="No"/>
    <n v="4.2"/>
    <n v="4.3"/>
    <n v="1.6"/>
    <n v="9.1999999999999993"/>
    <n v="8.4"/>
    <n v="8"/>
    <n v="2.5"/>
    <x v="2"/>
    <s v="Yes"/>
    <x v="2"/>
    <x v="0"/>
    <x v="2"/>
    <x v="2"/>
  </r>
  <r>
    <x v="954"/>
    <x v="10"/>
    <s v="Male"/>
    <x v="1"/>
    <x v="2"/>
    <s v="Upper-Middle"/>
    <s v="Married"/>
    <s v="With Family"/>
    <x v="1"/>
    <x v="0"/>
    <x v="4"/>
    <n v="0.38"/>
    <n v="3.19"/>
    <n v="3.92"/>
    <n v="7.16"/>
    <n v="4"/>
    <n v="3.4"/>
    <n v="5"/>
    <n v="8.4"/>
    <s v="No"/>
    <n v="8.1"/>
    <n v="7.2"/>
    <n v="4.5999999999999996"/>
    <n v="3.8"/>
    <n v="2.5"/>
    <n v="3.8"/>
    <n v="8.8000000000000007"/>
    <x v="1"/>
    <s v="No"/>
    <x v="0"/>
    <x v="2"/>
    <x v="0"/>
    <x v="0"/>
  </r>
  <r>
    <x v="955"/>
    <x v="16"/>
    <s v="Male"/>
    <x v="3"/>
    <x v="1"/>
    <s v="Lower-Middle"/>
    <s v="In a Relationship"/>
    <s v="Alone"/>
    <x v="3"/>
    <x v="1"/>
    <x v="1"/>
    <n v="0.71"/>
    <n v="3.66"/>
    <n v="2.59"/>
    <n v="4.0999999999999996"/>
    <n v="2"/>
    <n v="3.5"/>
    <n v="5.3"/>
    <n v="6.9"/>
    <s v="No"/>
    <n v="8.5"/>
    <n v="7.6"/>
    <n v="1.6"/>
    <n v="2.2000000000000002"/>
    <n v="3.5"/>
    <n v="4.4000000000000004"/>
    <n v="6.8"/>
    <x v="1"/>
    <s v="No"/>
    <x v="0"/>
    <x v="2"/>
    <x v="0"/>
    <x v="0"/>
  </r>
  <r>
    <x v="956"/>
    <x v="27"/>
    <s v="Male"/>
    <x v="1"/>
    <x v="1"/>
    <s v="Upper-Middle"/>
    <s v="Single"/>
    <s v="With Family"/>
    <x v="1"/>
    <x v="2"/>
    <x v="4"/>
    <n v="2.87"/>
    <n v="2.0499999999999998"/>
    <n v="3.25"/>
    <n v="8.8000000000000007"/>
    <n v="0"/>
    <n v="7.7"/>
    <n v="7.2"/>
    <n v="1.3"/>
    <s v="Yes"/>
    <n v="8.6"/>
    <n v="6.7"/>
    <n v="1.9"/>
    <n v="6.5"/>
    <n v="5.3"/>
    <n v="7.3"/>
    <n v="4.8"/>
    <x v="2"/>
    <s v="No"/>
    <x v="2"/>
    <x v="1"/>
    <x v="2"/>
    <x v="2"/>
  </r>
  <r>
    <x v="957"/>
    <x v="22"/>
    <s v="Female"/>
    <x v="0"/>
    <x v="1"/>
    <s v="Upper-Middle"/>
    <s v="In a Relationship"/>
    <s v="With Partner"/>
    <x v="0"/>
    <x v="0"/>
    <x v="3"/>
    <n v="3.54"/>
    <n v="3.67"/>
    <n v="0.7"/>
    <n v="4.12"/>
    <n v="3"/>
    <n v="6.5"/>
    <n v="4.3"/>
    <n v="5.3"/>
    <s v="No"/>
    <n v="5.9"/>
    <n v="7"/>
    <n v="1.2"/>
    <n v="7.6"/>
    <n v="5.6"/>
    <n v="5.9"/>
    <n v="3.8"/>
    <x v="0"/>
    <s v="No"/>
    <x v="2"/>
    <x v="2"/>
    <x v="2"/>
    <x v="2"/>
  </r>
  <r>
    <x v="958"/>
    <x v="29"/>
    <s v="Female"/>
    <x v="0"/>
    <x v="0"/>
    <s v="Upper-Middle"/>
    <s v="Single"/>
    <s v="With Family"/>
    <x v="3"/>
    <x v="2"/>
    <x v="1"/>
    <n v="2.2000000000000002"/>
    <n v="3.42"/>
    <n v="2.82"/>
    <n v="4.63"/>
    <n v="5"/>
    <n v="7.3"/>
    <n v="4.3"/>
    <n v="1.7"/>
    <s v="Yes"/>
    <n v="5.9"/>
    <n v="4.9000000000000004"/>
    <n v="1.6"/>
    <n v="5.8"/>
    <n v="4.0999999999999996"/>
    <n v="9.6"/>
    <n v="5.0999999999999996"/>
    <x v="2"/>
    <s v="No"/>
    <x v="2"/>
    <x v="1"/>
    <x v="1"/>
    <x v="2"/>
  </r>
  <r>
    <x v="959"/>
    <x v="25"/>
    <s v="Female"/>
    <x v="0"/>
    <x v="1"/>
    <s v="Lower-Middle"/>
    <s v="In a Relationship"/>
    <s v="With Family"/>
    <x v="3"/>
    <x v="2"/>
    <x v="1"/>
    <n v="1.62"/>
    <n v="4.3899999999999997"/>
    <n v="2.98"/>
    <n v="6.35"/>
    <n v="1"/>
    <n v="5.0999999999999996"/>
    <n v="6.2"/>
    <n v="6.3"/>
    <s v="No"/>
    <n v="7"/>
    <n v="5.3"/>
    <n v="3.6"/>
    <n v="5.2"/>
    <n v="3.7"/>
    <n v="6.3"/>
    <n v="6.4"/>
    <x v="1"/>
    <s v="No"/>
    <x v="0"/>
    <x v="3"/>
    <x v="1"/>
    <x v="0"/>
  </r>
  <r>
    <x v="960"/>
    <x v="9"/>
    <s v="Female"/>
    <x v="4"/>
    <x v="1"/>
    <s v="Low"/>
    <s v="Married"/>
    <s v="With Family"/>
    <x v="0"/>
    <x v="1"/>
    <x v="1"/>
    <n v="3.54"/>
    <n v="4.04"/>
    <n v="3.02"/>
    <n v="9.17"/>
    <n v="5"/>
    <n v="7.5"/>
    <n v="7.3"/>
    <n v="2.9"/>
    <s v="Yes"/>
    <n v="6.3"/>
    <n v="2.1"/>
    <n v="1.6"/>
    <n v="7.2"/>
    <n v="7.3"/>
    <n v="6.8"/>
    <n v="4.7"/>
    <x v="2"/>
    <s v="No"/>
    <x v="2"/>
    <x v="2"/>
    <x v="2"/>
    <x v="2"/>
  </r>
  <r>
    <x v="961"/>
    <x v="10"/>
    <s v="Male"/>
    <x v="2"/>
    <x v="0"/>
    <s v="Lower-Middle"/>
    <s v="In a Relationship"/>
    <s v="With Family"/>
    <x v="3"/>
    <x v="0"/>
    <x v="0"/>
    <n v="1.6"/>
    <n v="2.86"/>
    <n v="4.8899999999999997"/>
    <n v="8.84"/>
    <n v="4"/>
    <n v="5.8"/>
    <n v="8.8000000000000007"/>
    <n v="4.4000000000000004"/>
    <s v="Yes"/>
    <n v="7.1"/>
    <n v="2.2000000000000002"/>
    <n v="1.6"/>
    <n v="6"/>
    <n v="4.4000000000000004"/>
    <n v="5.0999999999999996"/>
    <n v="2.5"/>
    <x v="1"/>
    <s v="No"/>
    <x v="2"/>
    <x v="2"/>
    <x v="1"/>
    <x v="0"/>
  </r>
  <r>
    <x v="962"/>
    <x v="19"/>
    <s v="Female"/>
    <x v="1"/>
    <x v="1"/>
    <s v="Lower-Middle"/>
    <s v="In a Relationship"/>
    <s v="With Roommates"/>
    <x v="2"/>
    <x v="0"/>
    <x v="4"/>
    <n v="4.59"/>
    <n v="1.96"/>
    <n v="3.72"/>
    <n v="12.22"/>
    <n v="0"/>
    <n v="7.7"/>
    <n v="5.7"/>
    <n v="1.8"/>
    <s v="No"/>
    <n v="6.7"/>
    <n v="5"/>
    <n v="2.2999999999999998"/>
    <n v="7.9"/>
    <n v="7.4"/>
    <n v="7.1"/>
    <n v="1.4"/>
    <x v="2"/>
    <s v="Yes"/>
    <x v="2"/>
    <x v="3"/>
    <x v="3"/>
    <x v="2"/>
  </r>
  <r>
    <x v="963"/>
    <x v="13"/>
    <s v="Female"/>
    <x v="3"/>
    <x v="2"/>
    <s v="Lower-Middle"/>
    <s v="In a Relationship"/>
    <s v="With Family"/>
    <x v="1"/>
    <x v="1"/>
    <x v="1"/>
    <n v="1.63"/>
    <n v="6.9"/>
    <n v="2.96"/>
    <n v="6.7"/>
    <n v="3"/>
    <n v="5.3"/>
    <n v="2.8"/>
    <n v="8.3000000000000007"/>
    <s v="No"/>
    <n v="7.1"/>
    <n v="8.1999999999999993"/>
    <n v="4"/>
    <n v="2.8"/>
    <n v="1"/>
    <n v="4.9000000000000004"/>
    <n v="5.8"/>
    <x v="0"/>
    <s v="No"/>
    <x v="0"/>
    <x v="2"/>
    <x v="1"/>
    <x v="0"/>
  </r>
  <r>
    <x v="964"/>
    <x v="19"/>
    <s v="Female"/>
    <x v="3"/>
    <x v="1"/>
    <s v="Lower-Middle"/>
    <s v="Single"/>
    <s v="With Family"/>
    <x v="0"/>
    <x v="0"/>
    <x v="2"/>
    <n v="1.47"/>
    <n v="3.77"/>
    <n v="3.74"/>
    <n v="7.11"/>
    <n v="1"/>
    <n v="7.5"/>
    <n v="8.1999999999999993"/>
    <n v="4"/>
    <s v="Yes"/>
    <n v="6.2"/>
    <n v="3.8"/>
    <n v="3.1"/>
    <n v="7.1"/>
    <n v="4.7"/>
    <n v="7.7"/>
    <n v="4.5999999999999996"/>
    <x v="1"/>
    <s v="No"/>
    <x v="2"/>
    <x v="3"/>
    <x v="1"/>
    <x v="2"/>
  </r>
  <r>
    <x v="965"/>
    <x v="27"/>
    <s v="Male"/>
    <x v="0"/>
    <x v="3"/>
    <s v="Lower-Middle"/>
    <s v="Single"/>
    <s v="Alone"/>
    <x v="3"/>
    <x v="0"/>
    <x v="3"/>
    <n v="1.1200000000000001"/>
    <n v="4.7300000000000004"/>
    <n v="1.7"/>
    <n v="5.98"/>
    <n v="5"/>
    <n v="2.9"/>
    <n v="2.4"/>
    <n v="6.6"/>
    <s v="No"/>
    <n v="8.1999999999999993"/>
    <n v="9"/>
    <n v="4"/>
    <n v="3.2"/>
    <n v="2.5"/>
    <n v="1.9"/>
    <n v="7.8"/>
    <x v="0"/>
    <s v="No"/>
    <x v="0"/>
    <x v="1"/>
    <x v="1"/>
    <x v="1"/>
  </r>
  <r>
    <x v="966"/>
    <x v="3"/>
    <s v="Male"/>
    <x v="2"/>
    <x v="0"/>
    <s v="Low"/>
    <s v="In a Relationship"/>
    <s v="With Family"/>
    <x v="3"/>
    <x v="2"/>
    <x v="0"/>
    <n v="0.84"/>
    <n v="4.26"/>
    <n v="1.87"/>
    <n v="4.34"/>
    <n v="4"/>
    <n v="6.4"/>
    <n v="5.3"/>
    <n v="4.0999999999999996"/>
    <s v="No"/>
    <n v="6"/>
    <n v="6.5"/>
    <n v="1.8"/>
    <n v="4.2"/>
    <n v="3.9"/>
    <n v="4.9000000000000004"/>
    <n v="7.7"/>
    <x v="1"/>
    <s v="No"/>
    <x v="1"/>
    <x v="1"/>
    <x v="0"/>
    <x v="2"/>
  </r>
  <r>
    <x v="967"/>
    <x v="21"/>
    <s v="Male"/>
    <x v="1"/>
    <x v="1"/>
    <s v="Lower-Middle"/>
    <s v="Single"/>
    <s v="With Family"/>
    <x v="1"/>
    <x v="0"/>
    <x v="1"/>
    <n v="0.95"/>
    <n v="4.49"/>
    <n v="1.31"/>
    <n v="4.6500000000000004"/>
    <n v="4"/>
    <n v="5.5"/>
    <n v="3.9"/>
    <n v="8.6999999999999993"/>
    <s v="No"/>
    <n v="6.9"/>
    <n v="6.1"/>
    <n v="2.7"/>
    <n v="5.3"/>
    <n v="2.9"/>
    <n v="4.0999999999999996"/>
    <n v="5.9"/>
    <x v="1"/>
    <s v="No"/>
    <x v="0"/>
    <x v="1"/>
    <x v="0"/>
    <x v="0"/>
  </r>
  <r>
    <x v="968"/>
    <x v="4"/>
    <s v="Male"/>
    <x v="1"/>
    <x v="2"/>
    <s v="Lower-Middle"/>
    <s v="Single"/>
    <s v="With Roommates"/>
    <x v="4"/>
    <x v="3"/>
    <x v="1"/>
    <n v="0.48"/>
    <n v="4.9000000000000004"/>
    <n v="2.6"/>
    <n v="5.53"/>
    <n v="5"/>
    <n v="3.7"/>
    <n v="2.1"/>
    <n v="6.8"/>
    <s v="No"/>
    <n v="8.1999999999999993"/>
    <n v="9.6999999999999993"/>
    <n v="4.7"/>
    <n v="1"/>
    <n v="1.2"/>
    <n v="5.0999999999999996"/>
    <n v="8.1"/>
    <x v="0"/>
    <s v="No"/>
    <x v="0"/>
    <x v="1"/>
    <x v="0"/>
    <x v="0"/>
  </r>
  <r>
    <x v="969"/>
    <x v="6"/>
    <s v="Female"/>
    <x v="4"/>
    <x v="3"/>
    <s v="Upper-Middle"/>
    <s v="In a Relationship"/>
    <s v="With Roommates"/>
    <x v="1"/>
    <x v="0"/>
    <x v="4"/>
    <n v="0.08"/>
    <n v="6.04"/>
    <n v="0.34"/>
    <n v="1.45"/>
    <n v="7"/>
    <n v="2.1"/>
    <n v="1"/>
    <n v="9.8000000000000007"/>
    <s v="No"/>
    <n v="7.3"/>
    <n v="10"/>
    <n v="5.4"/>
    <n v="1.8"/>
    <n v="1.7"/>
    <n v="2.2000000000000002"/>
    <n v="8.5"/>
    <x v="0"/>
    <s v="No"/>
    <x v="0"/>
    <x v="2"/>
    <x v="0"/>
    <x v="1"/>
  </r>
  <r>
    <x v="970"/>
    <x v="7"/>
    <s v="Female"/>
    <x v="0"/>
    <x v="2"/>
    <s v="Low"/>
    <s v="Single"/>
    <s v="With Partner"/>
    <x v="3"/>
    <x v="1"/>
    <x v="3"/>
    <n v="2.72"/>
    <n v="3.15"/>
    <n v="4.25"/>
    <n v="9.35"/>
    <n v="3"/>
    <n v="6.3"/>
    <n v="7.7"/>
    <n v="2.2999999999999998"/>
    <s v="No"/>
    <n v="3"/>
    <n v="4.2"/>
    <n v="0.4"/>
    <n v="7.8"/>
    <n v="8"/>
    <n v="4.3"/>
    <n v="5.3"/>
    <x v="2"/>
    <s v="No"/>
    <x v="2"/>
    <x v="2"/>
    <x v="2"/>
    <x v="2"/>
  </r>
  <r>
    <x v="971"/>
    <x v="20"/>
    <s v="Female"/>
    <x v="4"/>
    <x v="1"/>
    <s v="Lower-Middle"/>
    <s v="Single"/>
    <s v="With Partner"/>
    <x v="2"/>
    <x v="2"/>
    <x v="1"/>
    <n v="0.23"/>
    <n v="4.05"/>
    <n v="1.27"/>
    <n v="5.68"/>
    <n v="5"/>
    <n v="4.2"/>
    <n v="5.4"/>
    <n v="10"/>
    <s v="No"/>
    <n v="8.8000000000000007"/>
    <n v="8.4"/>
    <n v="5.9"/>
    <n v="2.4"/>
    <n v="2"/>
    <n v="4.2"/>
    <n v="6.5"/>
    <x v="0"/>
    <s v="No"/>
    <x v="0"/>
    <x v="2"/>
    <x v="0"/>
    <x v="0"/>
  </r>
  <r>
    <x v="972"/>
    <x v="13"/>
    <s v="Female"/>
    <x v="4"/>
    <x v="0"/>
    <s v="High"/>
    <s v="In a Relationship"/>
    <s v="With Roommates"/>
    <x v="4"/>
    <x v="0"/>
    <x v="4"/>
    <n v="1.45"/>
    <n v="2.66"/>
    <n v="1.1499999999999999"/>
    <n v="5.73"/>
    <n v="3"/>
    <n v="6.1"/>
    <n v="4.3"/>
    <n v="6.7"/>
    <s v="No"/>
    <n v="7.2"/>
    <n v="7.8"/>
    <n v="4.8"/>
    <n v="3.9"/>
    <n v="3"/>
    <n v="2.2000000000000002"/>
    <n v="7.9"/>
    <x v="1"/>
    <s v="No"/>
    <x v="0"/>
    <x v="2"/>
    <x v="1"/>
    <x v="2"/>
  </r>
  <r>
    <x v="973"/>
    <x v="22"/>
    <s v="Female"/>
    <x v="1"/>
    <x v="2"/>
    <s v="Low"/>
    <s v="Single"/>
    <s v="With Family"/>
    <x v="0"/>
    <x v="0"/>
    <x v="1"/>
    <n v="1.01"/>
    <n v="2.73"/>
    <n v="2.3199999999999998"/>
    <n v="4.49"/>
    <n v="7"/>
    <n v="2.8"/>
    <n v="1.8"/>
    <n v="6.7"/>
    <s v="No"/>
    <n v="6.4"/>
    <n v="10"/>
    <n v="4"/>
    <n v="1.9"/>
    <n v="2.1"/>
    <n v="4.3"/>
    <n v="7.1"/>
    <x v="1"/>
    <s v="No"/>
    <x v="0"/>
    <x v="2"/>
    <x v="1"/>
    <x v="1"/>
  </r>
  <r>
    <x v="974"/>
    <x v="22"/>
    <s v="Female"/>
    <x v="4"/>
    <x v="0"/>
    <s v="Lower-Middle"/>
    <s v="Married"/>
    <s v="With Roommates"/>
    <x v="5"/>
    <x v="3"/>
    <x v="1"/>
    <n v="0.36"/>
    <n v="5.17"/>
    <n v="1.5"/>
    <n v="6.2"/>
    <n v="4"/>
    <n v="2.1"/>
    <n v="5.6"/>
    <n v="7.3"/>
    <s v="Yes"/>
    <n v="8"/>
    <n v="6.8"/>
    <n v="4.0999999999999996"/>
    <n v="3"/>
    <n v="6.1"/>
    <n v="7.7"/>
    <n v="8.4"/>
    <x v="1"/>
    <s v="Yes"/>
    <x v="0"/>
    <x v="2"/>
    <x v="0"/>
    <x v="1"/>
  </r>
  <r>
    <x v="975"/>
    <x v="21"/>
    <s v="Non-binary"/>
    <x v="0"/>
    <x v="3"/>
    <s v="Low"/>
    <s v="Married"/>
    <s v="With Partner"/>
    <x v="3"/>
    <x v="3"/>
    <x v="4"/>
    <n v="2.2200000000000002"/>
    <n v="2.97"/>
    <n v="1.59"/>
    <n v="6.5"/>
    <n v="6"/>
    <n v="4.3"/>
    <n v="2.4"/>
    <n v="8"/>
    <s v="No"/>
    <n v="7.2"/>
    <n v="6"/>
    <n v="3"/>
    <n v="3.8"/>
    <n v="3"/>
    <n v="5.8"/>
    <n v="7.2"/>
    <x v="1"/>
    <s v="No"/>
    <x v="0"/>
    <x v="1"/>
    <x v="1"/>
    <x v="0"/>
  </r>
  <r>
    <x v="976"/>
    <x v="29"/>
    <s v="Male"/>
    <x v="0"/>
    <x v="1"/>
    <s v="Upper-Middle"/>
    <s v="In a Relationship"/>
    <s v="With Roommates"/>
    <x v="3"/>
    <x v="3"/>
    <x v="3"/>
    <n v="2.65"/>
    <n v="3.06"/>
    <n v="2.5299999999999998"/>
    <n v="7.6"/>
    <n v="2"/>
    <n v="7.9"/>
    <n v="9.6"/>
    <n v="4"/>
    <s v="No"/>
    <n v="5.2"/>
    <n v="4.9000000000000004"/>
    <n v="3.7"/>
    <n v="10"/>
    <n v="8.6"/>
    <n v="7.5"/>
    <n v="3.8"/>
    <x v="1"/>
    <s v="No"/>
    <x v="2"/>
    <x v="1"/>
    <x v="2"/>
    <x v="2"/>
  </r>
  <r>
    <x v="977"/>
    <x v="19"/>
    <s v="Male"/>
    <x v="0"/>
    <x v="1"/>
    <s v="Lower-Middle"/>
    <s v="Single"/>
    <s v="Alone"/>
    <x v="2"/>
    <x v="0"/>
    <x v="3"/>
    <n v="1.5"/>
    <n v="3.5"/>
    <n v="1.42"/>
    <n v="4.82"/>
    <n v="7"/>
    <n v="1.8"/>
    <n v="1.6"/>
    <n v="6.8"/>
    <s v="No"/>
    <n v="7.7"/>
    <n v="7.6"/>
    <n v="7.8"/>
    <n v="4.0999999999999996"/>
    <n v="3.6"/>
    <n v="3.2"/>
    <n v="6.2"/>
    <x v="1"/>
    <s v="Yes"/>
    <x v="0"/>
    <x v="3"/>
    <x v="1"/>
    <x v="1"/>
  </r>
  <r>
    <x v="978"/>
    <x v="14"/>
    <s v="Male"/>
    <x v="4"/>
    <x v="3"/>
    <s v="Lower-Middle"/>
    <s v="Married"/>
    <s v="With Family"/>
    <x v="0"/>
    <x v="0"/>
    <x v="4"/>
    <n v="4.09"/>
    <n v="0.98"/>
    <n v="4.24"/>
    <n v="11.01"/>
    <n v="3"/>
    <n v="9.5"/>
    <n v="8.9"/>
    <n v="3.1"/>
    <s v="Yes"/>
    <n v="5.8"/>
    <n v="3.5"/>
    <n v="1"/>
    <n v="6.9"/>
    <n v="7.5"/>
    <n v="9.4"/>
    <n v="5.3"/>
    <x v="2"/>
    <s v="Yes"/>
    <x v="2"/>
    <x v="3"/>
    <x v="3"/>
    <x v="2"/>
  </r>
  <r>
    <x v="979"/>
    <x v="26"/>
    <s v="Female"/>
    <x v="1"/>
    <x v="0"/>
    <s v="Lower-Middle"/>
    <s v="Married"/>
    <s v="With Partner"/>
    <x v="3"/>
    <x v="2"/>
    <x v="1"/>
    <n v="3.47"/>
    <n v="2.0299999999999998"/>
    <n v="3.35"/>
    <n v="8.93"/>
    <n v="4"/>
    <n v="8.1"/>
    <n v="9.1"/>
    <n v="3.5"/>
    <s v="Yes"/>
    <n v="5.7"/>
    <n v="4.4000000000000004"/>
    <n v="4.5"/>
    <n v="7.7"/>
    <n v="5.6"/>
    <n v="7.7"/>
    <n v="5"/>
    <x v="1"/>
    <s v="Yes"/>
    <x v="2"/>
    <x v="0"/>
    <x v="2"/>
    <x v="2"/>
  </r>
  <r>
    <x v="980"/>
    <x v="12"/>
    <s v="Female"/>
    <x v="0"/>
    <x v="2"/>
    <s v="High"/>
    <s v="Married"/>
    <s v="With Roommates"/>
    <x v="3"/>
    <x v="2"/>
    <x v="2"/>
    <n v="0.38"/>
    <n v="4.72"/>
    <n v="2.84"/>
    <n v="5.25"/>
    <n v="4"/>
    <n v="2.2000000000000002"/>
    <n v="2.2999999999999998"/>
    <n v="6.9"/>
    <s v="No"/>
    <n v="6.6"/>
    <n v="5.4"/>
    <n v="3.3"/>
    <n v="4.2"/>
    <n v="3.9"/>
    <n v="3.9"/>
    <n v="7.5"/>
    <x v="1"/>
    <s v="No"/>
    <x v="0"/>
    <x v="3"/>
    <x v="0"/>
    <x v="1"/>
  </r>
  <r>
    <x v="981"/>
    <x v="19"/>
    <s v="Male"/>
    <x v="0"/>
    <x v="0"/>
    <s v="Low"/>
    <s v="Single"/>
    <s v="With Partner"/>
    <x v="2"/>
    <x v="1"/>
    <x v="1"/>
    <n v="0.54"/>
    <n v="2.36"/>
    <n v="2.97"/>
    <n v="5.37"/>
    <n v="3"/>
    <n v="8"/>
    <n v="5.4"/>
    <n v="4.3"/>
    <s v="No"/>
    <n v="5.9"/>
    <n v="6.2"/>
    <n v="2.8"/>
    <n v="3.1"/>
    <n v="3.7"/>
    <n v="4.9000000000000004"/>
    <n v="5.7"/>
    <x v="1"/>
    <s v="No"/>
    <x v="1"/>
    <x v="3"/>
    <x v="0"/>
    <x v="2"/>
  </r>
  <r>
    <x v="982"/>
    <x v="6"/>
    <s v="Non-binary"/>
    <x v="3"/>
    <x v="0"/>
    <s v="Low"/>
    <s v="In a Relationship"/>
    <s v="With Family"/>
    <x v="3"/>
    <x v="4"/>
    <x v="1"/>
    <n v="2.16"/>
    <n v="2.81"/>
    <n v="6.11"/>
    <n v="11.24"/>
    <n v="5"/>
    <n v="7"/>
    <n v="7.1"/>
    <n v="3.1"/>
    <s v="Yes"/>
    <n v="7.3"/>
    <n v="5.0999999999999996"/>
    <n v="5.5"/>
    <n v="5.2"/>
    <n v="4.5999999999999996"/>
    <n v="4.8"/>
    <n v="4.2"/>
    <x v="1"/>
    <s v="No"/>
    <x v="2"/>
    <x v="2"/>
    <x v="1"/>
    <x v="2"/>
  </r>
  <r>
    <x v="983"/>
    <x v="24"/>
    <s v="Male"/>
    <x v="0"/>
    <x v="0"/>
    <s v="Upper-Middle"/>
    <s v="Married"/>
    <s v="With Family"/>
    <x v="1"/>
    <x v="1"/>
    <x v="1"/>
    <n v="2.58"/>
    <n v="3.05"/>
    <n v="3.77"/>
    <n v="9.2100000000000009"/>
    <n v="3"/>
    <n v="4.5999999999999996"/>
    <n v="3.8"/>
    <n v="5"/>
    <s v="No"/>
    <n v="5.3"/>
    <n v="4.5999999999999996"/>
    <n v="2.8"/>
    <n v="6"/>
    <n v="6.6"/>
    <n v="6.9"/>
    <n v="5.2"/>
    <x v="2"/>
    <s v="Yes"/>
    <x v="1"/>
    <x v="1"/>
    <x v="2"/>
    <x v="0"/>
  </r>
  <r>
    <x v="984"/>
    <x v="9"/>
    <s v="Non-binary"/>
    <x v="1"/>
    <x v="2"/>
    <s v="Lower-Middle"/>
    <s v="In a Relationship"/>
    <s v="With Family"/>
    <x v="1"/>
    <x v="1"/>
    <x v="3"/>
    <n v="1.96"/>
    <n v="1.76"/>
    <n v="1.7"/>
    <n v="5.51"/>
    <n v="3"/>
    <n v="8.1"/>
    <n v="7.9"/>
    <n v="4.9000000000000004"/>
    <s v="Yes"/>
    <n v="5.6"/>
    <n v="4.3"/>
    <n v="3.9"/>
    <n v="6.5"/>
    <n v="5.7"/>
    <n v="6.1"/>
    <n v="4.0999999999999996"/>
    <x v="1"/>
    <s v="Yes"/>
    <x v="2"/>
    <x v="2"/>
    <x v="1"/>
    <x v="2"/>
  </r>
  <r>
    <x v="985"/>
    <x v="17"/>
    <s v="Male"/>
    <x v="1"/>
    <x v="2"/>
    <s v="High"/>
    <s v="In a Relationship"/>
    <s v="With Roommates"/>
    <x v="1"/>
    <x v="0"/>
    <x v="0"/>
    <n v="2.48"/>
    <n v="5.22"/>
    <n v="2.4700000000000002"/>
    <n v="5.43"/>
    <n v="3"/>
    <n v="6.4"/>
    <n v="4.8"/>
    <n v="7.3"/>
    <s v="No"/>
    <n v="7"/>
    <n v="6.1"/>
    <n v="3.4"/>
    <n v="4.8"/>
    <n v="3.9"/>
    <n v="5.5"/>
    <n v="5.7"/>
    <x v="1"/>
    <s v="No"/>
    <x v="0"/>
    <x v="0"/>
    <x v="1"/>
    <x v="2"/>
  </r>
  <r>
    <x v="986"/>
    <x v="18"/>
    <s v="Male"/>
    <x v="1"/>
    <x v="0"/>
    <s v="Lower-Middle"/>
    <s v="In a Relationship"/>
    <s v="With Family"/>
    <x v="2"/>
    <x v="1"/>
    <x v="3"/>
    <n v="0.22"/>
    <n v="3.33"/>
    <n v="1.42"/>
    <n v="3.67"/>
    <n v="8"/>
    <n v="4.5999999999999996"/>
    <n v="3.9"/>
    <n v="8"/>
    <s v="No"/>
    <n v="9"/>
    <n v="8.5"/>
    <n v="2.4"/>
    <n v="2.8"/>
    <n v="1.6"/>
    <n v="4.5"/>
    <n v="8.9"/>
    <x v="0"/>
    <s v="No"/>
    <x v="0"/>
    <x v="2"/>
    <x v="0"/>
    <x v="0"/>
  </r>
  <r>
    <x v="987"/>
    <x v="21"/>
    <s v="Female"/>
    <x v="3"/>
    <x v="0"/>
    <s v="Upper-Middle"/>
    <s v="In a Relationship"/>
    <s v="With Family"/>
    <x v="1"/>
    <x v="1"/>
    <x v="4"/>
    <n v="1.69"/>
    <n v="3.08"/>
    <n v="2.5299999999999998"/>
    <n v="5.5"/>
    <n v="5"/>
    <n v="5.7"/>
    <n v="5"/>
    <n v="4.4000000000000004"/>
    <s v="No"/>
    <n v="6.7"/>
    <n v="5.3"/>
    <n v="6.7"/>
    <n v="4.7"/>
    <n v="4.5"/>
    <n v="5.6"/>
    <n v="5.0999999999999996"/>
    <x v="1"/>
    <s v="No"/>
    <x v="1"/>
    <x v="1"/>
    <x v="1"/>
    <x v="0"/>
  </r>
  <r>
    <x v="988"/>
    <x v="25"/>
    <s v="Male"/>
    <x v="1"/>
    <x v="0"/>
    <s v="Lower-Middle"/>
    <s v="Single"/>
    <s v="With Partner"/>
    <x v="2"/>
    <x v="0"/>
    <x v="1"/>
    <n v="1.66"/>
    <n v="5.53"/>
    <n v="2.34"/>
    <n v="5.52"/>
    <n v="4"/>
    <n v="5.5"/>
    <n v="2.2999999999999998"/>
    <n v="4.5999999999999996"/>
    <s v="Yes"/>
    <n v="7.7"/>
    <n v="8.3000000000000007"/>
    <n v="4"/>
    <n v="3.6"/>
    <n v="4"/>
    <n v="5.4"/>
    <n v="6.5"/>
    <x v="1"/>
    <s v="No"/>
    <x v="0"/>
    <x v="3"/>
    <x v="1"/>
    <x v="0"/>
  </r>
  <r>
    <x v="989"/>
    <x v="25"/>
    <s v="Male"/>
    <x v="1"/>
    <x v="3"/>
    <s v="Upper-Middle"/>
    <s v="In a Relationship"/>
    <s v="With Family"/>
    <x v="2"/>
    <x v="1"/>
    <x v="0"/>
    <n v="0"/>
    <n v="5.74"/>
    <n v="0"/>
    <n v="1.88"/>
    <n v="7"/>
    <n v="1"/>
    <n v="1"/>
    <n v="10"/>
    <s v="No"/>
    <n v="9"/>
    <n v="10"/>
    <n v="7.6"/>
    <n v="1"/>
    <n v="1"/>
    <n v="1.7"/>
    <n v="10"/>
    <x v="0"/>
    <s v="No"/>
    <x v="0"/>
    <x v="3"/>
    <x v="0"/>
    <x v="1"/>
  </r>
  <r>
    <x v="990"/>
    <x v="17"/>
    <s v="Male"/>
    <x v="2"/>
    <x v="1"/>
    <s v="High"/>
    <s v="Single"/>
    <s v="With Partner"/>
    <x v="1"/>
    <x v="4"/>
    <x v="4"/>
    <n v="1.43"/>
    <n v="3.46"/>
    <n v="3.22"/>
    <n v="5.6"/>
    <n v="2"/>
    <n v="5.2"/>
    <n v="4.8"/>
    <n v="5.7"/>
    <s v="No"/>
    <n v="7.5"/>
    <n v="5.7"/>
    <n v="2.4"/>
    <n v="6.7"/>
    <n v="3.2"/>
    <n v="6.1"/>
    <n v="4.3"/>
    <x v="1"/>
    <s v="Yes"/>
    <x v="0"/>
    <x v="0"/>
    <x v="1"/>
    <x v="0"/>
  </r>
  <r>
    <x v="991"/>
    <x v="12"/>
    <s v="Female"/>
    <x v="1"/>
    <x v="3"/>
    <s v="Lower-Middle"/>
    <s v="Single"/>
    <s v="With Family"/>
    <x v="2"/>
    <x v="3"/>
    <x v="0"/>
    <n v="1.53"/>
    <n v="4.9400000000000004"/>
    <n v="0"/>
    <n v="1.92"/>
    <n v="5"/>
    <n v="2.2999999999999998"/>
    <n v="2.5"/>
    <n v="5.0999999999999996"/>
    <s v="No"/>
    <n v="9.3000000000000007"/>
    <n v="6.6"/>
    <n v="6.1"/>
    <n v="2.2000000000000002"/>
    <n v="1.9"/>
    <n v="4.5999999999999996"/>
    <n v="5.4"/>
    <x v="0"/>
    <s v="No"/>
    <x v="0"/>
    <x v="3"/>
    <x v="1"/>
    <x v="1"/>
  </r>
  <r>
    <x v="992"/>
    <x v="6"/>
    <s v="Female"/>
    <x v="2"/>
    <x v="2"/>
    <s v="Low"/>
    <s v="Single"/>
    <s v="With Partner"/>
    <x v="3"/>
    <x v="3"/>
    <x v="0"/>
    <n v="2.7"/>
    <n v="3.7"/>
    <n v="3.19"/>
    <n v="8.18"/>
    <n v="5"/>
    <n v="1.7"/>
    <n v="2.8"/>
    <n v="8.3000000000000007"/>
    <s v="No"/>
    <n v="6.9"/>
    <n v="8"/>
    <n v="5.6"/>
    <n v="3.3"/>
    <n v="2.6"/>
    <n v="4.7"/>
    <n v="5.9"/>
    <x v="0"/>
    <s v="No"/>
    <x v="0"/>
    <x v="2"/>
    <x v="2"/>
    <x v="1"/>
  </r>
  <r>
    <x v="993"/>
    <x v="9"/>
    <s v="Male"/>
    <x v="0"/>
    <x v="2"/>
    <s v="Lower-Middle"/>
    <s v="In a Relationship"/>
    <s v="Alone"/>
    <x v="3"/>
    <x v="2"/>
    <x v="4"/>
    <n v="0.64"/>
    <n v="3.92"/>
    <n v="0.93"/>
    <n v="3.59"/>
    <n v="3"/>
    <n v="5.7"/>
    <n v="2.1"/>
    <n v="5.0999999999999996"/>
    <s v="No"/>
    <n v="7"/>
    <n v="6.1"/>
    <n v="1.7"/>
    <n v="4.0999999999999996"/>
    <n v="3.6"/>
    <n v="5"/>
    <n v="6.2"/>
    <x v="1"/>
    <s v="No"/>
    <x v="0"/>
    <x v="2"/>
    <x v="0"/>
    <x v="0"/>
  </r>
  <r>
    <x v="994"/>
    <x v="25"/>
    <s v="Female"/>
    <x v="3"/>
    <x v="1"/>
    <s v="Low"/>
    <s v="Single"/>
    <s v="With Partner"/>
    <x v="3"/>
    <x v="0"/>
    <x v="0"/>
    <n v="0"/>
    <n v="6.27"/>
    <n v="0.68"/>
    <n v="2.67"/>
    <n v="4"/>
    <n v="1.3"/>
    <n v="1"/>
    <n v="8.9"/>
    <s v="No"/>
    <n v="8.1999999999999993"/>
    <n v="9.1"/>
    <n v="6.1"/>
    <n v="3.3"/>
    <n v="1.5"/>
    <n v="3.4"/>
    <n v="9.8000000000000007"/>
    <x v="0"/>
    <s v="No"/>
    <x v="0"/>
    <x v="3"/>
    <x v="0"/>
    <x v="1"/>
  </r>
  <r>
    <x v="995"/>
    <x v="6"/>
    <s v="Female"/>
    <x v="1"/>
    <x v="2"/>
    <s v="Low"/>
    <s v="In a Relationship"/>
    <s v="With Partner"/>
    <x v="3"/>
    <x v="1"/>
    <x v="1"/>
    <n v="1.95"/>
    <n v="3.38"/>
    <n v="1.91"/>
    <n v="6.37"/>
    <n v="4"/>
    <n v="2"/>
    <n v="5.0999999999999996"/>
    <n v="6.5"/>
    <s v="No"/>
    <n v="7.4"/>
    <n v="4.7"/>
    <n v="5.0999999999999996"/>
    <n v="5.6"/>
    <n v="3.4"/>
    <n v="7.2"/>
    <n v="4.8"/>
    <x v="2"/>
    <s v="No"/>
    <x v="0"/>
    <x v="2"/>
    <x v="1"/>
    <x v="1"/>
  </r>
  <r>
    <x v="996"/>
    <x v="25"/>
    <s v="Male"/>
    <x v="1"/>
    <x v="2"/>
    <s v="Lower-Middle"/>
    <s v="Married"/>
    <s v="With Family"/>
    <x v="1"/>
    <x v="4"/>
    <x v="2"/>
    <n v="2.91"/>
    <n v="5.1100000000000003"/>
    <n v="2.4900000000000002"/>
    <n v="6.74"/>
    <n v="6"/>
    <n v="4.4000000000000004"/>
    <n v="3.5"/>
    <n v="6.6"/>
    <s v="No"/>
    <n v="7.3"/>
    <n v="7.6"/>
    <n v="6.2"/>
    <n v="2.7"/>
    <n v="6.6"/>
    <n v="5.5"/>
    <n v="10"/>
    <x v="0"/>
    <s v="Yes"/>
    <x v="1"/>
    <x v="3"/>
    <x v="2"/>
    <x v="0"/>
  </r>
  <r>
    <x v="997"/>
    <x v="23"/>
    <s v="Male"/>
    <x v="3"/>
    <x v="0"/>
    <s v="Lower-Middle"/>
    <s v="Single"/>
    <s v="With Family"/>
    <x v="0"/>
    <x v="1"/>
    <x v="1"/>
    <n v="0"/>
    <n v="5.36"/>
    <n v="1.44"/>
    <n v="3.77"/>
    <n v="5"/>
    <n v="4.5"/>
    <n v="2.7"/>
    <n v="9.6"/>
    <s v="No"/>
    <n v="7.1"/>
    <n v="10"/>
    <n v="6"/>
    <n v="3.2"/>
    <n v="3.8"/>
    <n v="3.3"/>
    <n v="7.9"/>
    <x v="0"/>
    <s v="No"/>
    <x v="0"/>
    <x v="0"/>
    <x v="0"/>
    <x v="0"/>
  </r>
  <r>
    <x v="998"/>
    <x v="23"/>
    <s v="Male"/>
    <x v="3"/>
    <x v="0"/>
    <s v="Lower-Middle"/>
    <s v="Single"/>
    <s v="With Family"/>
    <x v="2"/>
    <x v="0"/>
    <x v="1"/>
    <n v="0.81"/>
    <n v="3.37"/>
    <n v="2.8"/>
    <n v="6.94"/>
    <n v="4"/>
    <n v="3.5"/>
    <n v="4.7"/>
    <n v="6.7"/>
    <s v="No"/>
    <n v="7"/>
    <n v="5.8"/>
    <n v="5"/>
    <n v="3.4"/>
    <n v="5.8"/>
    <n v="4.9000000000000004"/>
    <n v="6.1"/>
    <x v="1"/>
    <s v="No"/>
    <x v="0"/>
    <x v="0"/>
    <x v="0"/>
    <x v="0"/>
  </r>
  <r>
    <x v="999"/>
    <x v="8"/>
    <s v="Male"/>
    <x v="3"/>
    <x v="2"/>
    <s v="Lower-Middle"/>
    <s v="Single"/>
    <s v="With Roommates"/>
    <x v="2"/>
    <x v="0"/>
    <x v="3"/>
    <n v="0"/>
    <n v="6.99"/>
    <n v="1.92"/>
    <n v="3.67"/>
    <n v="5"/>
    <n v="1"/>
    <n v="1"/>
    <n v="9.1999999999999993"/>
    <s v="No"/>
    <n v="10"/>
    <n v="10"/>
    <n v="5.2"/>
    <n v="1.4"/>
    <n v="1"/>
    <n v="2"/>
    <n v="7.7"/>
    <x v="0"/>
    <s v="No"/>
    <x v="0"/>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561A8C-213A-47B6-AC32-7CC8B3FCB2D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4:E40" firstHeaderRow="1" firstDataRow="2" firstDataCol="1"/>
  <pivotFields count="3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showAll="0"/>
    <pivotField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axis="axisRow" showAll="0">
      <items count="5">
        <item x="3"/>
        <item x="0"/>
        <item x="1"/>
        <item x="2"/>
        <item t="default"/>
      </items>
    </pivotField>
    <pivotField showAll="0">
      <items count="5">
        <item x="3"/>
        <item x="1"/>
        <item x="2"/>
        <item x="0"/>
        <item t="default"/>
      </items>
    </pivotField>
    <pivotField showAll="0">
      <items count="4">
        <item x="2"/>
        <item x="1"/>
        <item x="0"/>
        <item t="default"/>
      </items>
    </pivotField>
  </pivotFields>
  <rowFields count="1">
    <field x="30"/>
  </rowFields>
  <rowItems count="5">
    <i>
      <x/>
    </i>
    <i>
      <x v="1"/>
    </i>
    <i>
      <x v="2"/>
    </i>
    <i>
      <x v="3"/>
    </i>
    <i t="grand">
      <x/>
    </i>
  </rowItems>
  <colFields count="1">
    <field x="29"/>
  </colFields>
  <colItems count="4">
    <i>
      <x/>
    </i>
    <i>
      <x v="1"/>
    </i>
    <i>
      <x v="2"/>
    </i>
    <i t="grand">
      <x/>
    </i>
  </colItems>
  <dataFields count="1">
    <dataField name="Count of User_ID" fld="0" subtotal="count" baseField="0" baseItem="0"/>
  </dataFields>
  <chartFormats count="7">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29" count="1" selected="0">
            <x v="0"/>
          </reference>
        </references>
      </pivotArea>
    </chartFormat>
    <chartFormat chart="4" format="1" series="1">
      <pivotArea type="data" outline="0" fieldPosition="0">
        <references count="2">
          <reference field="4294967294" count="1" selected="0">
            <x v="0"/>
          </reference>
          <reference field="29" count="1" selected="0">
            <x v="1"/>
          </reference>
        </references>
      </pivotArea>
    </chartFormat>
    <chartFormat chart="4" format="2" series="1">
      <pivotArea type="data" outline="0" fieldPosition="0">
        <references count="2">
          <reference field="4294967294" count="1" selected="0">
            <x v="0"/>
          </reference>
          <reference field="29" count="1" selected="0">
            <x v="2"/>
          </reference>
        </references>
      </pivotArea>
    </chartFormat>
    <chartFormat chart="7" format="6" series="1">
      <pivotArea type="data" outline="0" fieldPosition="0">
        <references count="2">
          <reference field="4294967294" count="1" selected="0">
            <x v="0"/>
          </reference>
          <reference field="29" count="1" selected="0">
            <x v="0"/>
          </reference>
        </references>
      </pivotArea>
    </chartFormat>
    <chartFormat chart="7" format="7" series="1">
      <pivotArea type="data" outline="0" fieldPosition="0">
        <references count="2">
          <reference field="4294967294" count="1" selected="0">
            <x v="0"/>
          </reference>
          <reference field="29" count="1" selected="0">
            <x v="1"/>
          </reference>
        </references>
      </pivotArea>
    </chartFormat>
    <chartFormat chart="7" format="8" series="1">
      <pivotArea type="data" outline="0" fieldPosition="0">
        <references count="2">
          <reference field="4294967294" count="1" selected="0">
            <x v="0"/>
          </reference>
          <reference field="2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91E518-38AC-493B-8BB5-2DD3356566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33">
    <pivotField showAll="0"/>
    <pivotField showAll="0">
      <items count="31">
        <item x="19"/>
        <item x="14"/>
        <item x="12"/>
        <item x="11"/>
        <item x="25"/>
        <item x="17"/>
        <item x="0"/>
        <item x="5"/>
        <item x="26"/>
        <item x="23"/>
        <item x="4"/>
        <item x="15"/>
        <item x="29"/>
        <item x="28"/>
        <item x="3"/>
        <item x="24"/>
        <item x="21"/>
        <item x="27"/>
        <item x="8"/>
        <item x="1"/>
        <item x="6"/>
        <item x="13"/>
        <item x="9"/>
        <item x="10"/>
        <item x="20"/>
        <item x="7"/>
        <item x="22"/>
        <item x="18"/>
        <item x="2"/>
        <item x="16"/>
        <item t="default"/>
      </items>
    </pivotField>
    <pivotField showAll="0"/>
    <pivotField showAll="0">
      <items count="6">
        <item x="0"/>
        <item x="3"/>
        <item x="2"/>
        <item x="1"/>
        <item x="4"/>
        <item t="default"/>
      </items>
    </pivotField>
    <pivotField showAll="0">
      <items count="5">
        <item x="1"/>
        <item x="0"/>
        <item x="3"/>
        <item x="2"/>
        <item t="default"/>
      </items>
    </pivotField>
    <pivotField showAll="0"/>
    <pivotField showAll="0"/>
    <pivotField showAll="0"/>
    <pivotField showAll="0">
      <items count="7">
        <item x="4"/>
        <item x="3"/>
        <item x="2"/>
        <item x="1"/>
        <item x="5"/>
        <item x="0"/>
        <item t="default"/>
      </items>
    </pivotField>
    <pivotField showAll="0">
      <items count="6">
        <item x="1"/>
        <item x="0"/>
        <item x="4"/>
        <item x="2"/>
        <item x="3"/>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5">
        <item x="3"/>
        <item x="0"/>
        <item x="1"/>
        <item x="2"/>
        <item t="default"/>
      </items>
    </pivotField>
    <pivotField axis="axisRow" showAll="0">
      <items count="5">
        <item x="3"/>
        <item x="1"/>
        <item x="2"/>
        <item x="0"/>
        <item t="default"/>
      </items>
    </pivotField>
    <pivotField showAll="0">
      <items count="4">
        <item x="2"/>
        <item x="1"/>
        <item x="0"/>
        <item t="default"/>
      </items>
    </pivotField>
  </pivotFields>
  <rowFields count="1">
    <field x="31"/>
  </rowFields>
  <rowItems count="5">
    <i>
      <x/>
    </i>
    <i>
      <x v="1"/>
    </i>
    <i>
      <x v="2"/>
    </i>
    <i>
      <x v="3"/>
    </i>
    <i t="grand">
      <x/>
    </i>
  </rowItems>
  <colFields count="1">
    <field x="-2"/>
  </colFields>
  <colItems count="2">
    <i>
      <x/>
    </i>
    <i i="1">
      <x v="1"/>
    </i>
  </colItems>
  <dataFields count="2">
    <dataField name="Average of Loneliness_score" fld="16" subtotal="average" baseField="31" baseItem="0" numFmtId="2"/>
    <dataField name="Average of Emotional_attachment_score" fld="17" subtotal="average" baseField="31" baseItem="0" numFmtId="2"/>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42C64F-630F-47E8-853B-A907C9ED151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25:A126" firstHeaderRow="1" firstDataRow="1" firstDataCol="0"/>
  <pivotFields count="3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showAll="0"/>
    <pivotField showAll="0">
      <items count="6">
        <item x="1"/>
        <item x="0"/>
        <item x="4"/>
        <item x="2"/>
        <item x="3"/>
        <item t="default"/>
      </items>
    </pivotField>
    <pivotField showAll="0">
      <items count="6">
        <item x="4"/>
        <item x="2"/>
        <item x="0"/>
        <item x="3"/>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5">
        <item x="3"/>
        <item x="0"/>
        <item x="1"/>
        <item x="2"/>
        <item t="default"/>
      </items>
    </pivotField>
    <pivotField showAll="0">
      <items count="5">
        <item x="3"/>
        <item x="1"/>
        <item x="2"/>
        <item x="0"/>
        <item t="default"/>
      </items>
    </pivotField>
    <pivotField showAll="0">
      <items count="4">
        <item x="2"/>
        <item x="1"/>
        <item x="0"/>
        <item t="default"/>
      </items>
    </pivotField>
  </pivotFields>
  <rowItems count="1">
    <i/>
  </rowItems>
  <colItems count="1">
    <i/>
  </colItems>
  <dataFields count="1">
    <dataField name="Average of Social_media_hours_daily" fld="13" subtotal="average"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98D06E-1E24-41DF-9BFB-4B98D725152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01:B106" firstHeaderRow="1" firstDataRow="1" firstDataCol="1"/>
  <pivotFields count="3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showAll="0"/>
    <pivotField showAll="0">
      <items count="6">
        <item x="1"/>
        <item x="0"/>
        <item x="4"/>
        <item x="2"/>
        <item x="3"/>
        <item t="default"/>
      </items>
    </pivotField>
    <pivotField showAll="0">
      <items count="6">
        <item x="4"/>
        <item x="2"/>
        <item x="0"/>
        <item x="3"/>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axis="axisRow" showAll="0">
      <items count="5">
        <item x="3"/>
        <item x="0"/>
        <item x="1"/>
        <item x="2"/>
        <item t="default"/>
      </items>
    </pivotField>
    <pivotField showAll="0">
      <items count="5">
        <item x="3"/>
        <item x="1"/>
        <item x="2"/>
        <item x="0"/>
        <item t="default"/>
      </items>
    </pivotField>
    <pivotField showAll="0">
      <items count="4">
        <item x="2"/>
        <item x="1"/>
        <item x="0"/>
        <item t="default"/>
      </items>
    </pivotField>
  </pivotFields>
  <rowFields count="1">
    <field x="30"/>
  </rowFields>
  <rowItems count="5">
    <i>
      <x/>
    </i>
    <i>
      <x v="1"/>
    </i>
    <i>
      <x v="2"/>
    </i>
    <i>
      <x v="3"/>
    </i>
    <i t="grand">
      <x/>
    </i>
  </rowItems>
  <colItems count="1">
    <i/>
  </colItems>
  <dataFields count="1">
    <dataField name="Average of Human_social_interaction_hours" fld="12" subtotal="average" baseField="30" baseItem="0" numFmtId="164"/>
  </dataFields>
  <formats count="1">
    <format dxfId="3">
      <pivotArea outline="0" collapsedLevelsAreSubtotals="1" fieldPosition="0"/>
    </format>
  </formats>
  <chartFormats count="2">
    <chartFormat chart="14"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2B9188-7FC4-42DB-8D59-EE8A47F0B59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8:B74" firstHeaderRow="1" firstDataRow="1" firstDataCol="1"/>
  <pivotFields count="3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showAll="0"/>
    <pivotField showAll="0">
      <items count="6">
        <item x="1"/>
        <item x="0"/>
        <item x="4"/>
        <item x="2"/>
        <item x="3"/>
        <item t="default"/>
      </items>
    </pivotField>
    <pivotField axis="axisRow"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5">
        <item x="3"/>
        <item x="0"/>
        <item x="1"/>
        <item x="2"/>
        <item t="default"/>
      </items>
    </pivotField>
    <pivotField showAll="0">
      <items count="5">
        <item x="3"/>
        <item x="1"/>
        <item x="2"/>
        <item x="0"/>
        <item t="default"/>
      </items>
    </pivotField>
    <pivotField showAll="0">
      <items count="4">
        <item x="2"/>
        <item x="1"/>
        <item x="0"/>
        <item t="default"/>
      </items>
    </pivotField>
  </pivotFields>
  <rowFields count="1">
    <field x="10"/>
  </rowFields>
  <rowItems count="6">
    <i>
      <x/>
    </i>
    <i>
      <x v="1"/>
    </i>
    <i>
      <x v="2"/>
    </i>
    <i>
      <x v="3"/>
    </i>
    <i>
      <x v="4"/>
    </i>
    <i t="grand">
      <x/>
    </i>
  </rowItems>
  <colItems count="1">
    <i/>
  </colItems>
  <dataFields count="1">
    <dataField name="Count of User_ID" fld="0" subtotal="count" baseField="0" baseItem="0"/>
  </dataFields>
  <chartFormats count="12">
    <chartFormat chart="8"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0" count="1" selected="0">
            <x v="0"/>
          </reference>
        </references>
      </pivotArea>
    </chartFormat>
    <chartFormat chart="11" format="9">
      <pivotArea type="data" outline="0" fieldPosition="0">
        <references count="2">
          <reference field="4294967294" count="1" selected="0">
            <x v="0"/>
          </reference>
          <reference field="10" count="1" selected="0">
            <x v="1"/>
          </reference>
        </references>
      </pivotArea>
    </chartFormat>
    <chartFormat chart="11" format="10">
      <pivotArea type="data" outline="0" fieldPosition="0">
        <references count="2">
          <reference field="4294967294" count="1" selected="0">
            <x v="0"/>
          </reference>
          <reference field="10" count="1" selected="0">
            <x v="2"/>
          </reference>
        </references>
      </pivotArea>
    </chartFormat>
    <chartFormat chart="11" format="11">
      <pivotArea type="data" outline="0" fieldPosition="0">
        <references count="2">
          <reference field="4294967294" count="1" selected="0">
            <x v="0"/>
          </reference>
          <reference field="10" count="1" selected="0">
            <x v="3"/>
          </reference>
        </references>
      </pivotArea>
    </chartFormat>
    <chartFormat chart="11" format="12">
      <pivotArea type="data" outline="0" fieldPosition="0">
        <references count="2">
          <reference field="4294967294" count="1" selected="0">
            <x v="0"/>
          </reference>
          <reference field="10" count="1" selected="0">
            <x v="4"/>
          </reference>
        </references>
      </pivotArea>
    </chartFormat>
    <chartFormat chart="8" format="1">
      <pivotArea type="data" outline="0" fieldPosition="0">
        <references count="2">
          <reference field="4294967294" count="1" selected="0">
            <x v="0"/>
          </reference>
          <reference field="10" count="1" selected="0">
            <x v="0"/>
          </reference>
        </references>
      </pivotArea>
    </chartFormat>
    <chartFormat chart="8" format="2">
      <pivotArea type="data" outline="0" fieldPosition="0">
        <references count="2">
          <reference field="4294967294" count="1" selected="0">
            <x v="0"/>
          </reference>
          <reference field="10" count="1" selected="0">
            <x v="1"/>
          </reference>
        </references>
      </pivotArea>
    </chartFormat>
    <chartFormat chart="8" format="3">
      <pivotArea type="data" outline="0" fieldPosition="0">
        <references count="2">
          <reference field="4294967294" count="1" selected="0">
            <x v="0"/>
          </reference>
          <reference field="10" count="1" selected="0">
            <x v="2"/>
          </reference>
        </references>
      </pivotArea>
    </chartFormat>
    <chartFormat chart="8" format="4">
      <pivotArea type="data" outline="0" fieldPosition="0">
        <references count="2">
          <reference field="4294967294" count="1" selected="0">
            <x v="0"/>
          </reference>
          <reference field="10" count="1" selected="0">
            <x v="3"/>
          </reference>
        </references>
      </pivotArea>
    </chartFormat>
    <chartFormat chart="8" format="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2BD754-1E89-4ED9-B392-44479406D2C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1:C57" firstHeaderRow="0" firstDataRow="1" firstDataCol="1"/>
  <pivotFields count="3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showAll="0"/>
    <pivotField axis="axisRow" showAll="0">
      <items count="6">
        <item x="1"/>
        <item x="0"/>
        <item x="4"/>
        <item x="2"/>
        <item x="3"/>
        <item t="default"/>
      </items>
    </pivotField>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5">
        <item x="3"/>
        <item x="0"/>
        <item x="1"/>
        <item x="2"/>
        <item t="default"/>
      </items>
    </pivotField>
    <pivotField showAll="0">
      <items count="5">
        <item x="3"/>
        <item x="1"/>
        <item x="2"/>
        <item x="0"/>
        <item t="default"/>
      </items>
    </pivotField>
    <pivotField showAll="0">
      <items count="4">
        <item x="2"/>
        <item x="1"/>
        <item x="0"/>
        <item t="default"/>
      </items>
    </pivotField>
  </pivotFields>
  <rowFields count="1">
    <field x="9"/>
  </rowFields>
  <rowItems count="6">
    <i>
      <x/>
    </i>
    <i>
      <x v="1"/>
    </i>
    <i>
      <x v="2"/>
    </i>
    <i>
      <x v="3"/>
    </i>
    <i>
      <x v="4"/>
    </i>
    <i t="grand">
      <x/>
    </i>
  </rowItems>
  <colFields count="1">
    <field x="-2"/>
  </colFields>
  <colItems count="2">
    <i>
      <x/>
    </i>
    <i i="1">
      <x v="1"/>
    </i>
  </colItems>
  <dataFields count="2">
    <dataField name="Average of Daily_ai_chat_hours" fld="11" subtotal="average" baseField="9" baseItem="0" numFmtId="2"/>
    <dataField name="Average of Screen_time_total_hours" fld="14" subtotal="average" baseField="9" baseItem="0" numFmtId="2"/>
  </dataFields>
  <formats count="2">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1"/>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F52054-EA43-4123-8907-7C5CFF72723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28:A129" firstHeaderRow="1" firstDataRow="1" firstDataCol="0"/>
  <pivotFields count="3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showAll="0"/>
    <pivotField showAll="0">
      <items count="6">
        <item x="1"/>
        <item x="0"/>
        <item x="4"/>
        <item x="2"/>
        <item x="3"/>
        <item t="default"/>
      </items>
    </pivotField>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4">
        <item x="2"/>
        <item x="0"/>
        <item x="1"/>
        <item t="default"/>
      </items>
    </pivotField>
    <pivotField showAll="0">
      <items count="5">
        <item x="3"/>
        <item x="0"/>
        <item x="1"/>
        <item x="2"/>
        <item t="default"/>
      </items>
    </pivotField>
    <pivotField showAll="0">
      <items count="5">
        <item x="3"/>
        <item x="1"/>
        <item x="2"/>
        <item x="0"/>
        <item t="default"/>
      </items>
    </pivotField>
    <pivotField showAll="0">
      <items count="4">
        <item x="2"/>
        <item x="1"/>
        <item x="0"/>
        <item t="default"/>
      </items>
    </pivotField>
  </pivotFields>
  <rowItems count="1">
    <i/>
  </rowItems>
  <colItems count="1">
    <i/>
  </colItems>
  <dataFields count="1">
    <dataField name="Average of Sleep_quality_score" fld="21" subtotal="average"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203625-F500-40AF-8071-77DA835A96C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22:A123" firstHeaderRow="1" firstDataRow="1" firstDataCol="0"/>
  <pivotFields count="3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showAll="0"/>
    <pivotField showAll="0">
      <items count="6">
        <item x="1"/>
        <item x="0"/>
        <item x="4"/>
        <item x="2"/>
        <item x="3"/>
        <item t="default"/>
      </items>
    </pivotField>
    <pivotField showAll="0">
      <items count="6">
        <item x="4"/>
        <item x="2"/>
        <item x="0"/>
        <item x="3"/>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5">
        <item x="3"/>
        <item x="0"/>
        <item x="1"/>
        <item x="2"/>
        <item t="default"/>
      </items>
    </pivotField>
    <pivotField showAll="0">
      <items count="5">
        <item x="3"/>
        <item x="1"/>
        <item x="2"/>
        <item x="0"/>
        <item t="default"/>
      </items>
    </pivotField>
    <pivotField showAll="0">
      <items count="4">
        <item x="2"/>
        <item x="1"/>
        <item x="0"/>
        <item t="default"/>
      </items>
    </pivotField>
  </pivotFields>
  <rowItems count="1">
    <i/>
  </rowItems>
  <colItems count="1">
    <i/>
  </colItems>
  <dataFields count="1">
    <dataField name="Average of Daily_ai_chat_hours" fld="11" subtotal="average"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518BA3-ED9F-4C02-9DB2-565EF85260D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19:A120" firstHeaderRow="1" firstDataRow="1" firstDataCol="0"/>
  <pivotFields count="3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showAll="0"/>
    <pivotField showAll="0">
      <items count="6">
        <item x="1"/>
        <item x="0"/>
        <item x="4"/>
        <item x="2"/>
        <item x="3"/>
        <item t="default"/>
      </items>
    </pivotField>
    <pivotField showAll="0">
      <items count="6">
        <item x="4"/>
        <item x="2"/>
        <item x="0"/>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5">
        <item x="3"/>
        <item x="0"/>
        <item x="1"/>
        <item x="2"/>
        <item t="default"/>
      </items>
    </pivotField>
    <pivotField showAll="0">
      <items count="5">
        <item x="3"/>
        <item x="1"/>
        <item x="2"/>
        <item x="0"/>
        <item t="default"/>
      </items>
    </pivotField>
    <pivotField showAll="0">
      <items count="4">
        <item x="2"/>
        <item x="1"/>
        <item x="0"/>
        <item t="default"/>
      </items>
    </pivotField>
  </pivotFields>
  <rowItems count="1">
    <i/>
  </rowItems>
  <colItems count="1">
    <i/>
  </colItems>
  <dataFields count="1">
    <dataField name="Count of User_ID" fld="0" subtotal="count" baseField="0" baseItem="0" numFmtId="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F38FEE-DC79-4214-BBC4-9BF41731828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85:C89" firstHeaderRow="0" firstDataRow="1" firstDataCol="1"/>
  <pivotFields count="3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showAll="0"/>
    <pivotField showAll="0"/>
    <pivotField showAll="0"/>
    <pivotField showAll="0">
      <items count="6">
        <item x="1"/>
        <item x="0"/>
        <item x="4"/>
        <item x="2"/>
        <item x="3"/>
        <item t="default"/>
      </items>
    </pivotField>
    <pivotField showAll="0">
      <items count="6">
        <item x="4"/>
        <item x="2"/>
        <item x="0"/>
        <item x="3"/>
        <item x="1"/>
        <item t="default"/>
      </items>
    </pivotField>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items count="4">
        <item x="2"/>
        <item x="0"/>
        <item x="1"/>
        <item t="default"/>
      </items>
    </pivotField>
    <pivotField showAll="0">
      <items count="5">
        <item x="3"/>
        <item x="0"/>
        <item x="1"/>
        <item x="2"/>
        <item t="default"/>
      </items>
    </pivotField>
    <pivotField showAll="0">
      <items count="5">
        <item x="3"/>
        <item x="1"/>
        <item x="2"/>
        <item x="0"/>
        <item t="default"/>
      </items>
    </pivotField>
    <pivotField showAll="0">
      <items count="4">
        <item x="2"/>
        <item x="1"/>
        <item x="0"/>
        <item t="default"/>
      </items>
    </pivotField>
  </pivotFields>
  <rowFields count="1">
    <field x="27"/>
  </rowFields>
  <rowItems count="4">
    <i>
      <x/>
    </i>
    <i>
      <x v="1"/>
    </i>
    <i>
      <x v="2"/>
    </i>
    <i t="grand">
      <x/>
    </i>
  </rowItems>
  <colFields count="1">
    <field x="-2"/>
  </colFields>
  <colItems count="2">
    <i>
      <x/>
    </i>
    <i i="1">
      <x v="1"/>
    </i>
  </colItems>
  <dataFields count="2">
    <dataField name="Average of Daily_ai_chat_hours" fld="11" subtotal="average" baseField="27" baseItem="0" numFmtId="2"/>
    <dataField name="Average of Screen_time_total_hours" fld="14" subtotal="average" baseField="27" baseItem="0" numFmtId="2"/>
  </dataFields>
  <formats count="2">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1"/>
          </reference>
        </references>
      </pivotArea>
    </format>
  </formats>
  <chartFormats count="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B4A9D6C-4D21-49AC-97A4-35AA076CF4A7}" sourceName="Age_Group">
  <pivotTables>
    <pivotTable tabId="2" name="PivotTable1"/>
    <pivotTable tabId="2" name="PivotTable10"/>
    <pivotTable tabId="2" name="PivotTable11"/>
    <pivotTable tabId="2" name="PivotTable12"/>
    <pivotTable tabId="2" name="PivotTable13"/>
    <pivotTable tabId="2" name="PivotTable3"/>
    <pivotTable tabId="2" name="PivotTable4"/>
    <pivotTable tabId="2" name="PivotTable5"/>
    <pivotTable tabId="2" name="PivotTable6"/>
    <pivotTable tabId="2" name="PivotTable9"/>
  </pivotTables>
  <data>
    <tabular pivotCacheId="1874803273">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chatbot_Platform" xr10:uid="{A02029AD-3929-4B9F-ABCE-5F08C4D09515}" sourceName="Ai_chatbot_Platform">
  <pivotTables>
    <pivotTable tabId="2" name="PivotTable1"/>
    <pivotTable tabId="2" name="PivotTable10"/>
    <pivotTable tabId="2" name="PivotTable11"/>
    <pivotTable tabId="2" name="PivotTable12"/>
    <pivotTable tabId="2" name="PivotTable13"/>
    <pivotTable tabId="2" name="PivotTable3"/>
    <pivotTable tabId="2" name="PivotTable4"/>
    <pivotTable tabId="2" name="PivotTable5"/>
    <pivotTable tabId="2" name="PivotTable6"/>
    <pivotTable tabId="2" name="PivotTable9"/>
  </pivotTables>
  <data>
    <tabular pivotCacheId="1874803273">
      <items count="5">
        <i x="1" s="1"/>
        <i x="0"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Usage_Category" xr10:uid="{2E9837A1-CE83-4F09-A557-D57E4BF1D7DC}" sourceName="Ai_Usage_Category">
  <pivotTables>
    <pivotTable tabId="2" name="PivotTable1"/>
    <pivotTable tabId="2" name="PivotTable10"/>
    <pivotTable tabId="2" name="PivotTable11"/>
    <pivotTable tabId="2" name="PivotTable12"/>
    <pivotTable tabId="2" name="PivotTable13"/>
    <pivotTable tabId="2" name="PivotTable3"/>
    <pivotTable tabId="2" name="PivotTable5"/>
    <pivotTable tabId="2" name="PivotTable6"/>
    <pivotTable tabId="2" name="PivotTable9"/>
  </pivotTables>
  <data>
    <tabular pivotCacheId="1874803273">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endency_risk_label" xr10:uid="{06707DDC-7DC9-4709-8887-6BE473B5BEF1}" sourceName="Dependency_risk_label">
  <pivotTables>
    <pivotTable tabId="2" name="PivotTable1"/>
    <pivotTable tabId="2" name="PivotTable10"/>
    <pivotTable tabId="2" name="PivotTable11"/>
    <pivotTable tabId="2" name="PivotTable12"/>
    <pivotTable tabId="2" name="PivotTable13"/>
    <pivotTable tabId="2" name="PivotTable3"/>
    <pivotTable tabId="2" name="PivotTable4"/>
    <pivotTable tabId="2" name="PivotTable5"/>
    <pivotTable tabId="2" name="PivotTable6"/>
    <pivotTable tabId="2" name="PivotTable9"/>
  </pivotTables>
  <data>
    <tabular pivotCacheId="1874803273">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neliness_Category" xr10:uid="{ECBCEE96-6F36-4F55-9800-47DC4298F0C8}" sourceName="Loneliness_Category">
  <pivotTables>
    <pivotTable tabId="2" name="PivotTable1"/>
    <pivotTable tabId="2" name="PivotTable10"/>
    <pivotTable tabId="2" name="PivotTable11"/>
    <pivotTable tabId="2" name="PivotTable12"/>
    <pivotTable tabId="2" name="PivotTable13"/>
    <pivotTable tabId="2" name="PivotTable3"/>
    <pivotTable tabId="2" name="PivotTable4"/>
    <pivotTable tabId="2" name="PivotTable5"/>
    <pivotTable tabId="2" name="PivotTable6"/>
    <pivotTable tabId="2" name="PivotTable9"/>
  </pivotTables>
  <data>
    <tabular pivotCacheId="187480327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1A3D2F8D-5939-4335-9F17-CCD8985B8B87}" cache="Slicer_Age_Group" caption="Age_Group" rowHeight="247650"/>
  <slicer name="Ai_chatbot_Platform" xr10:uid="{C892B841-1F00-43AF-9C50-8AA9DE909BC9}" cache="Slicer_Ai_chatbot_Platform" caption="Ai_chatbot_Platform" rowHeight="247650"/>
  <slicer name="Ai_Usage_Category" xr10:uid="{1DC43498-C336-4FD7-822A-E17ED63218B7}" cache="Slicer_Ai_Usage_Category" caption="Ai_Usage_Category" rowHeight="247650"/>
  <slicer name="Dependency_risk_label" xr10:uid="{72A2975B-E45A-4D78-9EA6-8E8279FA72AB}" cache="Slicer_Dependency_risk_label" caption="Dependency_risk_label" rowHeight="247650"/>
  <slicer name="Loneliness_Category" xr10:uid="{0F116F82-B90E-4328-9862-6EF2C10EDAAE}" cache="Slicer_Loneliness_Category" caption="Loneliness_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AECB4D61-1D39-4720-B9F7-F01052ACE9A2}" cache="Slicer_Age_Group" caption="Age_Group" style="Slicer Style 1" rowHeight="247650"/>
  <slicer name="Ai_chatbot_Platform 1" xr10:uid="{D5F4D3BE-8AC6-4EC0-8CDD-9F265921EF02}" cache="Slicer_Ai_chatbot_Platform" caption="Ai_chatbot_Platform" style="Slicer Style 1" rowHeight="247650"/>
  <slicer name="Ai_Usage_Category 1" xr10:uid="{E3BD8988-E767-446A-8580-71F2A8A58091}" cache="Slicer_Ai_Usage_Category" caption="Ai_Usage_Category" style="Slicer Style 1" rowHeight="247650"/>
  <slicer name="Dependency_risk_label 1" xr10:uid="{8EFBA0AA-50DB-4AC0-A865-AF61207742C7}" cache="Slicer_Dependency_risk_label" caption="Dependency_risk_label" style="Slicer Style 1" rowHeight="247650"/>
  <slicer name="Loneliness_Category 1" xr10:uid="{11598FDB-E807-4D56-B859-64E48DB1EEF3}" cache="Slicer_Loneliness_Category" caption="Loneliness_Category"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D9CD6-AE7A-48C6-BEBB-2CDE30A9CF73}">
  <dimension ref="A1:AG1001"/>
  <sheetViews>
    <sheetView topLeftCell="W1" workbookViewId="0">
      <selection activeCell="D25" sqref="D25"/>
    </sheetView>
  </sheetViews>
  <sheetFormatPr defaultRowHeight="14.4" x14ac:dyDescent="0.3"/>
  <cols>
    <col min="1" max="1" width="6.77734375" bestFit="1" customWidth="1"/>
    <col min="2" max="2" width="3.88671875" bestFit="1" customWidth="1"/>
    <col min="3" max="3" width="13.88671875" bestFit="1" customWidth="1"/>
    <col min="4" max="4" width="17.21875" bestFit="1" customWidth="1"/>
    <col min="5" max="5" width="13.5546875" bestFit="1" customWidth="1"/>
    <col min="6" max="6" width="11.88671875" bestFit="1" customWidth="1"/>
    <col min="7" max="7" width="17.21875" bestFit="1" customWidth="1"/>
    <col min="8" max="8" width="14.77734375" bestFit="1" customWidth="1"/>
    <col min="9" max="9" width="12.77734375" bestFit="1" customWidth="1"/>
    <col min="10" max="10" width="17" bestFit="1" customWidth="1"/>
    <col min="11" max="11" width="16.109375" bestFit="1" customWidth="1"/>
    <col min="12" max="12" width="16.6640625" bestFit="1" customWidth="1"/>
    <col min="13" max="13" width="27.33203125" bestFit="1" customWidth="1"/>
    <col min="14" max="14" width="21.6640625" bestFit="1" customWidth="1"/>
    <col min="15" max="15" width="20.77734375" bestFit="1" customWidth="1"/>
    <col min="16" max="16" width="21.33203125" bestFit="1" customWidth="1"/>
    <col min="17" max="17" width="14.5546875" bestFit="1" customWidth="1"/>
    <col min="18" max="18" width="24.6640625" bestFit="1" customWidth="1"/>
    <col min="19" max="19" width="24.77734375" bestFit="1" customWidth="1"/>
    <col min="20" max="20" width="20.6640625" bestFit="1" customWidth="1"/>
    <col min="21" max="21" width="10.6640625" bestFit="1" customWidth="1"/>
    <col min="22" max="22" width="16.77734375" bestFit="1" customWidth="1"/>
    <col min="23" max="23" width="19.5546875" bestFit="1" customWidth="1"/>
    <col min="24" max="24" width="11.88671875" bestFit="1" customWidth="1"/>
    <col min="25" max="25" width="15.33203125" bestFit="1" customWidth="1"/>
    <col min="26" max="26" width="11.21875" bestFit="1" customWidth="1"/>
    <col min="27" max="27" width="16.109375" bestFit="1" customWidth="1"/>
    <col min="28" max="28" width="34.6640625" bestFit="1" customWidth="1"/>
    <col min="29" max="29" width="17" bestFit="1" customWidth="1"/>
    <col min="30" max="30" width="19.33203125" bestFit="1" customWidth="1"/>
    <col min="32" max="32" width="18.33203125" customWidth="1"/>
    <col min="33" max="33" width="19.6640625" customWidth="1"/>
  </cols>
  <sheetData>
    <row r="1" spans="1:33" x14ac:dyDescent="0.3">
      <c r="A1" t="s">
        <v>1046</v>
      </c>
      <c r="B1" t="s">
        <v>1047</v>
      </c>
      <c r="C1" t="s">
        <v>1048</v>
      </c>
      <c r="D1" t="s">
        <v>1049</v>
      </c>
      <c r="E1" t="s">
        <v>1050</v>
      </c>
      <c r="F1" t="s">
        <v>1051</v>
      </c>
      <c r="G1" t="s">
        <v>1052</v>
      </c>
      <c r="H1" t="s">
        <v>1053</v>
      </c>
      <c r="I1" t="s">
        <v>1054</v>
      </c>
      <c r="J1" t="s">
        <v>1055</v>
      </c>
      <c r="K1" t="s">
        <v>1075</v>
      </c>
      <c r="L1" t="s">
        <v>1056</v>
      </c>
      <c r="M1" t="s">
        <v>1057</v>
      </c>
      <c r="N1" t="s">
        <v>1058</v>
      </c>
      <c r="O1" t="s">
        <v>1059</v>
      </c>
      <c r="P1" t="s">
        <v>1060</v>
      </c>
      <c r="Q1" t="s">
        <v>1061</v>
      </c>
      <c r="R1" t="s">
        <v>1062</v>
      </c>
      <c r="S1" t="s">
        <v>1063</v>
      </c>
      <c r="T1" t="s">
        <v>1064</v>
      </c>
      <c r="U1" t="s">
        <v>1065</v>
      </c>
      <c r="V1" t="s">
        <v>1066</v>
      </c>
      <c r="W1" t="s">
        <v>1067</v>
      </c>
      <c r="X1" t="s">
        <v>1068</v>
      </c>
      <c r="Y1" t="s">
        <v>1069</v>
      </c>
      <c r="Z1" t="s">
        <v>1070</v>
      </c>
      <c r="AA1" t="s">
        <v>1071</v>
      </c>
      <c r="AB1" t="s">
        <v>1072</v>
      </c>
      <c r="AC1" t="s">
        <v>1073</v>
      </c>
      <c r="AD1" t="s">
        <v>1074</v>
      </c>
      <c r="AE1" t="s">
        <v>1076</v>
      </c>
      <c r="AF1" t="s">
        <v>1077</v>
      </c>
      <c r="AG1" t="s">
        <v>1078</v>
      </c>
    </row>
    <row r="2" spans="1:33" x14ac:dyDescent="0.3">
      <c r="A2" t="s">
        <v>0</v>
      </c>
      <c r="B2">
        <v>21</v>
      </c>
      <c r="C2" t="s">
        <v>1</v>
      </c>
      <c r="D2" t="s">
        <v>2</v>
      </c>
      <c r="E2" t="s">
        <v>3</v>
      </c>
      <c r="F2" t="s">
        <v>4</v>
      </c>
      <c r="G2" t="s">
        <v>5</v>
      </c>
      <c r="H2" t="s">
        <v>6</v>
      </c>
      <c r="I2" t="s">
        <v>7</v>
      </c>
      <c r="J2" t="s">
        <v>8</v>
      </c>
      <c r="K2" t="s">
        <v>9</v>
      </c>
      <c r="L2">
        <v>0</v>
      </c>
      <c r="M2">
        <v>6.6</v>
      </c>
      <c r="N2">
        <v>0.51</v>
      </c>
      <c r="O2">
        <v>3.28</v>
      </c>
      <c r="P2">
        <v>1</v>
      </c>
      <c r="Q2">
        <v>4.5</v>
      </c>
      <c r="R2">
        <v>2</v>
      </c>
      <c r="S2">
        <v>8.1</v>
      </c>
      <c r="T2" t="s">
        <v>10</v>
      </c>
      <c r="U2">
        <v>7.3</v>
      </c>
      <c r="V2">
        <v>9.1</v>
      </c>
      <c r="W2">
        <v>3.3</v>
      </c>
      <c r="X2">
        <v>3.5</v>
      </c>
      <c r="Y2">
        <v>3</v>
      </c>
      <c r="Z2">
        <v>1</v>
      </c>
      <c r="AA2">
        <v>9.5</v>
      </c>
      <c r="AB2" t="s">
        <v>11</v>
      </c>
      <c r="AC2" t="s">
        <v>10</v>
      </c>
      <c r="AD2" t="s">
        <v>12</v>
      </c>
      <c r="AE2" t="str">
        <f>IF(B2&lt;20,"15-19",IF(B2&lt;25,"20-24",IF(B2&lt;35,"25-34","35-44")))</f>
        <v>20-24</v>
      </c>
      <c r="AF2" t="str">
        <f>IF(L2&lt;=1,"Very Low Usage",IF(L2&lt;=2.5,"Low Usage",IF(L2&lt;=4,"Moderate Usage","High Usage")))</f>
        <v>Very Low Usage</v>
      </c>
      <c r="AG2" t="str">
        <f>IF(Q2&lt;=3,"Low Loneliness",IF(Q2&lt;=6,"Moderate Loneliness","High Loneliness"))</f>
        <v>Moderate Loneliness</v>
      </c>
    </row>
    <row r="3" spans="1:33" x14ac:dyDescent="0.3">
      <c r="A3" t="s">
        <v>13</v>
      </c>
      <c r="B3">
        <v>34</v>
      </c>
      <c r="C3" t="s">
        <v>1</v>
      </c>
      <c r="D3" t="s">
        <v>14</v>
      </c>
      <c r="E3" t="s">
        <v>15</v>
      </c>
      <c r="F3" t="s">
        <v>16</v>
      </c>
      <c r="G3" t="s">
        <v>17</v>
      </c>
      <c r="H3" t="s">
        <v>18</v>
      </c>
      <c r="I3" t="s">
        <v>19</v>
      </c>
      <c r="J3" t="s">
        <v>20</v>
      </c>
      <c r="K3" t="s">
        <v>1079</v>
      </c>
      <c r="L3">
        <v>2.36</v>
      </c>
      <c r="M3">
        <v>2.88</v>
      </c>
      <c r="N3">
        <v>3.73</v>
      </c>
      <c r="O3">
        <v>8.1199999999999992</v>
      </c>
      <c r="P3">
        <v>5</v>
      </c>
      <c r="Q3">
        <v>5.9</v>
      </c>
      <c r="R3">
        <v>2.2999999999999998</v>
      </c>
      <c r="S3">
        <v>5.4</v>
      </c>
      <c r="T3" t="s">
        <v>10</v>
      </c>
      <c r="U3">
        <v>7.5</v>
      </c>
      <c r="V3">
        <v>3.5</v>
      </c>
      <c r="W3">
        <v>0.9</v>
      </c>
      <c r="X3">
        <v>4.5999999999999996</v>
      </c>
      <c r="Y3">
        <v>2.4</v>
      </c>
      <c r="Z3">
        <v>5.2</v>
      </c>
      <c r="AA3">
        <v>4.7</v>
      </c>
      <c r="AB3" t="s">
        <v>21</v>
      </c>
      <c r="AC3" t="s">
        <v>10</v>
      </c>
      <c r="AD3" t="s">
        <v>22</v>
      </c>
      <c r="AE3" t="str">
        <f t="shared" ref="AE3:AE66" si="0">IF(B3&lt;20,"15-19",IF(B3&lt;25,"20-24",IF(B3&lt;35,"25-34","35-44")))</f>
        <v>25-34</v>
      </c>
      <c r="AF3" t="str">
        <f t="shared" ref="AF3:AF66" si="1">IF(L3&lt;=1,"Very Low Usage",IF(L3&lt;=2.5,"Low Usage",IF(L3&lt;=4,"Moderate Usage","High Usage")))</f>
        <v>Low Usage</v>
      </c>
      <c r="AG3" t="str">
        <f t="shared" ref="AG3:AG66" si="2">IF(Q3&lt;=3,"Low Loneliness",IF(Q3&lt;=6,"Moderate Loneliness","High Loneliness"))</f>
        <v>Moderate Loneliness</v>
      </c>
    </row>
    <row r="4" spans="1:33" x14ac:dyDescent="0.3">
      <c r="A4" t="s">
        <v>23</v>
      </c>
      <c r="B4">
        <v>43</v>
      </c>
      <c r="C4" t="s">
        <v>1</v>
      </c>
      <c r="D4" t="s">
        <v>2</v>
      </c>
      <c r="E4" t="s">
        <v>15</v>
      </c>
      <c r="F4" t="s">
        <v>12</v>
      </c>
      <c r="G4" t="s">
        <v>17</v>
      </c>
      <c r="H4" t="s">
        <v>18</v>
      </c>
      <c r="I4" t="s">
        <v>24</v>
      </c>
      <c r="J4" t="s">
        <v>20</v>
      </c>
      <c r="K4" t="s">
        <v>25</v>
      </c>
      <c r="L4">
        <v>7.0000000000000007E-2</v>
      </c>
      <c r="M4">
        <v>4.5599999999999996</v>
      </c>
      <c r="N4">
        <v>0.49</v>
      </c>
      <c r="O4">
        <v>3.02</v>
      </c>
      <c r="P4">
        <v>4</v>
      </c>
      <c r="Q4">
        <v>1.1000000000000001</v>
      </c>
      <c r="R4">
        <v>1</v>
      </c>
      <c r="S4">
        <v>8.3000000000000007</v>
      </c>
      <c r="T4" t="s">
        <v>10</v>
      </c>
      <c r="U4">
        <v>6.8</v>
      </c>
      <c r="V4">
        <v>8.3000000000000007</v>
      </c>
      <c r="W4">
        <v>7.6</v>
      </c>
      <c r="X4">
        <v>1</v>
      </c>
      <c r="Y4">
        <v>1</v>
      </c>
      <c r="Z4">
        <v>3.2</v>
      </c>
      <c r="AA4">
        <v>7.2</v>
      </c>
      <c r="AB4" t="s">
        <v>11</v>
      </c>
      <c r="AC4" t="s">
        <v>10</v>
      </c>
      <c r="AD4" t="s">
        <v>12</v>
      </c>
      <c r="AE4" t="str">
        <f t="shared" si="0"/>
        <v>35-44</v>
      </c>
      <c r="AF4" t="str">
        <f t="shared" si="1"/>
        <v>Very Low Usage</v>
      </c>
      <c r="AG4" t="str">
        <f t="shared" si="2"/>
        <v>Low Loneliness</v>
      </c>
    </row>
    <row r="5" spans="1:33" x14ac:dyDescent="0.3">
      <c r="A5" t="s">
        <v>26</v>
      </c>
      <c r="B5">
        <v>29</v>
      </c>
      <c r="C5" t="s">
        <v>27</v>
      </c>
      <c r="D5" t="s">
        <v>2</v>
      </c>
      <c r="E5" t="s">
        <v>15</v>
      </c>
      <c r="F5" t="s">
        <v>12</v>
      </c>
      <c r="G5" t="s">
        <v>17</v>
      </c>
      <c r="H5" t="s">
        <v>28</v>
      </c>
      <c r="I5" t="s">
        <v>29</v>
      </c>
      <c r="J5" t="s">
        <v>8</v>
      </c>
      <c r="K5" t="s">
        <v>30</v>
      </c>
      <c r="L5">
        <v>0.44</v>
      </c>
      <c r="M5">
        <v>5.66</v>
      </c>
      <c r="N5">
        <v>0.88</v>
      </c>
      <c r="O5">
        <v>5.28</v>
      </c>
      <c r="P5">
        <v>7</v>
      </c>
      <c r="Q5">
        <v>3.2</v>
      </c>
      <c r="R5">
        <v>1.8</v>
      </c>
      <c r="S5">
        <v>6.7</v>
      </c>
      <c r="T5" t="s">
        <v>10</v>
      </c>
      <c r="U5">
        <v>9.5</v>
      </c>
      <c r="V5">
        <v>8.9</v>
      </c>
      <c r="W5">
        <v>7.4</v>
      </c>
      <c r="X5">
        <v>2.7</v>
      </c>
      <c r="Y5">
        <v>1.5</v>
      </c>
      <c r="Z5">
        <v>2.6</v>
      </c>
      <c r="AA5">
        <v>9</v>
      </c>
      <c r="AB5" t="s">
        <v>11</v>
      </c>
      <c r="AC5" t="s">
        <v>10</v>
      </c>
      <c r="AD5" t="s">
        <v>12</v>
      </c>
      <c r="AE5" t="str">
        <f t="shared" si="0"/>
        <v>25-34</v>
      </c>
      <c r="AF5" t="str">
        <f t="shared" si="1"/>
        <v>Very Low Usage</v>
      </c>
      <c r="AG5" t="str">
        <f t="shared" si="2"/>
        <v>Moderate Loneliness</v>
      </c>
    </row>
    <row r="6" spans="1:33" x14ac:dyDescent="0.3">
      <c r="A6" t="s">
        <v>31</v>
      </c>
      <c r="B6">
        <v>25</v>
      </c>
      <c r="C6" t="s">
        <v>32</v>
      </c>
      <c r="D6" t="s">
        <v>14</v>
      </c>
      <c r="E6" t="s">
        <v>15</v>
      </c>
      <c r="F6" t="s">
        <v>16</v>
      </c>
      <c r="G6" t="s">
        <v>5</v>
      </c>
      <c r="H6" t="s">
        <v>33</v>
      </c>
      <c r="I6" t="s">
        <v>7</v>
      </c>
      <c r="J6" t="s">
        <v>8</v>
      </c>
      <c r="K6" t="s">
        <v>30</v>
      </c>
      <c r="L6">
        <v>0</v>
      </c>
      <c r="M6">
        <v>6.56</v>
      </c>
      <c r="N6">
        <v>0.28999999999999998</v>
      </c>
      <c r="O6">
        <v>3.09</v>
      </c>
      <c r="P6">
        <v>8</v>
      </c>
      <c r="Q6">
        <v>1</v>
      </c>
      <c r="R6">
        <v>1</v>
      </c>
      <c r="S6">
        <v>10</v>
      </c>
      <c r="T6" t="s">
        <v>10</v>
      </c>
      <c r="U6">
        <v>8.5</v>
      </c>
      <c r="V6">
        <v>10</v>
      </c>
      <c r="W6">
        <v>6.5</v>
      </c>
      <c r="X6">
        <v>1</v>
      </c>
      <c r="Y6">
        <v>1</v>
      </c>
      <c r="Z6">
        <v>1</v>
      </c>
      <c r="AA6">
        <v>9.9</v>
      </c>
      <c r="AB6" t="s">
        <v>11</v>
      </c>
      <c r="AC6" t="s">
        <v>10</v>
      </c>
      <c r="AD6" t="s">
        <v>12</v>
      </c>
      <c r="AE6" t="str">
        <f t="shared" si="0"/>
        <v>25-34</v>
      </c>
      <c r="AF6" t="str">
        <f t="shared" si="1"/>
        <v>Very Low Usage</v>
      </c>
      <c r="AG6" t="str">
        <f t="shared" si="2"/>
        <v>Low Loneliness</v>
      </c>
    </row>
    <row r="7" spans="1:33" x14ac:dyDescent="0.3">
      <c r="A7" t="s">
        <v>34</v>
      </c>
      <c r="B7">
        <v>22</v>
      </c>
      <c r="C7" t="s">
        <v>1</v>
      </c>
      <c r="D7" t="s">
        <v>2</v>
      </c>
      <c r="E7" t="s">
        <v>15</v>
      </c>
      <c r="F7" t="s">
        <v>12</v>
      </c>
      <c r="G7" t="s">
        <v>17</v>
      </c>
      <c r="H7" t="s">
        <v>6</v>
      </c>
      <c r="I7" t="s">
        <v>35</v>
      </c>
      <c r="J7" t="s">
        <v>20</v>
      </c>
      <c r="K7" t="s">
        <v>25</v>
      </c>
      <c r="L7">
        <v>0.94</v>
      </c>
      <c r="M7">
        <v>5.49</v>
      </c>
      <c r="N7">
        <v>2.46</v>
      </c>
      <c r="O7">
        <v>5.0999999999999996</v>
      </c>
      <c r="P7">
        <v>4</v>
      </c>
      <c r="Q7">
        <v>5.4</v>
      </c>
      <c r="R7">
        <v>2</v>
      </c>
      <c r="S7">
        <v>5.5</v>
      </c>
      <c r="T7" t="s">
        <v>10</v>
      </c>
      <c r="U7">
        <v>5.8</v>
      </c>
      <c r="V7">
        <v>7.1</v>
      </c>
      <c r="W7">
        <v>2.6</v>
      </c>
      <c r="X7">
        <v>4.0999999999999996</v>
      </c>
      <c r="Y7">
        <v>3.5</v>
      </c>
      <c r="Z7">
        <v>2.2999999999999998</v>
      </c>
      <c r="AA7">
        <v>8.5</v>
      </c>
      <c r="AB7" t="s">
        <v>21</v>
      </c>
      <c r="AC7" t="s">
        <v>10</v>
      </c>
      <c r="AD7" t="s">
        <v>12</v>
      </c>
      <c r="AE7" t="str">
        <f t="shared" si="0"/>
        <v>20-24</v>
      </c>
      <c r="AF7" t="str">
        <f t="shared" si="1"/>
        <v>Very Low Usage</v>
      </c>
      <c r="AG7" t="str">
        <f t="shared" si="2"/>
        <v>Moderate Loneliness</v>
      </c>
    </row>
    <row r="8" spans="1:33" x14ac:dyDescent="0.3">
      <c r="A8" t="s">
        <v>36</v>
      </c>
      <c r="B8">
        <v>43</v>
      </c>
      <c r="C8" t="s">
        <v>32</v>
      </c>
      <c r="D8" t="s">
        <v>14</v>
      </c>
      <c r="E8" t="s">
        <v>37</v>
      </c>
      <c r="F8" t="s">
        <v>4</v>
      </c>
      <c r="G8" t="s">
        <v>17</v>
      </c>
      <c r="H8" t="s">
        <v>6</v>
      </c>
      <c r="I8" t="s">
        <v>29</v>
      </c>
      <c r="J8" t="s">
        <v>38</v>
      </c>
      <c r="K8" t="s">
        <v>30</v>
      </c>
      <c r="L8">
        <v>2.33</v>
      </c>
      <c r="M8">
        <v>4.13</v>
      </c>
      <c r="N8">
        <v>0.05</v>
      </c>
      <c r="O8">
        <v>5.66</v>
      </c>
      <c r="P8">
        <v>5</v>
      </c>
      <c r="Q8">
        <v>5.4</v>
      </c>
      <c r="R8">
        <v>2.9</v>
      </c>
      <c r="S8">
        <v>4.5</v>
      </c>
      <c r="T8" t="s">
        <v>10</v>
      </c>
      <c r="U8">
        <v>7.5</v>
      </c>
      <c r="V8">
        <v>6.9</v>
      </c>
      <c r="W8">
        <v>3.6</v>
      </c>
      <c r="X8">
        <v>4.5</v>
      </c>
      <c r="Y8">
        <v>3.8</v>
      </c>
      <c r="Z8">
        <v>4.0999999999999996</v>
      </c>
      <c r="AA8">
        <v>3.4</v>
      </c>
      <c r="AB8" t="s">
        <v>11</v>
      </c>
      <c r="AC8" t="s">
        <v>39</v>
      </c>
      <c r="AD8" t="s">
        <v>12</v>
      </c>
      <c r="AE8" t="str">
        <f t="shared" si="0"/>
        <v>35-44</v>
      </c>
      <c r="AF8" t="str">
        <f t="shared" si="1"/>
        <v>Low Usage</v>
      </c>
      <c r="AG8" t="str">
        <f t="shared" si="2"/>
        <v>Moderate Loneliness</v>
      </c>
    </row>
    <row r="9" spans="1:33" x14ac:dyDescent="0.3">
      <c r="A9" t="s">
        <v>40</v>
      </c>
      <c r="B9">
        <v>35</v>
      </c>
      <c r="C9" t="s">
        <v>32</v>
      </c>
      <c r="D9" t="s">
        <v>41</v>
      </c>
      <c r="E9" t="s">
        <v>3</v>
      </c>
      <c r="F9" t="s">
        <v>16</v>
      </c>
      <c r="G9" t="s">
        <v>17</v>
      </c>
      <c r="H9" t="s">
        <v>33</v>
      </c>
      <c r="I9" t="s">
        <v>19</v>
      </c>
      <c r="J9" t="s">
        <v>8</v>
      </c>
      <c r="K9" t="s">
        <v>1079</v>
      </c>
      <c r="L9">
        <v>0.76</v>
      </c>
      <c r="M9">
        <v>4.82</v>
      </c>
      <c r="N9">
        <v>2.44</v>
      </c>
      <c r="O9">
        <v>5.59</v>
      </c>
      <c r="P9">
        <v>6</v>
      </c>
      <c r="Q9">
        <v>3.5</v>
      </c>
      <c r="R9">
        <v>1.3</v>
      </c>
      <c r="S9">
        <v>7.1</v>
      </c>
      <c r="T9" t="s">
        <v>10</v>
      </c>
      <c r="U9">
        <v>7.8</v>
      </c>
      <c r="V9">
        <v>8</v>
      </c>
      <c r="W9">
        <v>6.8</v>
      </c>
      <c r="X9">
        <v>4.9000000000000004</v>
      </c>
      <c r="Y9">
        <v>1</v>
      </c>
      <c r="Z9">
        <v>3.8</v>
      </c>
      <c r="AA9">
        <v>7.2</v>
      </c>
      <c r="AB9" t="s">
        <v>21</v>
      </c>
      <c r="AC9" t="s">
        <v>10</v>
      </c>
      <c r="AD9" t="s">
        <v>12</v>
      </c>
      <c r="AE9" t="str">
        <f t="shared" si="0"/>
        <v>35-44</v>
      </c>
      <c r="AF9" t="str">
        <f t="shared" si="1"/>
        <v>Very Low Usage</v>
      </c>
      <c r="AG9" t="str">
        <f t="shared" si="2"/>
        <v>Moderate Loneliness</v>
      </c>
    </row>
    <row r="10" spans="1:33" x14ac:dyDescent="0.3">
      <c r="A10" t="s">
        <v>42</v>
      </c>
      <c r="B10">
        <v>21</v>
      </c>
      <c r="C10" t="s">
        <v>1</v>
      </c>
      <c r="D10" t="s">
        <v>2</v>
      </c>
      <c r="E10" t="s">
        <v>37</v>
      </c>
      <c r="F10" t="s">
        <v>12</v>
      </c>
      <c r="G10" t="s">
        <v>43</v>
      </c>
      <c r="H10" t="s">
        <v>28</v>
      </c>
      <c r="I10" t="s">
        <v>29</v>
      </c>
      <c r="J10" t="s">
        <v>8</v>
      </c>
      <c r="K10" t="s">
        <v>1079</v>
      </c>
      <c r="L10">
        <v>2.75</v>
      </c>
      <c r="M10">
        <v>2.37</v>
      </c>
      <c r="N10">
        <v>3.79</v>
      </c>
      <c r="O10">
        <v>7.57</v>
      </c>
      <c r="P10">
        <v>2</v>
      </c>
      <c r="Q10">
        <v>9.9</v>
      </c>
      <c r="R10">
        <v>7.1</v>
      </c>
      <c r="S10">
        <v>2.8</v>
      </c>
      <c r="T10" t="s">
        <v>39</v>
      </c>
      <c r="U10">
        <v>5.6</v>
      </c>
      <c r="V10">
        <v>4.3</v>
      </c>
      <c r="W10">
        <v>1.6</v>
      </c>
      <c r="X10">
        <v>7.2</v>
      </c>
      <c r="Y10">
        <v>7.7</v>
      </c>
      <c r="Z10">
        <v>6.8</v>
      </c>
      <c r="AA10">
        <v>2.9</v>
      </c>
      <c r="AB10" t="s">
        <v>44</v>
      </c>
      <c r="AC10" t="s">
        <v>10</v>
      </c>
      <c r="AD10" t="s">
        <v>45</v>
      </c>
      <c r="AE10" t="str">
        <f t="shared" si="0"/>
        <v>20-24</v>
      </c>
      <c r="AF10" t="str">
        <f t="shared" si="1"/>
        <v>Moderate Usage</v>
      </c>
      <c r="AG10" t="str">
        <f t="shared" si="2"/>
        <v>High Loneliness</v>
      </c>
    </row>
    <row r="11" spans="1:33" x14ac:dyDescent="0.3">
      <c r="A11" t="s">
        <v>46</v>
      </c>
      <c r="B11">
        <v>40</v>
      </c>
      <c r="C11" t="s">
        <v>1</v>
      </c>
      <c r="D11" t="s">
        <v>47</v>
      </c>
      <c r="E11" t="s">
        <v>3</v>
      </c>
      <c r="F11" t="s">
        <v>12</v>
      </c>
      <c r="G11" t="s">
        <v>17</v>
      </c>
      <c r="H11" t="s">
        <v>28</v>
      </c>
      <c r="I11" t="s">
        <v>19</v>
      </c>
      <c r="J11" t="s">
        <v>48</v>
      </c>
      <c r="K11" t="s">
        <v>25</v>
      </c>
      <c r="L11">
        <v>2.9</v>
      </c>
      <c r="M11">
        <v>1.25</v>
      </c>
      <c r="N11">
        <v>4.0999999999999996</v>
      </c>
      <c r="O11">
        <v>8.82</v>
      </c>
      <c r="P11">
        <v>0</v>
      </c>
      <c r="Q11">
        <v>7.3</v>
      </c>
      <c r="R11">
        <v>8.9</v>
      </c>
      <c r="S11">
        <v>4.2</v>
      </c>
      <c r="T11" t="s">
        <v>10</v>
      </c>
      <c r="U11">
        <v>6.9</v>
      </c>
      <c r="V11">
        <v>5.3</v>
      </c>
      <c r="W11">
        <v>1.1000000000000001</v>
      </c>
      <c r="X11">
        <v>9.6999999999999993</v>
      </c>
      <c r="Y11">
        <v>5.2</v>
      </c>
      <c r="Z11">
        <v>6.6</v>
      </c>
      <c r="AA11">
        <v>4.5</v>
      </c>
      <c r="AB11" t="s">
        <v>44</v>
      </c>
      <c r="AC11" t="s">
        <v>39</v>
      </c>
      <c r="AD11" t="s">
        <v>22</v>
      </c>
      <c r="AE11" t="str">
        <f t="shared" si="0"/>
        <v>35-44</v>
      </c>
      <c r="AF11" t="str">
        <f t="shared" si="1"/>
        <v>Moderate Usage</v>
      </c>
      <c r="AG11" t="str">
        <f t="shared" si="2"/>
        <v>High Loneliness</v>
      </c>
    </row>
    <row r="12" spans="1:33" x14ac:dyDescent="0.3">
      <c r="A12" t="s">
        <v>49</v>
      </c>
      <c r="B12">
        <v>33</v>
      </c>
      <c r="C12" t="s">
        <v>32</v>
      </c>
      <c r="D12" t="s">
        <v>2</v>
      </c>
      <c r="E12" t="s">
        <v>37</v>
      </c>
      <c r="F12" t="s">
        <v>4</v>
      </c>
      <c r="G12" t="s">
        <v>5</v>
      </c>
      <c r="H12" t="s">
        <v>28</v>
      </c>
      <c r="I12" t="s">
        <v>19</v>
      </c>
      <c r="J12" t="s">
        <v>8</v>
      </c>
      <c r="K12" t="s">
        <v>1079</v>
      </c>
      <c r="L12">
        <v>4.22</v>
      </c>
      <c r="M12">
        <v>1.68</v>
      </c>
      <c r="N12">
        <v>4.93</v>
      </c>
      <c r="O12">
        <v>9.68</v>
      </c>
      <c r="P12">
        <v>1</v>
      </c>
      <c r="Q12">
        <v>6.6</v>
      </c>
      <c r="R12">
        <v>10</v>
      </c>
      <c r="S12">
        <v>3.3</v>
      </c>
      <c r="T12" t="s">
        <v>39</v>
      </c>
      <c r="U12">
        <v>5.0999999999999996</v>
      </c>
      <c r="V12">
        <v>1.2</v>
      </c>
      <c r="W12">
        <v>1.1000000000000001</v>
      </c>
      <c r="X12">
        <v>9.1999999999999993</v>
      </c>
      <c r="Y12">
        <v>8.3000000000000007</v>
      </c>
      <c r="Z12">
        <v>7.3</v>
      </c>
      <c r="AA12">
        <v>2</v>
      </c>
      <c r="AB12" t="s">
        <v>44</v>
      </c>
      <c r="AC12" t="s">
        <v>10</v>
      </c>
      <c r="AD12" t="s">
        <v>45</v>
      </c>
      <c r="AE12" t="str">
        <f t="shared" si="0"/>
        <v>25-34</v>
      </c>
      <c r="AF12" t="str">
        <f t="shared" si="1"/>
        <v>High Usage</v>
      </c>
      <c r="AG12" t="str">
        <f t="shared" si="2"/>
        <v>High Loneliness</v>
      </c>
    </row>
    <row r="13" spans="1:33" x14ac:dyDescent="0.3">
      <c r="A13" t="s">
        <v>50</v>
      </c>
      <c r="B13">
        <v>37</v>
      </c>
      <c r="C13" t="s">
        <v>32</v>
      </c>
      <c r="D13" t="s">
        <v>14</v>
      </c>
      <c r="E13" t="s">
        <v>37</v>
      </c>
      <c r="F13" t="s">
        <v>4</v>
      </c>
      <c r="G13" t="s">
        <v>5</v>
      </c>
      <c r="H13" t="s">
        <v>28</v>
      </c>
      <c r="I13" t="s">
        <v>29</v>
      </c>
      <c r="J13" t="s">
        <v>51</v>
      </c>
      <c r="K13" t="s">
        <v>1079</v>
      </c>
      <c r="L13">
        <v>2.4300000000000002</v>
      </c>
      <c r="M13">
        <v>4.01</v>
      </c>
      <c r="N13">
        <v>2.94</v>
      </c>
      <c r="O13">
        <v>5.08</v>
      </c>
      <c r="P13">
        <v>2</v>
      </c>
      <c r="Q13">
        <v>6.2</v>
      </c>
      <c r="R13">
        <v>4.7</v>
      </c>
      <c r="S13">
        <v>6.8</v>
      </c>
      <c r="T13" t="s">
        <v>10</v>
      </c>
      <c r="U13">
        <v>7.5</v>
      </c>
      <c r="V13">
        <v>6.1</v>
      </c>
      <c r="W13">
        <v>3.5</v>
      </c>
      <c r="X13">
        <v>5.8</v>
      </c>
      <c r="Y13">
        <v>3.6</v>
      </c>
      <c r="Z13">
        <v>7.1</v>
      </c>
      <c r="AA13">
        <v>5.2</v>
      </c>
      <c r="AB13" t="s">
        <v>11</v>
      </c>
      <c r="AC13" t="s">
        <v>10</v>
      </c>
      <c r="AD13" t="s">
        <v>12</v>
      </c>
      <c r="AE13" t="str">
        <f t="shared" si="0"/>
        <v>35-44</v>
      </c>
      <c r="AF13" t="str">
        <f t="shared" si="1"/>
        <v>Low Usage</v>
      </c>
      <c r="AG13" t="str">
        <f t="shared" si="2"/>
        <v>High Loneliness</v>
      </c>
    </row>
    <row r="14" spans="1:33" x14ac:dyDescent="0.3">
      <c r="A14" t="s">
        <v>52</v>
      </c>
      <c r="B14">
        <v>25</v>
      </c>
      <c r="C14" t="s">
        <v>32</v>
      </c>
      <c r="D14" t="s">
        <v>2</v>
      </c>
      <c r="E14" t="s">
        <v>3</v>
      </c>
      <c r="F14" t="s">
        <v>4</v>
      </c>
      <c r="G14" t="s">
        <v>43</v>
      </c>
      <c r="H14" t="s">
        <v>28</v>
      </c>
      <c r="I14" t="s">
        <v>19</v>
      </c>
      <c r="J14" t="s">
        <v>48</v>
      </c>
      <c r="K14" t="s">
        <v>53</v>
      </c>
      <c r="L14">
        <v>3.04</v>
      </c>
      <c r="M14">
        <v>2.25</v>
      </c>
      <c r="N14">
        <v>1.68</v>
      </c>
      <c r="O14">
        <v>5.77</v>
      </c>
      <c r="P14">
        <v>1</v>
      </c>
      <c r="Q14">
        <v>8</v>
      </c>
      <c r="R14">
        <v>8.3000000000000007</v>
      </c>
      <c r="S14">
        <v>3.6</v>
      </c>
      <c r="T14" t="s">
        <v>39</v>
      </c>
      <c r="U14">
        <v>6.1</v>
      </c>
      <c r="V14">
        <v>4.9000000000000004</v>
      </c>
      <c r="W14">
        <v>3.7</v>
      </c>
      <c r="X14">
        <v>6.9</v>
      </c>
      <c r="Y14">
        <v>9.4</v>
      </c>
      <c r="Z14">
        <v>7.9</v>
      </c>
      <c r="AA14">
        <v>4.9000000000000004</v>
      </c>
      <c r="AB14" t="s">
        <v>44</v>
      </c>
      <c r="AC14" t="s">
        <v>10</v>
      </c>
      <c r="AD14" t="s">
        <v>45</v>
      </c>
      <c r="AE14" t="str">
        <f t="shared" si="0"/>
        <v>25-34</v>
      </c>
      <c r="AF14" t="str">
        <f t="shared" si="1"/>
        <v>Moderate Usage</v>
      </c>
      <c r="AG14" t="str">
        <f t="shared" si="2"/>
        <v>High Loneliness</v>
      </c>
    </row>
    <row r="15" spans="1:33" x14ac:dyDescent="0.3">
      <c r="A15" t="s">
        <v>54</v>
      </c>
      <c r="B15">
        <v>25</v>
      </c>
      <c r="C15" t="s">
        <v>32</v>
      </c>
      <c r="D15" t="s">
        <v>41</v>
      </c>
      <c r="E15" t="s">
        <v>37</v>
      </c>
      <c r="F15" t="s">
        <v>16</v>
      </c>
      <c r="G15" t="s">
        <v>43</v>
      </c>
      <c r="H15" t="s">
        <v>28</v>
      </c>
      <c r="I15" t="s">
        <v>29</v>
      </c>
      <c r="J15" t="s">
        <v>38</v>
      </c>
      <c r="K15" t="s">
        <v>9</v>
      </c>
      <c r="L15">
        <v>1.36</v>
      </c>
      <c r="M15">
        <v>2.1</v>
      </c>
      <c r="N15">
        <v>1.75</v>
      </c>
      <c r="O15">
        <v>5.23</v>
      </c>
      <c r="P15">
        <v>3</v>
      </c>
      <c r="Q15">
        <v>7.2</v>
      </c>
      <c r="R15">
        <v>4.0999999999999996</v>
      </c>
      <c r="S15">
        <v>6.1</v>
      </c>
      <c r="T15" t="s">
        <v>10</v>
      </c>
      <c r="U15">
        <v>6.5</v>
      </c>
      <c r="V15">
        <v>6.3</v>
      </c>
      <c r="W15">
        <v>0.3</v>
      </c>
      <c r="X15">
        <v>5.5</v>
      </c>
      <c r="Y15">
        <v>4.5</v>
      </c>
      <c r="Z15">
        <v>6.7</v>
      </c>
      <c r="AA15">
        <v>6.9</v>
      </c>
      <c r="AB15" t="s">
        <v>11</v>
      </c>
      <c r="AC15" t="s">
        <v>10</v>
      </c>
      <c r="AD15" t="s">
        <v>45</v>
      </c>
      <c r="AE15" t="str">
        <f t="shared" si="0"/>
        <v>25-34</v>
      </c>
      <c r="AF15" t="str">
        <f t="shared" si="1"/>
        <v>Low Usage</v>
      </c>
      <c r="AG15" t="str">
        <f t="shared" si="2"/>
        <v>High Loneliness</v>
      </c>
    </row>
    <row r="16" spans="1:33" x14ac:dyDescent="0.3">
      <c r="A16" t="s">
        <v>55</v>
      </c>
      <c r="B16">
        <v>38</v>
      </c>
      <c r="C16" t="s">
        <v>32</v>
      </c>
      <c r="D16" t="s">
        <v>2</v>
      </c>
      <c r="E16" t="s">
        <v>3</v>
      </c>
      <c r="F16" t="s">
        <v>12</v>
      </c>
      <c r="G16" t="s">
        <v>17</v>
      </c>
      <c r="H16" t="s">
        <v>28</v>
      </c>
      <c r="I16" t="s">
        <v>19</v>
      </c>
      <c r="J16" t="s">
        <v>20</v>
      </c>
      <c r="K16" t="s">
        <v>53</v>
      </c>
      <c r="L16">
        <v>2.93</v>
      </c>
      <c r="M16">
        <v>2.64</v>
      </c>
      <c r="N16">
        <v>3.04</v>
      </c>
      <c r="O16">
        <v>8.09</v>
      </c>
      <c r="P16">
        <v>6</v>
      </c>
      <c r="Q16">
        <v>4.4000000000000004</v>
      </c>
      <c r="R16">
        <v>2.5</v>
      </c>
      <c r="S16">
        <v>3.6</v>
      </c>
      <c r="T16" t="s">
        <v>10</v>
      </c>
      <c r="U16">
        <v>8.1</v>
      </c>
      <c r="V16">
        <v>5.3</v>
      </c>
      <c r="W16">
        <v>4</v>
      </c>
      <c r="X16">
        <v>2.9</v>
      </c>
      <c r="Y16">
        <v>4.9000000000000004</v>
      </c>
      <c r="Z16">
        <v>5.7</v>
      </c>
      <c r="AA16">
        <v>5.5</v>
      </c>
      <c r="AB16" t="s">
        <v>21</v>
      </c>
      <c r="AC16" t="s">
        <v>10</v>
      </c>
      <c r="AD16" t="s">
        <v>22</v>
      </c>
      <c r="AE16" t="str">
        <f t="shared" si="0"/>
        <v>35-44</v>
      </c>
      <c r="AF16" t="str">
        <f t="shared" si="1"/>
        <v>Moderate Usage</v>
      </c>
      <c r="AG16" t="str">
        <f t="shared" si="2"/>
        <v>Moderate Loneliness</v>
      </c>
    </row>
    <row r="17" spans="1:33" x14ac:dyDescent="0.3">
      <c r="A17" t="s">
        <v>56</v>
      </c>
      <c r="B17">
        <v>35</v>
      </c>
      <c r="C17" t="s">
        <v>32</v>
      </c>
      <c r="D17" t="s">
        <v>47</v>
      </c>
      <c r="E17" t="s">
        <v>15</v>
      </c>
      <c r="F17" t="s">
        <v>4</v>
      </c>
      <c r="G17" t="s">
        <v>17</v>
      </c>
      <c r="H17" t="s">
        <v>6</v>
      </c>
      <c r="I17" t="s">
        <v>24</v>
      </c>
      <c r="J17" t="s">
        <v>48</v>
      </c>
      <c r="K17" t="s">
        <v>30</v>
      </c>
      <c r="L17">
        <v>0</v>
      </c>
      <c r="M17">
        <v>4.47</v>
      </c>
      <c r="N17">
        <v>2.23</v>
      </c>
      <c r="O17">
        <v>2.82</v>
      </c>
      <c r="P17">
        <v>5</v>
      </c>
      <c r="Q17">
        <v>3.7</v>
      </c>
      <c r="R17">
        <v>5.6</v>
      </c>
      <c r="S17">
        <v>8.4</v>
      </c>
      <c r="T17" t="s">
        <v>10</v>
      </c>
      <c r="U17">
        <v>8.1999999999999993</v>
      </c>
      <c r="V17">
        <v>6.7</v>
      </c>
      <c r="W17">
        <v>3.5</v>
      </c>
      <c r="X17">
        <v>2.9</v>
      </c>
      <c r="Y17">
        <v>3.7</v>
      </c>
      <c r="Z17">
        <v>2.6</v>
      </c>
      <c r="AA17">
        <v>6.8</v>
      </c>
      <c r="AB17" t="s">
        <v>11</v>
      </c>
      <c r="AC17" t="s">
        <v>10</v>
      </c>
      <c r="AD17" t="s">
        <v>12</v>
      </c>
      <c r="AE17" t="str">
        <f t="shared" si="0"/>
        <v>35-44</v>
      </c>
      <c r="AF17" t="str">
        <f t="shared" si="1"/>
        <v>Very Low Usage</v>
      </c>
      <c r="AG17" t="str">
        <f t="shared" si="2"/>
        <v>Moderate Loneliness</v>
      </c>
    </row>
    <row r="18" spans="1:33" x14ac:dyDescent="0.3">
      <c r="A18" t="s">
        <v>57</v>
      </c>
      <c r="B18">
        <v>18</v>
      </c>
      <c r="C18" t="s">
        <v>32</v>
      </c>
      <c r="D18" t="s">
        <v>58</v>
      </c>
      <c r="E18" t="s">
        <v>59</v>
      </c>
      <c r="F18" t="s">
        <v>4</v>
      </c>
      <c r="G18" t="s">
        <v>43</v>
      </c>
      <c r="H18" t="s">
        <v>18</v>
      </c>
      <c r="I18" t="s">
        <v>29</v>
      </c>
      <c r="J18" t="s">
        <v>20</v>
      </c>
      <c r="K18" t="s">
        <v>1079</v>
      </c>
      <c r="L18">
        <v>0</v>
      </c>
      <c r="M18">
        <v>7.42</v>
      </c>
      <c r="N18">
        <v>0</v>
      </c>
      <c r="O18">
        <v>1</v>
      </c>
      <c r="P18">
        <v>8</v>
      </c>
      <c r="Q18">
        <v>1</v>
      </c>
      <c r="R18">
        <v>1</v>
      </c>
      <c r="S18">
        <v>10</v>
      </c>
      <c r="T18" t="s">
        <v>10</v>
      </c>
      <c r="U18">
        <v>7.6</v>
      </c>
      <c r="V18">
        <v>9.6</v>
      </c>
      <c r="W18">
        <v>5.9</v>
      </c>
      <c r="X18">
        <v>1.3</v>
      </c>
      <c r="Y18">
        <v>1</v>
      </c>
      <c r="Z18">
        <v>2</v>
      </c>
      <c r="AA18">
        <v>10</v>
      </c>
      <c r="AB18" t="s">
        <v>11</v>
      </c>
      <c r="AC18" t="s">
        <v>10</v>
      </c>
      <c r="AD18" t="s">
        <v>12</v>
      </c>
      <c r="AE18" t="str">
        <f t="shared" si="0"/>
        <v>15-19</v>
      </c>
      <c r="AF18" t="str">
        <f t="shared" si="1"/>
        <v>Very Low Usage</v>
      </c>
      <c r="AG18" t="str">
        <f t="shared" si="2"/>
        <v>Low Loneliness</v>
      </c>
    </row>
    <row r="19" spans="1:33" x14ac:dyDescent="0.3">
      <c r="A19" t="s">
        <v>60</v>
      </c>
      <c r="B19">
        <v>22</v>
      </c>
      <c r="C19" t="s">
        <v>32</v>
      </c>
      <c r="D19" t="s">
        <v>14</v>
      </c>
      <c r="E19" t="s">
        <v>3</v>
      </c>
      <c r="F19" t="s">
        <v>12</v>
      </c>
      <c r="G19" t="s">
        <v>5</v>
      </c>
      <c r="H19" t="s">
        <v>6</v>
      </c>
      <c r="I19" t="s">
        <v>24</v>
      </c>
      <c r="J19" t="s">
        <v>48</v>
      </c>
      <c r="K19" t="s">
        <v>1079</v>
      </c>
      <c r="L19">
        <v>3.04</v>
      </c>
      <c r="M19">
        <v>4.9800000000000004</v>
      </c>
      <c r="N19">
        <v>3.87</v>
      </c>
      <c r="O19">
        <v>10.39</v>
      </c>
      <c r="P19">
        <v>4</v>
      </c>
      <c r="Q19">
        <v>7.5</v>
      </c>
      <c r="R19">
        <v>6.9</v>
      </c>
      <c r="S19">
        <v>7.3</v>
      </c>
      <c r="T19" t="s">
        <v>10</v>
      </c>
      <c r="U19">
        <v>6.9</v>
      </c>
      <c r="V19">
        <v>6.5</v>
      </c>
      <c r="W19">
        <v>4.4000000000000004</v>
      </c>
      <c r="X19">
        <v>5.7</v>
      </c>
      <c r="Y19">
        <v>5.3</v>
      </c>
      <c r="Z19">
        <v>7.7</v>
      </c>
      <c r="AA19">
        <v>6.2</v>
      </c>
      <c r="AB19" t="s">
        <v>21</v>
      </c>
      <c r="AC19" t="s">
        <v>10</v>
      </c>
      <c r="AD19" t="s">
        <v>45</v>
      </c>
      <c r="AE19" t="str">
        <f t="shared" si="0"/>
        <v>20-24</v>
      </c>
      <c r="AF19" t="str">
        <f t="shared" si="1"/>
        <v>Moderate Usage</v>
      </c>
      <c r="AG19" t="str">
        <f t="shared" si="2"/>
        <v>High Loneliness</v>
      </c>
    </row>
    <row r="20" spans="1:33" x14ac:dyDescent="0.3">
      <c r="A20" t="s">
        <v>61</v>
      </c>
      <c r="B20">
        <v>38</v>
      </c>
      <c r="C20" t="s">
        <v>1</v>
      </c>
      <c r="D20" t="s">
        <v>14</v>
      </c>
      <c r="E20" t="s">
        <v>59</v>
      </c>
      <c r="F20" t="s">
        <v>16</v>
      </c>
      <c r="G20" t="s">
        <v>5</v>
      </c>
      <c r="H20" t="s">
        <v>33</v>
      </c>
      <c r="I20" t="s">
        <v>24</v>
      </c>
      <c r="J20" t="s">
        <v>20</v>
      </c>
      <c r="K20" t="s">
        <v>30</v>
      </c>
      <c r="L20">
        <v>4.41</v>
      </c>
      <c r="M20">
        <v>2.5499999999999998</v>
      </c>
      <c r="N20">
        <v>3.4</v>
      </c>
      <c r="O20">
        <v>9.91</v>
      </c>
      <c r="P20">
        <v>1</v>
      </c>
      <c r="Q20">
        <v>8.3000000000000007</v>
      </c>
      <c r="R20">
        <v>7.5</v>
      </c>
      <c r="S20">
        <v>5.2</v>
      </c>
      <c r="T20" t="s">
        <v>39</v>
      </c>
      <c r="U20">
        <v>7.9</v>
      </c>
      <c r="V20">
        <v>2.2000000000000002</v>
      </c>
      <c r="W20">
        <v>0.7</v>
      </c>
      <c r="X20">
        <v>5.5</v>
      </c>
      <c r="Y20">
        <v>5.2</v>
      </c>
      <c r="Z20">
        <v>8.8000000000000007</v>
      </c>
      <c r="AA20">
        <v>5</v>
      </c>
      <c r="AB20" t="s">
        <v>44</v>
      </c>
      <c r="AC20" t="s">
        <v>10</v>
      </c>
      <c r="AD20" t="s">
        <v>45</v>
      </c>
      <c r="AE20" t="str">
        <f t="shared" si="0"/>
        <v>35-44</v>
      </c>
      <c r="AF20" t="str">
        <f t="shared" si="1"/>
        <v>High Usage</v>
      </c>
      <c r="AG20" t="str">
        <f t="shared" si="2"/>
        <v>High Loneliness</v>
      </c>
    </row>
    <row r="21" spans="1:33" x14ac:dyDescent="0.3">
      <c r="A21" t="s">
        <v>62</v>
      </c>
      <c r="B21">
        <v>17</v>
      </c>
      <c r="C21" t="s">
        <v>1</v>
      </c>
      <c r="D21" t="s">
        <v>2</v>
      </c>
      <c r="E21" t="s">
        <v>37</v>
      </c>
      <c r="F21" t="s">
        <v>4</v>
      </c>
      <c r="G21" t="s">
        <v>5</v>
      </c>
      <c r="H21" t="s">
        <v>28</v>
      </c>
      <c r="I21" t="s">
        <v>19</v>
      </c>
      <c r="J21" t="s">
        <v>8</v>
      </c>
      <c r="K21" t="s">
        <v>53</v>
      </c>
      <c r="L21">
        <v>0</v>
      </c>
      <c r="M21">
        <v>4.96</v>
      </c>
      <c r="N21">
        <v>1.86</v>
      </c>
      <c r="O21">
        <v>5.42</v>
      </c>
      <c r="P21">
        <v>4</v>
      </c>
      <c r="Q21">
        <v>1.9</v>
      </c>
      <c r="R21">
        <v>2</v>
      </c>
      <c r="S21">
        <v>8.8000000000000007</v>
      </c>
      <c r="T21" t="s">
        <v>10</v>
      </c>
      <c r="U21">
        <v>9.3000000000000007</v>
      </c>
      <c r="V21">
        <v>7.7</v>
      </c>
      <c r="W21">
        <v>6.1</v>
      </c>
      <c r="X21">
        <v>1</v>
      </c>
      <c r="Y21">
        <v>1</v>
      </c>
      <c r="Z21">
        <v>3.2</v>
      </c>
      <c r="AA21">
        <v>8.4</v>
      </c>
      <c r="AB21" t="s">
        <v>11</v>
      </c>
      <c r="AC21" t="s">
        <v>10</v>
      </c>
      <c r="AD21" t="s">
        <v>12</v>
      </c>
      <c r="AE21" t="str">
        <f t="shared" si="0"/>
        <v>15-19</v>
      </c>
      <c r="AF21" t="str">
        <f t="shared" si="1"/>
        <v>Very Low Usage</v>
      </c>
      <c r="AG21" t="str">
        <f t="shared" si="2"/>
        <v>Low Loneliness</v>
      </c>
    </row>
    <row r="22" spans="1:33" x14ac:dyDescent="0.3">
      <c r="A22" t="s">
        <v>63</v>
      </c>
      <c r="B22">
        <v>36</v>
      </c>
      <c r="C22" t="s">
        <v>1</v>
      </c>
      <c r="D22" t="s">
        <v>14</v>
      </c>
      <c r="E22" t="s">
        <v>37</v>
      </c>
      <c r="F22" t="s">
        <v>4</v>
      </c>
      <c r="G22" t="s">
        <v>5</v>
      </c>
      <c r="H22" t="s">
        <v>33</v>
      </c>
      <c r="I22" t="s">
        <v>29</v>
      </c>
      <c r="J22" t="s">
        <v>20</v>
      </c>
      <c r="K22" t="s">
        <v>30</v>
      </c>
      <c r="L22">
        <v>1.69</v>
      </c>
      <c r="M22">
        <v>3.64</v>
      </c>
      <c r="N22">
        <v>3.7</v>
      </c>
      <c r="O22">
        <v>8.89</v>
      </c>
      <c r="P22">
        <v>1</v>
      </c>
      <c r="Q22">
        <v>5.2</v>
      </c>
      <c r="R22">
        <v>5.6</v>
      </c>
      <c r="S22">
        <v>6</v>
      </c>
      <c r="T22" t="s">
        <v>10</v>
      </c>
      <c r="U22">
        <v>6.2</v>
      </c>
      <c r="V22">
        <v>7</v>
      </c>
      <c r="W22">
        <v>4.7</v>
      </c>
      <c r="X22">
        <v>3.6</v>
      </c>
      <c r="Y22">
        <v>1.7</v>
      </c>
      <c r="Z22">
        <v>5</v>
      </c>
      <c r="AA22">
        <v>5.2</v>
      </c>
      <c r="AB22" t="s">
        <v>21</v>
      </c>
      <c r="AC22" t="s">
        <v>10</v>
      </c>
      <c r="AD22" t="s">
        <v>12</v>
      </c>
      <c r="AE22" t="str">
        <f t="shared" si="0"/>
        <v>35-44</v>
      </c>
      <c r="AF22" t="str">
        <f t="shared" si="1"/>
        <v>Low Usage</v>
      </c>
      <c r="AG22" t="str">
        <f t="shared" si="2"/>
        <v>Moderate Loneliness</v>
      </c>
    </row>
    <row r="23" spans="1:33" x14ac:dyDescent="0.3">
      <c r="A23" t="s">
        <v>64</v>
      </c>
      <c r="B23">
        <v>35</v>
      </c>
      <c r="C23" t="s">
        <v>32</v>
      </c>
      <c r="D23" t="s">
        <v>47</v>
      </c>
      <c r="E23" t="s">
        <v>3</v>
      </c>
      <c r="F23" t="s">
        <v>12</v>
      </c>
      <c r="G23" t="s">
        <v>43</v>
      </c>
      <c r="H23" t="s">
        <v>28</v>
      </c>
      <c r="I23" t="s">
        <v>24</v>
      </c>
      <c r="J23" t="s">
        <v>20</v>
      </c>
      <c r="K23" t="s">
        <v>25</v>
      </c>
      <c r="L23">
        <v>2.56</v>
      </c>
      <c r="M23">
        <v>1.86</v>
      </c>
      <c r="N23">
        <v>3.77</v>
      </c>
      <c r="O23">
        <v>9.06</v>
      </c>
      <c r="P23">
        <v>3</v>
      </c>
      <c r="Q23">
        <v>5.8</v>
      </c>
      <c r="R23">
        <v>7.2</v>
      </c>
      <c r="S23">
        <v>5.6</v>
      </c>
      <c r="T23" t="s">
        <v>39</v>
      </c>
      <c r="U23">
        <v>7.7</v>
      </c>
      <c r="V23">
        <v>5.4</v>
      </c>
      <c r="W23">
        <v>3.7</v>
      </c>
      <c r="X23">
        <v>6.4</v>
      </c>
      <c r="Y23">
        <v>6.7</v>
      </c>
      <c r="Z23">
        <v>6.7</v>
      </c>
      <c r="AA23">
        <v>6.1</v>
      </c>
      <c r="AB23" t="s">
        <v>21</v>
      </c>
      <c r="AC23" t="s">
        <v>10</v>
      </c>
      <c r="AD23" t="s">
        <v>45</v>
      </c>
      <c r="AE23" t="str">
        <f t="shared" si="0"/>
        <v>35-44</v>
      </c>
      <c r="AF23" t="str">
        <f t="shared" si="1"/>
        <v>Moderate Usage</v>
      </c>
      <c r="AG23" t="str">
        <f t="shared" si="2"/>
        <v>Moderate Loneliness</v>
      </c>
    </row>
    <row r="24" spans="1:33" x14ac:dyDescent="0.3">
      <c r="A24" t="s">
        <v>65</v>
      </c>
      <c r="B24">
        <v>16</v>
      </c>
      <c r="C24" t="s">
        <v>32</v>
      </c>
      <c r="D24" t="s">
        <v>58</v>
      </c>
      <c r="E24" t="s">
        <v>37</v>
      </c>
      <c r="F24" t="s">
        <v>4</v>
      </c>
      <c r="G24" t="s">
        <v>66</v>
      </c>
      <c r="H24" t="s">
        <v>33</v>
      </c>
      <c r="I24" t="s">
        <v>35</v>
      </c>
      <c r="J24" t="s">
        <v>51</v>
      </c>
      <c r="K24" t="s">
        <v>25</v>
      </c>
      <c r="L24">
        <v>1.47</v>
      </c>
      <c r="M24">
        <v>5.18</v>
      </c>
      <c r="N24">
        <v>2.7</v>
      </c>
      <c r="O24">
        <v>6.23</v>
      </c>
      <c r="P24">
        <v>6</v>
      </c>
      <c r="Q24">
        <v>5.0999999999999996</v>
      </c>
      <c r="R24">
        <v>4.0999999999999996</v>
      </c>
      <c r="S24">
        <v>3.8</v>
      </c>
      <c r="T24" t="s">
        <v>10</v>
      </c>
      <c r="U24">
        <v>8.1</v>
      </c>
      <c r="V24">
        <v>5.2</v>
      </c>
      <c r="W24">
        <v>5.5</v>
      </c>
      <c r="X24">
        <v>2.8</v>
      </c>
      <c r="Y24">
        <v>6.7</v>
      </c>
      <c r="Z24">
        <v>5</v>
      </c>
      <c r="AA24">
        <v>7.4</v>
      </c>
      <c r="AB24" t="s">
        <v>21</v>
      </c>
      <c r="AC24" t="s">
        <v>39</v>
      </c>
      <c r="AD24" t="s">
        <v>22</v>
      </c>
      <c r="AE24" t="str">
        <f t="shared" si="0"/>
        <v>15-19</v>
      </c>
      <c r="AF24" t="str">
        <f t="shared" si="1"/>
        <v>Low Usage</v>
      </c>
      <c r="AG24" t="str">
        <f t="shared" si="2"/>
        <v>Moderate Loneliness</v>
      </c>
    </row>
    <row r="25" spans="1:33" x14ac:dyDescent="0.3">
      <c r="A25" t="s">
        <v>67</v>
      </c>
      <c r="B25">
        <v>38</v>
      </c>
      <c r="C25" t="s">
        <v>32</v>
      </c>
      <c r="D25" t="s">
        <v>14</v>
      </c>
      <c r="E25" t="s">
        <v>15</v>
      </c>
      <c r="F25" t="s">
        <v>4</v>
      </c>
      <c r="G25" t="s">
        <v>5</v>
      </c>
      <c r="H25" t="s">
        <v>28</v>
      </c>
      <c r="I25" t="s">
        <v>29</v>
      </c>
      <c r="J25" t="s">
        <v>48</v>
      </c>
      <c r="K25" t="s">
        <v>53</v>
      </c>
      <c r="L25">
        <v>3.15</v>
      </c>
      <c r="M25">
        <v>4.83</v>
      </c>
      <c r="N25">
        <v>3.08</v>
      </c>
      <c r="O25">
        <v>7.84</v>
      </c>
      <c r="P25">
        <v>4</v>
      </c>
      <c r="Q25">
        <v>8.6</v>
      </c>
      <c r="R25">
        <v>8.8000000000000007</v>
      </c>
      <c r="S25">
        <v>3.4</v>
      </c>
      <c r="T25" t="s">
        <v>39</v>
      </c>
      <c r="U25">
        <v>5.2</v>
      </c>
      <c r="V25">
        <v>5.0999999999999996</v>
      </c>
      <c r="W25">
        <v>3.4</v>
      </c>
      <c r="X25">
        <v>8.6</v>
      </c>
      <c r="Y25">
        <v>6.7</v>
      </c>
      <c r="Z25">
        <v>5.0999999999999996</v>
      </c>
      <c r="AA25">
        <v>2.8</v>
      </c>
      <c r="AB25" t="s">
        <v>44</v>
      </c>
      <c r="AC25" t="s">
        <v>10</v>
      </c>
      <c r="AD25" t="s">
        <v>45</v>
      </c>
      <c r="AE25" t="str">
        <f t="shared" si="0"/>
        <v>35-44</v>
      </c>
      <c r="AF25" t="str">
        <f t="shared" si="1"/>
        <v>Moderate Usage</v>
      </c>
      <c r="AG25" t="str">
        <f t="shared" si="2"/>
        <v>High Loneliness</v>
      </c>
    </row>
    <row r="26" spans="1:33" x14ac:dyDescent="0.3">
      <c r="A26" t="s">
        <v>68</v>
      </c>
      <c r="B26">
        <v>26</v>
      </c>
      <c r="C26" t="s">
        <v>1</v>
      </c>
      <c r="D26" t="s">
        <v>14</v>
      </c>
      <c r="E26" t="s">
        <v>15</v>
      </c>
      <c r="F26" t="s">
        <v>16</v>
      </c>
      <c r="G26" t="s">
        <v>17</v>
      </c>
      <c r="H26" t="s">
        <v>6</v>
      </c>
      <c r="I26" t="s">
        <v>29</v>
      </c>
      <c r="J26" t="s">
        <v>48</v>
      </c>
      <c r="K26" t="s">
        <v>9</v>
      </c>
      <c r="L26">
        <v>0.71</v>
      </c>
      <c r="M26">
        <v>3.46</v>
      </c>
      <c r="N26">
        <v>3.25</v>
      </c>
      <c r="O26">
        <v>6.68</v>
      </c>
      <c r="P26">
        <v>3</v>
      </c>
      <c r="Q26">
        <v>7.4</v>
      </c>
      <c r="R26">
        <v>3.7</v>
      </c>
      <c r="S26">
        <v>8.5</v>
      </c>
      <c r="T26" t="s">
        <v>10</v>
      </c>
      <c r="U26">
        <v>7.3</v>
      </c>
      <c r="V26">
        <v>7</v>
      </c>
      <c r="W26">
        <v>5.2</v>
      </c>
      <c r="X26">
        <v>4.5</v>
      </c>
      <c r="Y26">
        <v>4.0999999999999996</v>
      </c>
      <c r="Z26">
        <v>5.5</v>
      </c>
      <c r="AA26">
        <v>6.1</v>
      </c>
      <c r="AB26" t="s">
        <v>21</v>
      </c>
      <c r="AC26" t="s">
        <v>10</v>
      </c>
      <c r="AD26" t="s">
        <v>12</v>
      </c>
      <c r="AE26" t="str">
        <f t="shared" si="0"/>
        <v>25-34</v>
      </c>
      <c r="AF26" t="str">
        <f t="shared" si="1"/>
        <v>Very Low Usage</v>
      </c>
      <c r="AG26" t="str">
        <f t="shared" si="2"/>
        <v>High Loneliness</v>
      </c>
    </row>
    <row r="27" spans="1:33" x14ac:dyDescent="0.3">
      <c r="A27" t="s">
        <v>69</v>
      </c>
      <c r="B27">
        <v>44</v>
      </c>
      <c r="C27" t="s">
        <v>1</v>
      </c>
      <c r="D27" t="s">
        <v>47</v>
      </c>
      <c r="E27" t="s">
        <v>3</v>
      </c>
      <c r="F27" t="s">
        <v>12</v>
      </c>
      <c r="G27" t="s">
        <v>43</v>
      </c>
      <c r="H27" t="s">
        <v>28</v>
      </c>
      <c r="I27" t="s">
        <v>29</v>
      </c>
      <c r="J27" t="s">
        <v>8</v>
      </c>
      <c r="K27" t="s">
        <v>30</v>
      </c>
      <c r="L27">
        <v>0.56999999999999995</v>
      </c>
      <c r="M27">
        <v>3.39</v>
      </c>
      <c r="N27">
        <v>2.19</v>
      </c>
      <c r="O27">
        <v>4.5999999999999996</v>
      </c>
      <c r="P27">
        <v>7</v>
      </c>
      <c r="Q27">
        <v>4.4000000000000004</v>
      </c>
      <c r="R27">
        <v>5.0999999999999996</v>
      </c>
      <c r="S27">
        <v>8.1</v>
      </c>
      <c r="T27" t="s">
        <v>10</v>
      </c>
      <c r="U27">
        <v>7.8</v>
      </c>
      <c r="V27">
        <v>8.1</v>
      </c>
      <c r="W27">
        <v>3.3</v>
      </c>
      <c r="X27">
        <v>1.8</v>
      </c>
      <c r="Y27">
        <v>1</v>
      </c>
      <c r="Z27">
        <v>3.5</v>
      </c>
      <c r="AA27">
        <v>7.1</v>
      </c>
      <c r="AB27" t="s">
        <v>21</v>
      </c>
      <c r="AC27" t="s">
        <v>10</v>
      </c>
      <c r="AD27" t="s">
        <v>12</v>
      </c>
      <c r="AE27" t="str">
        <f t="shared" si="0"/>
        <v>35-44</v>
      </c>
      <c r="AF27" t="str">
        <f t="shared" si="1"/>
        <v>Very Low Usage</v>
      </c>
      <c r="AG27" t="str">
        <f t="shared" si="2"/>
        <v>Moderate Loneliness</v>
      </c>
    </row>
    <row r="28" spans="1:33" x14ac:dyDescent="0.3">
      <c r="A28" t="s">
        <v>70</v>
      </c>
      <c r="B28">
        <v>20</v>
      </c>
      <c r="C28" t="s">
        <v>1</v>
      </c>
      <c r="D28" t="s">
        <v>14</v>
      </c>
      <c r="E28" t="s">
        <v>3</v>
      </c>
      <c r="F28" t="s">
        <v>4</v>
      </c>
      <c r="G28" t="s">
        <v>17</v>
      </c>
      <c r="H28" t="s">
        <v>28</v>
      </c>
      <c r="I28" t="s">
        <v>24</v>
      </c>
      <c r="J28" t="s">
        <v>48</v>
      </c>
      <c r="K28" t="s">
        <v>9</v>
      </c>
      <c r="L28">
        <v>2.4300000000000002</v>
      </c>
      <c r="M28">
        <v>3.63</v>
      </c>
      <c r="N28">
        <v>3.46</v>
      </c>
      <c r="O28">
        <v>7.3</v>
      </c>
      <c r="P28">
        <v>5</v>
      </c>
      <c r="Q28">
        <v>8.5</v>
      </c>
      <c r="R28">
        <v>6.7</v>
      </c>
      <c r="S28">
        <v>2.4</v>
      </c>
      <c r="T28" t="s">
        <v>39</v>
      </c>
      <c r="U28">
        <v>5.2</v>
      </c>
      <c r="V28">
        <v>4.3</v>
      </c>
      <c r="W28">
        <v>4.5</v>
      </c>
      <c r="X28">
        <v>8.8000000000000007</v>
      </c>
      <c r="Y28">
        <v>5.6</v>
      </c>
      <c r="Z28">
        <v>9.8000000000000007</v>
      </c>
      <c r="AA28">
        <v>3.5</v>
      </c>
      <c r="AB28" t="s">
        <v>44</v>
      </c>
      <c r="AC28" t="s">
        <v>39</v>
      </c>
      <c r="AD28" t="s">
        <v>45</v>
      </c>
      <c r="AE28" t="str">
        <f t="shared" si="0"/>
        <v>20-24</v>
      </c>
      <c r="AF28" t="str">
        <f t="shared" si="1"/>
        <v>Low Usage</v>
      </c>
      <c r="AG28" t="str">
        <f t="shared" si="2"/>
        <v>High Loneliness</v>
      </c>
    </row>
    <row r="29" spans="1:33" x14ac:dyDescent="0.3">
      <c r="A29" t="s">
        <v>71</v>
      </c>
      <c r="B29">
        <v>16</v>
      </c>
      <c r="C29" t="s">
        <v>1</v>
      </c>
      <c r="D29" t="s">
        <v>47</v>
      </c>
      <c r="E29" t="s">
        <v>37</v>
      </c>
      <c r="F29" t="s">
        <v>4</v>
      </c>
      <c r="G29" t="s">
        <v>17</v>
      </c>
      <c r="H29" t="s">
        <v>6</v>
      </c>
      <c r="I29" t="s">
        <v>29</v>
      </c>
      <c r="J29" t="s">
        <v>20</v>
      </c>
      <c r="K29" t="s">
        <v>1079</v>
      </c>
      <c r="L29">
        <v>0.3</v>
      </c>
      <c r="M29">
        <v>5.35</v>
      </c>
      <c r="N29">
        <v>0.35</v>
      </c>
      <c r="O29">
        <v>1</v>
      </c>
      <c r="P29">
        <v>6</v>
      </c>
      <c r="Q29">
        <v>3.5</v>
      </c>
      <c r="R29">
        <v>2.4</v>
      </c>
      <c r="S29">
        <v>8.3000000000000007</v>
      </c>
      <c r="T29" t="s">
        <v>10</v>
      </c>
      <c r="U29">
        <v>8.3000000000000007</v>
      </c>
      <c r="V29">
        <v>8.6999999999999993</v>
      </c>
      <c r="W29">
        <v>3.3</v>
      </c>
      <c r="X29">
        <v>2.6</v>
      </c>
      <c r="Y29">
        <v>3.1</v>
      </c>
      <c r="Z29">
        <v>3.1</v>
      </c>
      <c r="AA29">
        <v>7.4</v>
      </c>
      <c r="AB29" t="s">
        <v>11</v>
      </c>
      <c r="AC29" t="s">
        <v>39</v>
      </c>
      <c r="AD29" t="s">
        <v>12</v>
      </c>
      <c r="AE29" t="str">
        <f t="shared" si="0"/>
        <v>15-19</v>
      </c>
      <c r="AF29" t="str">
        <f t="shared" si="1"/>
        <v>Very Low Usage</v>
      </c>
      <c r="AG29" t="str">
        <f t="shared" si="2"/>
        <v>Moderate Loneliness</v>
      </c>
    </row>
    <row r="30" spans="1:33" x14ac:dyDescent="0.3">
      <c r="A30" t="s">
        <v>72</v>
      </c>
      <c r="B30">
        <v>42</v>
      </c>
      <c r="C30" t="s">
        <v>32</v>
      </c>
      <c r="D30" t="s">
        <v>2</v>
      </c>
      <c r="E30" t="s">
        <v>37</v>
      </c>
      <c r="F30" t="s">
        <v>16</v>
      </c>
      <c r="G30" t="s">
        <v>43</v>
      </c>
      <c r="H30" t="s">
        <v>28</v>
      </c>
      <c r="I30" t="s">
        <v>19</v>
      </c>
      <c r="J30" t="s">
        <v>51</v>
      </c>
      <c r="K30" t="s">
        <v>1079</v>
      </c>
      <c r="L30">
        <v>0.69</v>
      </c>
      <c r="M30">
        <v>5.13</v>
      </c>
      <c r="N30">
        <v>1.29</v>
      </c>
      <c r="O30">
        <v>3.89</v>
      </c>
      <c r="P30">
        <v>7</v>
      </c>
      <c r="Q30">
        <v>2.6</v>
      </c>
      <c r="R30">
        <v>3.5</v>
      </c>
      <c r="S30">
        <v>6.2</v>
      </c>
      <c r="T30" t="s">
        <v>10</v>
      </c>
      <c r="U30">
        <v>9.6999999999999993</v>
      </c>
      <c r="V30">
        <v>8.4</v>
      </c>
      <c r="W30">
        <v>5.4</v>
      </c>
      <c r="X30">
        <v>3.7</v>
      </c>
      <c r="Y30">
        <v>1</v>
      </c>
      <c r="Z30">
        <v>4</v>
      </c>
      <c r="AA30">
        <v>8.9</v>
      </c>
      <c r="AB30" t="s">
        <v>11</v>
      </c>
      <c r="AC30" t="s">
        <v>10</v>
      </c>
      <c r="AD30" t="s">
        <v>12</v>
      </c>
      <c r="AE30" t="str">
        <f t="shared" si="0"/>
        <v>35-44</v>
      </c>
      <c r="AF30" t="str">
        <f t="shared" si="1"/>
        <v>Very Low Usage</v>
      </c>
      <c r="AG30" t="str">
        <f t="shared" si="2"/>
        <v>Low Loneliness</v>
      </c>
    </row>
    <row r="31" spans="1:33" x14ac:dyDescent="0.3">
      <c r="A31" t="s">
        <v>73</v>
      </c>
      <c r="B31">
        <v>35</v>
      </c>
      <c r="C31" t="s">
        <v>1</v>
      </c>
      <c r="D31" t="s">
        <v>2</v>
      </c>
      <c r="E31" t="s">
        <v>3</v>
      </c>
      <c r="F31" t="s">
        <v>4</v>
      </c>
      <c r="G31" t="s">
        <v>17</v>
      </c>
      <c r="H31" t="s">
        <v>33</v>
      </c>
      <c r="I31" t="s">
        <v>24</v>
      </c>
      <c r="J31" t="s">
        <v>38</v>
      </c>
      <c r="K31" t="s">
        <v>9</v>
      </c>
      <c r="L31">
        <v>1.64</v>
      </c>
      <c r="M31">
        <v>6.57</v>
      </c>
      <c r="N31">
        <v>0.49</v>
      </c>
      <c r="O31">
        <v>5.23</v>
      </c>
      <c r="P31">
        <v>7</v>
      </c>
      <c r="Q31">
        <v>4.5</v>
      </c>
      <c r="R31">
        <v>1</v>
      </c>
      <c r="S31">
        <v>7.3</v>
      </c>
      <c r="T31" t="s">
        <v>10</v>
      </c>
      <c r="U31">
        <v>8.9</v>
      </c>
      <c r="V31">
        <v>8.6999999999999993</v>
      </c>
      <c r="W31">
        <v>4.0999999999999996</v>
      </c>
      <c r="X31">
        <v>3.1</v>
      </c>
      <c r="Y31">
        <v>1.2</v>
      </c>
      <c r="Z31">
        <v>3.7</v>
      </c>
      <c r="AA31">
        <v>8.3000000000000007</v>
      </c>
      <c r="AB31" t="s">
        <v>21</v>
      </c>
      <c r="AC31" t="s">
        <v>10</v>
      </c>
      <c r="AD31" t="s">
        <v>12</v>
      </c>
      <c r="AE31" t="str">
        <f t="shared" si="0"/>
        <v>35-44</v>
      </c>
      <c r="AF31" t="str">
        <f t="shared" si="1"/>
        <v>Low Usage</v>
      </c>
      <c r="AG31" t="str">
        <f t="shared" si="2"/>
        <v>Moderate Loneliness</v>
      </c>
    </row>
    <row r="32" spans="1:33" x14ac:dyDescent="0.3">
      <c r="A32" t="s">
        <v>74</v>
      </c>
      <c r="B32">
        <v>15</v>
      </c>
      <c r="C32" t="s">
        <v>1</v>
      </c>
      <c r="D32" t="s">
        <v>14</v>
      </c>
      <c r="E32" t="s">
        <v>37</v>
      </c>
      <c r="F32" t="s">
        <v>16</v>
      </c>
      <c r="G32" t="s">
        <v>17</v>
      </c>
      <c r="H32" t="s">
        <v>33</v>
      </c>
      <c r="I32" t="s">
        <v>19</v>
      </c>
      <c r="J32" t="s">
        <v>8</v>
      </c>
      <c r="K32" t="s">
        <v>9</v>
      </c>
      <c r="L32">
        <v>0</v>
      </c>
      <c r="M32">
        <v>3.89</v>
      </c>
      <c r="N32">
        <v>2.12</v>
      </c>
      <c r="O32">
        <v>5.38</v>
      </c>
      <c r="P32">
        <v>5</v>
      </c>
      <c r="Q32">
        <v>2.4</v>
      </c>
      <c r="R32">
        <v>3.4</v>
      </c>
      <c r="S32">
        <v>8.6999999999999993</v>
      </c>
      <c r="T32" t="s">
        <v>10</v>
      </c>
      <c r="U32">
        <v>7.9</v>
      </c>
      <c r="V32">
        <v>8.8000000000000007</v>
      </c>
      <c r="W32">
        <v>2.8</v>
      </c>
      <c r="X32">
        <v>2.7</v>
      </c>
      <c r="Y32">
        <v>2.2999999999999998</v>
      </c>
      <c r="Z32">
        <v>2.2000000000000002</v>
      </c>
      <c r="AA32">
        <v>10</v>
      </c>
      <c r="AB32" t="s">
        <v>11</v>
      </c>
      <c r="AC32" t="s">
        <v>10</v>
      </c>
      <c r="AD32" t="s">
        <v>12</v>
      </c>
      <c r="AE32" t="str">
        <f t="shared" si="0"/>
        <v>15-19</v>
      </c>
      <c r="AF32" t="str">
        <f t="shared" si="1"/>
        <v>Very Low Usage</v>
      </c>
      <c r="AG32" t="str">
        <f t="shared" si="2"/>
        <v>Low Loneliness</v>
      </c>
    </row>
    <row r="33" spans="1:33" x14ac:dyDescent="0.3">
      <c r="A33" t="s">
        <v>75</v>
      </c>
      <c r="B33">
        <v>26</v>
      </c>
      <c r="C33" t="s">
        <v>32</v>
      </c>
      <c r="D33" t="s">
        <v>2</v>
      </c>
      <c r="E33" t="s">
        <v>15</v>
      </c>
      <c r="F33" t="s">
        <v>16</v>
      </c>
      <c r="G33" t="s">
        <v>17</v>
      </c>
      <c r="H33" t="s">
        <v>6</v>
      </c>
      <c r="I33" t="s">
        <v>19</v>
      </c>
      <c r="J33" t="s">
        <v>51</v>
      </c>
      <c r="K33" t="s">
        <v>1079</v>
      </c>
      <c r="L33">
        <v>1.55</v>
      </c>
      <c r="M33">
        <v>2.44</v>
      </c>
      <c r="N33">
        <v>3.87</v>
      </c>
      <c r="O33">
        <v>7.48</v>
      </c>
      <c r="P33">
        <v>3</v>
      </c>
      <c r="Q33">
        <v>5.0999999999999996</v>
      </c>
      <c r="R33">
        <v>5.4</v>
      </c>
      <c r="S33">
        <v>6.4</v>
      </c>
      <c r="T33" t="s">
        <v>10</v>
      </c>
      <c r="U33">
        <v>6.6</v>
      </c>
      <c r="V33">
        <v>6.1</v>
      </c>
      <c r="W33">
        <v>3</v>
      </c>
      <c r="X33">
        <v>4.4000000000000004</v>
      </c>
      <c r="Y33">
        <v>5.3</v>
      </c>
      <c r="Z33">
        <v>5.8</v>
      </c>
      <c r="AA33">
        <v>7.3</v>
      </c>
      <c r="AB33" t="s">
        <v>21</v>
      </c>
      <c r="AC33" t="s">
        <v>10</v>
      </c>
      <c r="AD33" t="s">
        <v>22</v>
      </c>
      <c r="AE33" t="str">
        <f t="shared" si="0"/>
        <v>25-34</v>
      </c>
      <c r="AF33" t="str">
        <f t="shared" si="1"/>
        <v>Low Usage</v>
      </c>
      <c r="AG33" t="str">
        <f t="shared" si="2"/>
        <v>Moderate Loneliness</v>
      </c>
    </row>
    <row r="34" spans="1:33" x14ac:dyDescent="0.3">
      <c r="A34" t="s">
        <v>76</v>
      </c>
      <c r="B34">
        <v>40</v>
      </c>
      <c r="C34" t="s">
        <v>1</v>
      </c>
      <c r="D34" t="s">
        <v>2</v>
      </c>
      <c r="E34" t="s">
        <v>59</v>
      </c>
      <c r="F34" t="s">
        <v>16</v>
      </c>
      <c r="G34" t="s">
        <v>43</v>
      </c>
      <c r="H34" t="s">
        <v>6</v>
      </c>
      <c r="I34" t="s">
        <v>19</v>
      </c>
      <c r="J34" t="s">
        <v>8</v>
      </c>
      <c r="K34" t="s">
        <v>53</v>
      </c>
      <c r="L34">
        <v>1.84</v>
      </c>
      <c r="M34">
        <v>4.4000000000000004</v>
      </c>
      <c r="N34">
        <v>2.9</v>
      </c>
      <c r="O34">
        <v>5.86</v>
      </c>
      <c r="P34">
        <v>2</v>
      </c>
      <c r="Q34">
        <v>3.7</v>
      </c>
      <c r="R34">
        <v>7.2</v>
      </c>
      <c r="S34">
        <v>8</v>
      </c>
      <c r="T34" t="s">
        <v>10</v>
      </c>
      <c r="U34">
        <v>7.7</v>
      </c>
      <c r="V34">
        <v>7.3</v>
      </c>
      <c r="W34">
        <v>4.4000000000000004</v>
      </c>
      <c r="X34">
        <v>3.9</v>
      </c>
      <c r="Y34">
        <v>2.8</v>
      </c>
      <c r="Z34">
        <v>4.5</v>
      </c>
      <c r="AA34">
        <v>7.1</v>
      </c>
      <c r="AB34" t="s">
        <v>21</v>
      </c>
      <c r="AC34" t="s">
        <v>10</v>
      </c>
      <c r="AD34" t="s">
        <v>12</v>
      </c>
      <c r="AE34" t="str">
        <f t="shared" si="0"/>
        <v>35-44</v>
      </c>
      <c r="AF34" t="str">
        <f t="shared" si="1"/>
        <v>Low Usage</v>
      </c>
      <c r="AG34" t="str">
        <f t="shared" si="2"/>
        <v>Moderate Loneliness</v>
      </c>
    </row>
    <row r="35" spans="1:33" x14ac:dyDescent="0.3">
      <c r="A35" t="s">
        <v>77</v>
      </c>
      <c r="B35">
        <v>36</v>
      </c>
      <c r="C35" t="s">
        <v>32</v>
      </c>
      <c r="D35" t="s">
        <v>2</v>
      </c>
      <c r="E35" t="s">
        <v>37</v>
      </c>
      <c r="F35" t="s">
        <v>4</v>
      </c>
      <c r="G35" t="s">
        <v>5</v>
      </c>
      <c r="H35" t="s">
        <v>6</v>
      </c>
      <c r="I35" t="s">
        <v>19</v>
      </c>
      <c r="J35" t="s">
        <v>8</v>
      </c>
      <c r="K35" t="s">
        <v>1079</v>
      </c>
      <c r="L35">
        <v>3.58</v>
      </c>
      <c r="M35">
        <v>3.53</v>
      </c>
      <c r="N35">
        <v>5.47</v>
      </c>
      <c r="O35">
        <v>11.96</v>
      </c>
      <c r="P35">
        <v>3</v>
      </c>
      <c r="Q35">
        <v>6</v>
      </c>
      <c r="R35">
        <v>8.1999999999999993</v>
      </c>
      <c r="S35">
        <v>6.6</v>
      </c>
      <c r="T35" t="s">
        <v>39</v>
      </c>
      <c r="U35">
        <v>5.8</v>
      </c>
      <c r="V35">
        <v>5.9</v>
      </c>
      <c r="W35">
        <v>5.5</v>
      </c>
      <c r="X35">
        <v>5.3</v>
      </c>
      <c r="Y35">
        <v>5.2</v>
      </c>
      <c r="Z35">
        <v>7.1</v>
      </c>
      <c r="AA35">
        <v>6.8</v>
      </c>
      <c r="AB35" t="s">
        <v>21</v>
      </c>
      <c r="AC35" t="s">
        <v>10</v>
      </c>
      <c r="AD35" t="s">
        <v>22</v>
      </c>
      <c r="AE35" t="str">
        <f t="shared" si="0"/>
        <v>35-44</v>
      </c>
      <c r="AF35" t="str">
        <f t="shared" si="1"/>
        <v>Moderate Usage</v>
      </c>
      <c r="AG35" t="str">
        <f t="shared" si="2"/>
        <v>Moderate Loneliness</v>
      </c>
    </row>
    <row r="36" spans="1:33" x14ac:dyDescent="0.3">
      <c r="A36" t="s">
        <v>78</v>
      </c>
      <c r="B36">
        <v>43</v>
      </c>
      <c r="C36" t="s">
        <v>32</v>
      </c>
      <c r="D36" t="s">
        <v>14</v>
      </c>
      <c r="E36" t="s">
        <v>59</v>
      </c>
      <c r="F36" t="s">
        <v>4</v>
      </c>
      <c r="G36" t="s">
        <v>5</v>
      </c>
      <c r="H36" t="s">
        <v>28</v>
      </c>
      <c r="I36" t="s">
        <v>29</v>
      </c>
      <c r="J36" t="s">
        <v>20</v>
      </c>
      <c r="K36" t="s">
        <v>1079</v>
      </c>
      <c r="L36">
        <v>0</v>
      </c>
      <c r="M36">
        <v>5.55</v>
      </c>
      <c r="N36">
        <v>0.3</v>
      </c>
      <c r="O36">
        <v>2.29</v>
      </c>
      <c r="P36">
        <v>6</v>
      </c>
      <c r="Q36">
        <v>1</v>
      </c>
      <c r="R36">
        <v>1</v>
      </c>
      <c r="S36">
        <v>7.9</v>
      </c>
      <c r="T36" t="s">
        <v>10</v>
      </c>
      <c r="U36">
        <v>7.8</v>
      </c>
      <c r="V36">
        <v>10</v>
      </c>
      <c r="W36">
        <v>8.8000000000000007</v>
      </c>
      <c r="X36">
        <v>1.5</v>
      </c>
      <c r="Y36">
        <v>1</v>
      </c>
      <c r="Z36">
        <v>2.9</v>
      </c>
      <c r="AA36">
        <v>9.6999999999999993</v>
      </c>
      <c r="AB36" t="s">
        <v>11</v>
      </c>
      <c r="AC36" t="s">
        <v>10</v>
      </c>
      <c r="AD36" t="s">
        <v>12</v>
      </c>
      <c r="AE36" t="str">
        <f t="shared" si="0"/>
        <v>35-44</v>
      </c>
      <c r="AF36" t="str">
        <f t="shared" si="1"/>
        <v>Very Low Usage</v>
      </c>
      <c r="AG36" t="str">
        <f t="shared" si="2"/>
        <v>Low Loneliness</v>
      </c>
    </row>
    <row r="37" spans="1:33" x14ac:dyDescent="0.3">
      <c r="A37" t="s">
        <v>79</v>
      </c>
      <c r="B37">
        <v>26</v>
      </c>
      <c r="C37" t="s">
        <v>1</v>
      </c>
      <c r="D37" t="s">
        <v>47</v>
      </c>
      <c r="E37" t="s">
        <v>37</v>
      </c>
      <c r="F37" t="s">
        <v>16</v>
      </c>
      <c r="G37" t="s">
        <v>17</v>
      </c>
      <c r="H37" t="s">
        <v>6</v>
      </c>
      <c r="I37" t="s">
        <v>29</v>
      </c>
      <c r="J37" t="s">
        <v>8</v>
      </c>
      <c r="K37" t="s">
        <v>1079</v>
      </c>
      <c r="L37">
        <v>0</v>
      </c>
      <c r="M37">
        <v>7.7</v>
      </c>
      <c r="N37">
        <v>1.97</v>
      </c>
      <c r="O37">
        <v>3.61</v>
      </c>
      <c r="P37">
        <v>5</v>
      </c>
      <c r="Q37">
        <v>2.8</v>
      </c>
      <c r="R37">
        <v>3.9</v>
      </c>
      <c r="S37">
        <v>8.3000000000000007</v>
      </c>
      <c r="T37" t="s">
        <v>10</v>
      </c>
      <c r="U37">
        <v>6</v>
      </c>
      <c r="V37">
        <v>10</v>
      </c>
      <c r="W37">
        <v>5.2</v>
      </c>
      <c r="X37">
        <v>2</v>
      </c>
      <c r="Y37">
        <v>1</v>
      </c>
      <c r="Z37">
        <v>3.3</v>
      </c>
      <c r="AA37">
        <v>10</v>
      </c>
      <c r="AB37" t="s">
        <v>11</v>
      </c>
      <c r="AC37" t="s">
        <v>39</v>
      </c>
      <c r="AD37" t="s">
        <v>12</v>
      </c>
      <c r="AE37" t="str">
        <f t="shared" si="0"/>
        <v>25-34</v>
      </c>
      <c r="AF37" t="str">
        <f t="shared" si="1"/>
        <v>Very Low Usage</v>
      </c>
      <c r="AG37" t="str">
        <f t="shared" si="2"/>
        <v>Low Loneliness</v>
      </c>
    </row>
    <row r="38" spans="1:33" x14ac:dyDescent="0.3">
      <c r="A38" t="s">
        <v>80</v>
      </c>
      <c r="B38">
        <v>39</v>
      </c>
      <c r="C38" t="s">
        <v>32</v>
      </c>
      <c r="D38" t="s">
        <v>58</v>
      </c>
      <c r="E38" t="s">
        <v>37</v>
      </c>
      <c r="F38" t="s">
        <v>45</v>
      </c>
      <c r="G38" t="s">
        <v>43</v>
      </c>
      <c r="H38" t="s">
        <v>33</v>
      </c>
      <c r="I38" t="s">
        <v>7</v>
      </c>
      <c r="J38" t="s">
        <v>48</v>
      </c>
      <c r="K38" t="s">
        <v>53</v>
      </c>
      <c r="L38">
        <v>1.19</v>
      </c>
      <c r="M38">
        <v>3.63</v>
      </c>
      <c r="N38">
        <v>1.37</v>
      </c>
      <c r="O38">
        <v>3.1</v>
      </c>
      <c r="P38">
        <v>4</v>
      </c>
      <c r="Q38">
        <v>5</v>
      </c>
      <c r="R38">
        <v>5.6</v>
      </c>
      <c r="S38">
        <v>4.8</v>
      </c>
      <c r="T38" t="s">
        <v>10</v>
      </c>
      <c r="U38">
        <v>7.4</v>
      </c>
      <c r="V38">
        <v>7</v>
      </c>
      <c r="W38">
        <v>1.9</v>
      </c>
      <c r="X38">
        <v>4.3</v>
      </c>
      <c r="Y38">
        <v>4</v>
      </c>
      <c r="Z38">
        <v>4.0999999999999996</v>
      </c>
      <c r="AA38">
        <v>5.5</v>
      </c>
      <c r="AB38" t="s">
        <v>11</v>
      </c>
      <c r="AC38" t="s">
        <v>10</v>
      </c>
      <c r="AD38" t="s">
        <v>12</v>
      </c>
      <c r="AE38" t="str">
        <f t="shared" si="0"/>
        <v>35-44</v>
      </c>
      <c r="AF38" t="str">
        <f t="shared" si="1"/>
        <v>Low Usage</v>
      </c>
      <c r="AG38" t="str">
        <f t="shared" si="2"/>
        <v>Moderate Loneliness</v>
      </c>
    </row>
    <row r="39" spans="1:33" x14ac:dyDescent="0.3">
      <c r="A39" t="s">
        <v>81</v>
      </c>
      <c r="B39">
        <v>31</v>
      </c>
      <c r="C39" t="s">
        <v>32</v>
      </c>
      <c r="D39" t="s">
        <v>14</v>
      </c>
      <c r="E39" t="s">
        <v>3</v>
      </c>
      <c r="F39" t="s">
        <v>45</v>
      </c>
      <c r="G39" t="s">
        <v>43</v>
      </c>
      <c r="H39" t="s">
        <v>33</v>
      </c>
      <c r="I39" t="s">
        <v>29</v>
      </c>
      <c r="J39" t="s">
        <v>8</v>
      </c>
      <c r="K39" t="s">
        <v>25</v>
      </c>
      <c r="L39">
        <v>1.94</v>
      </c>
      <c r="M39">
        <v>1.83</v>
      </c>
      <c r="N39">
        <v>3.77</v>
      </c>
      <c r="O39">
        <v>9.81</v>
      </c>
      <c r="P39">
        <v>0</v>
      </c>
      <c r="Q39">
        <v>8</v>
      </c>
      <c r="R39">
        <v>8.3000000000000007</v>
      </c>
      <c r="S39">
        <v>2.5</v>
      </c>
      <c r="T39" t="s">
        <v>10</v>
      </c>
      <c r="U39">
        <v>5.7</v>
      </c>
      <c r="V39">
        <v>4.3</v>
      </c>
      <c r="W39">
        <v>0.3</v>
      </c>
      <c r="X39">
        <v>5.7</v>
      </c>
      <c r="Y39">
        <v>7.4</v>
      </c>
      <c r="Z39">
        <v>6.6</v>
      </c>
      <c r="AA39">
        <v>3.8</v>
      </c>
      <c r="AB39" t="s">
        <v>21</v>
      </c>
      <c r="AC39" t="s">
        <v>39</v>
      </c>
      <c r="AD39" t="s">
        <v>45</v>
      </c>
      <c r="AE39" t="str">
        <f t="shared" si="0"/>
        <v>25-34</v>
      </c>
      <c r="AF39" t="str">
        <f t="shared" si="1"/>
        <v>Low Usage</v>
      </c>
      <c r="AG39" t="str">
        <f t="shared" si="2"/>
        <v>High Loneliness</v>
      </c>
    </row>
    <row r="40" spans="1:33" x14ac:dyDescent="0.3">
      <c r="A40" t="s">
        <v>82</v>
      </c>
      <c r="B40">
        <v>41</v>
      </c>
      <c r="C40" t="s">
        <v>27</v>
      </c>
      <c r="D40" t="s">
        <v>14</v>
      </c>
      <c r="E40" t="s">
        <v>37</v>
      </c>
      <c r="F40" t="s">
        <v>4</v>
      </c>
      <c r="G40" t="s">
        <v>17</v>
      </c>
      <c r="H40" t="s">
        <v>28</v>
      </c>
      <c r="I40" t="s">
        <v>24</v>
      </c>
      <c r="J40" t="s">
        <v>8</v>
      </c>
      <c r="K40" t="s">
        <v>53</v>
      </c>
      <c r="L40">
        <v>1.25</v>
      </c>
      <c r="M40">
        <v>3.71</v>
      </c>
      <c r="N40">
        <v>1.4</v>
      </c>
      <c r="O40">
        <v>5.39</v>
      </c>
      <c r="P40">
        <v>5</v>
      </c>
      <c r="Q40">
        <v>6.4</v>
      </c>
      <c r="R40">
        <v>3.4</v>
      </c>
      <c r="S40">
        <v>4.3</v>
      </c>
      <c r="T40" t="s">
        <v>10</v>
      </c>
      <c r="U40">
        <v>7.3</v>
      </c>
      <c r="V40">
        <v>7.3</v>
      </c>
      <c r="W40">
        <v>4.7</v>
      </c>
      <c r="X40">
        <v>5.3</v>
      </c>
      <c r="Y40">
        <v>4.7</v>
      </c>
      <c r="Z40">
        <v>7.6</v>
      </c>
      <c r="AA40">
        <v>4.5999999999999996</v>
      </c>
      <c r="AB40" t="s">
        <v>44</v>
      </c>
      <c r="AC40" t="s">
        <v>10</v>
      </c>
      <c r="AD40" t="s">
        <v>22</v>
      </c>
      <c r="AE40" t="str">
        <f t="shared" si="0"/>
        <v>35-44</v>
      </c>
      <c r="AF40" t="str">
        <f t="shared" si="1"/>
        <v>Low Usage</v>
      </c>
      <c r="AG40" t="str">
        <f t="shared" si="2"/>
        <v>High Loneliness</v>
      </c>
    </row>
    <row r="41" spans="1:33" x14ac:dyDescent="0.3">
      <c r="A41" t="s">
        <v>83</v>
      </c>
      <c r="B41">
        <v>41</v>
      </c>
      <c r="C41" t="s">
        <v>1</v>
      </c>
      <c r="D41" t="s">
        <v>14</v>
      </c>
      <c r="E41" t="s">
        <v>59</v>
      </c>
      <c r="F41" t="s">
        <v>12</v>
      </c>
      <c r="G41" t="s">
        <v>17</v>
      </c>
      <c r="H41" t="s">
        <v>33</v>
      </c>
      <c r="I41" t="s">
        <v>35</v>
      </c>
      <c r="J41" t="s">
        <v>20</v>
      </c>
      <c r="K41" t="s">
        <v>30</v>
      </c>
      <c r="L41">
        <v>0.82</v>
      </c>
      <c r="M41">
        <v>5.62</v>
      </c>
      <c r="N41">
        <v>2.48</v>
      </c>
      <c r="O41">
        <v>6.14</v>
      </c>
      <c r="P41">
        <v>6</v>
      </c>
      <c r="Q41">
        <v>3.8</v>
      </c>
      <c r="R41">
        <v>1.4</v>
      </c>
      <c r="S41">
        <v>7.8</v>
      </c>
      <c r="T41" t="s">
        <v>10</v>
      </c>
      <c r="U41">
        <v>7.5</v>
      </c>
      <c r="V41">
        <v>8</v>
      </c>
      <c r="W41">
        <v>5.8</v>
      </c>
      <c r="X41">
        <v>3.6</v>
      </c>
      <c r="Y41">
        <v>1</v>
      </c>
      <c r="Z41">
        <v>4.0999999999999996</v>
      </c>
      <c r="AA41">
        <v>6.7</v>
      </c>
      <c r="AB41" t="s">
        <v>21</v>
      </c>
      <c r="AC41" t="s">
        <v>10</v>
      </c>
      <c r="AD41" t="s">
        <v>12</v>
      </c>
      <c r="AE41" t="str">
        <f t="shared" si="0"/>
        <v>35-44</v>
      </c>
      <c r="AF41" t="str">
        <f t="shared" si="1"/>
        <v>Very Low Usage</v>
      </c>
      <c r="AG41" t="str">
        <f t="shared" si="2"/>
        <v>Moderate Loneliness</v>
      </c>
    </row>
    <row r="42" spans="1:33" x14ac:dyDescent="0.3">
      <c r="A42" t="s">
        <v>84</v>
      </c>
      <c r="B42">
        <v>24</v>
      </c>
      <c r="C42" t="s">
        <v>27</v>
      </c>
      <c r="D42" t="s">
        <v>2</v>
      </c>
      <c r="E42" t="s">
        <v>37</v>
      </c>
      <c r="F42" t="s">
        <v>4</v>
      </c>
      <c r="G42" t="s">
        <v>17</v>
      </c>
      <c r="H42" t="s">
        <v>6</v>
      </c>
      <c r="I42" t="s">
        <v>29</v>
      </c>
      <c r="J42" t="s">
        <v>48</v>
      </c>
      <c r="K42" t="s">
        <v>53</v>
      </c>
      <c r="L42">
        <v>0</v>
      </c>
      <c r="M42">
        <v>4.91</v>
      </c>
      <c r="N42">
        <v>0.65</v>
      </c>
      <c r="O42">
        <v>1.79</v>
      </c>
      <c r="P42">
        <v>7</v>
      </c>
      <c r="Q42">
        <v>1.1000000000000001</v>
      </c>
      <c r="R42">
        <v>1</v>
      </c>
      <c r="S42">
        <v>10</v>
      </c>
      <c r="T42" t="s">
        <v>10</v>
      </c>
      <c r="U42">
        <v>7.1</v>
      </c>
      <c r="V42">
        <v>7.9</v>
      </c>
      <c r="W42">
        <v>4.9000000000000004</v>
      </c>
      <c r="X42">
        <v>3.7</v>
      </c>
      <c r="Y42">
        <v>2.7</v>
      </c>
      <c r="Z42">
        <v>5</v>
      </c>
      <c r="AA42">
        <v>8.4</v>
      </c>
      <c r="AB42" t="s">
        <v>11</v>
      </c>
      <c r="AC42" t="s">
        <v>10</v>
      </c>
      <c r="AD42" t="s">
        <v>12</v>
      </c>
      <c r="AE42" t="str">
        <f t="shared" si="0"/>
        <v>20-24</v>
      </c>
      <c r="AF42" t="str">
        <f t="shared" si="1"/>
        <v>Very Low Usage</v>
      </c>
      <c r="AG42" t="str">
        <f t="shared" si="2"/>
        <v>Low Loneliness</v>
      </c>
    </row>
    <row r="43" spans="1:33" x14ac:dyDescent="0.3">
      <c r="A43" t="s">
        <v>85</v>
      </c>
      <c r="B43">
        <v>42</v>
      </c>
      <c r="C43" t="s">
        <v>32</v>
      </c>
      <c r="D43" t="s">
        <v>2</v>
      </c>
      <c r="E43" t="s">
        <v>37</v>
      </c>
      <c r="F43" t="s">
        <v>16</v>
      </c>
      <c r="G43" t="s">
        <v>66</v>
      </c>
      <c r="H43" t="s">
        <v>6</v>
      </c>
      <c r="I43" t="s">
        <v>19</v>
      </c>
      <c r="J43" t="s">
        <v>38</v>
      </c>
      <c r="K43" t="s">
        <v>1079</v>
      </c>
      <c r="L43">
        <v>1.1599999999999999</v>
      </c>
      <c r="M43">
        <v>4.57</v>
      </c>
      <c r="N43">
        <v>0</v>
      </c>
      <c r="O43">
        <v>3.24</v>
      </c>
      <c r="P43">
        <v>3</v>
      </c>
      <c r="Q43">
        <v>2.7</v>
      </c>
      <c r="R43">
        <v>2.4</v>
      </c>
      <c r="S43">
        <v>8.6999999999999993</v>
      </c>
      <c r="T43" t="s">
        <v>10</v>
      </c>
      <c r="U43">
        <v>7.6</v>
      </c>
      <c r="V43">
        <v>6.8</v>
      </c>
      <c r="W43">
        <v>3</v>
      </c>
      <c r="X43">
        <v>3.8</v>
      </c>
      <c r="Y43">
        <v>1.3</v>
      </c>
      <c r="Z43">
        <v>2.9</v>
      </c>
      <c r="AA43">
        <v>8.6999999999999993</v>
      </c>
      <c r="AB43" t="s">
        <v>11</v>
      </c>
      <c r="AC43" t="s">
        <v>10</v>
      </c>
      <c r="AD43" t="s">
        <v>12</v>
      </c>
      <c r="AE43" t="str">
        <f t="shared" si="0"/>
        <v>35-44</v>
      </c>
      <c r="AF43" t="str">
        <f t="shared" si="1"/>
        <v>Low Usage</v>
      </c>
      <c r="AG43" t="str">
        <f t="shared" si="2"/>
        <v>Low Loneliness</v>
      </c>
    </row>
    <row r="44" spans="1:33" x14ac:dyDescent="0.3">
      <c r="A44" t="s">
        <v>86</v>
      </c>
      <c r="B44">
        <v>42</v>
      </c>
      <c r="C44" t="s">
        <v>1</v>
      </c>
      <c r="D44" t="s">
        <v>2</v>
      </c>
      <c r="E44" t="s">
        <v>37</v>
      </c>
      <c r="F44" t="s">
        <v>4</v>
      </c>
      <c r="G44" t="s">
        <v>5</v>
      </c>
      <c r="H44" t="s">
        <v>18</v>
      </c>
      <c r="I44" t="s">
        <v>19</v>
      </c>
      <c r="J44" t="s">
        <v>48</v>
      </c>
      <c r="K44" t="s">
        <v>53</v>
      </c>
      <c r="L44">
        <v>1.29</v>
      </c>
      <c r="M44">
        <v>5.05</v>
      </c>
      <c r="N44">
        <v>1.77</v>
      </c>
      <c r="O44">
        <v>4.9800000000000004</v>
      </c>
      <c r="P44">
        <v>5</v>
      </c>
      <c r="Q44">
        <v>5</v>
      </c>
      <c r="R44">
        <v>4.7</v>
      </c>
      <c r="S44">
        <v>4.5999999999999996</v>
      </c>
      <c r="T44" t="s">
        <v>39</v>
      </c>
      <c r="U44">
        <v>6.4</v>
      </c>
      <c r="V44">
        <v>8.8000000000000007</v>
      </c>
      <c r="W44">
        <v>5.5</v>
      </c>
      <c r="X44">
        <v>3.5</v>
      </c>
      <c r="Y44">
        <v>4</v>
      </c>
      <c r="Z44">
        <v>7.6</v>
      </c>
      <c r="AA44">
        <v>6.3</v>
      </c>
      <c r="AB44" t="s">
        <v>21</v>
      </c>
      <c r="AC44" t="s">
        <v>10</v>
      </c>
      <c r="AD44" t="s">
        <v>12</v>
      </c>
      <c r="AE44" t="str">
        <f t="shared" si="0"/>
        <v>35-44</v>
      </c>
      <c r="AF44" t="str">
        <f t="shared" si="1"/>
        <v>Low Usage</v>
      </c>
      <c r="AG44" t="str">
        <f t="shared" si="2"/>
        <v>Moderate Loneliness</v>
      </c>
    </row>
    <row r="45" spans="1:33" x14ac:dyDescent="0.3">
      <c r="A45" t="s">
        <v>87</v>
      </c>
      <c r="B45">
        <v>30</v>
      </c>
      <c r="C45" t="s">
        <v>1</v>
      </c>
      <c r="D45" t="s">
        <v>14</v>
      </c>
      <c r="E45" t="s">
        <v>3</v>
      </c>
      <c r="F45" t="s">
        <v>4</v>
      </c>
      <c r="G45" t="s">
        <v>43</v>
      </c>
      <c r="H45" t="s">
        <v>28</v>
      </c>
      <c r="I45" t="s">
        <v>7</v>
      </c>
      <c r="J45" t="s">
        <v>48</v>
      </c>
      <c r="K45" t="s">
        <v>53</v>
      </c>
      <c r="L45">
        <v>0</v>
      </c>
      <c r="M45">
        <v>7.65</v>
      </c>
      <c r="N45">
        <v>1.94</v>
      </c>
      <c r="O45">
        <v>4.72</v>
      </c>
      <c r="P45">
        <v>8</v>
      </c>
      <c r="Q45">
        <v>1</v>
      </c>
      <c r="R45">
        <v>1</v>
      </c>
      <c r="S45">
        <v>10</v>
      </c>
      <c r="T45" t="s">
        <v>10</v>
      </c>
      <c r="U45">
        <v>10</v>
      </c>
      <c r="V45">
        <v>9.9</v>
      </c>
      <c r="W45">
        <v>5</v>
      </c>
      <c r="X45">
        <v>1</v>
      </c>
      <c r="Y45">
        <v>1</v>
      </c>
      <c r="Z45">
        <v>1</v>
      </c>
      <c r="AA45">
        <v>7.5</v>
      </c>
      <c r="AB45" t="s">
        <v>11</v>
      </c>
      <c r="AC45" t="s">
        <v>10</v>
      </c>
      <c r="AD45" t="s">
        <v>12</v>
      </c>
      <c r="AE45" t="str">
        <f t="shared" si="0"/>
        <v>25-34</v>
      </c>
      <c r="AF45" t="str">
        <f t="shared" si="1"/>
        <v>Very Low Usage</v>
      </c>
      <c r="AG45" t="str">
        <f t="shared" si="2"/>
        <v>Low Loneliness</v>
      </c>
    </row>
    <row r="46" spans="1:33" x14ac:dyDescent="0.3">
      <c r="A46" t="s">
        <v>88</v>
      </c>
      <c r="B46">
        <v>29</v>
      </c>
      <c r="C46" t="s">
        <v>89</v>
      </c>
      <c r="D46" t="s">
        <v>14</v>
      </c>
      <c r="E46" t="s">
        <v>15</v>
      </c>
      <c r="F46" t="s">
        <v>16</v>
      </c>
      <c r="G46" t="s">
        <v>17</v>
      </c>
      <c r="H46" t="s">
        <v>28</v>
      </c>
      <c r="I46" t="s">
        <v>35</v>
      </c>
      <c r="J46" t="s">
        <v>20</v>
      </c>
      <c r="K46" t="s">
        <v>25</v>
      </c>
      <c r="L46">
        <v>0.2</v>
      </c>
      <c r="M46">
        <v>5.55</v>
      </c>
      <c r="N46">
        <v>1.7</v>
      </c>
      <c r="O46">
        <v>5.25</v>
      </c>
      <c r="P46">
        <v>7</v>
      </c>
      <c r="Q46">
        <v>1.3</v>
      </c>
      <c r="R46">
        <v>2.6</v>
      </c>
      <c r="S46">
        <v>7</v>
      </c>
      <c r="T46" t="s">
        <v>10</v>
      </c>
      <c r="U46">
        <v>7.1</v>
      </c>
      <c r="V46">
        <v>9.4</v>
      </c>
      <c r="W46">
        <v>4.8</v>
      </c>
      <c r="X46">
        <v>2.4</v>
      </c>
      <c r="Y46">
        <v>1</v>
      </c>
      <c r="Z46">
        <v>2.4</v>
      </c>
      <c r="AA46">
        <v>8.4</v>
      </c>
      <c r="AB46" t="s">
        <v>21</v>
      </c>
      <c r="AC46" t="s">
        <v>10</v>
      </c>
      <c r="AD46" t="s">
        <v>12</v>
      </c>
      <c r="AE46" t="str">
        <f t="shared" si="0"/>
        <v>25-34</v>
      </c>
      <c r="AF46" t="str">
        <f t="shared" si="1"/>
        <v>Very Low Usage</v>
      </c>
      <c r="AG46" t="str">
        <f t="shared" si="2"/>
        <v>Low Loneliness</v>
      </c>
    </row>
    <row r="47" spans="1:33" x14ac:dyDescent="0.3">
      <c r="A47" t="s">
        <v>90</v>
      </c>
      <c r="B47">
        <v>44</v>
      </c>
      <c r="C47" t="s">
        <v>32</v>
      </c>
      <c r="D47" t="s">
        <v>2</v>
      </c>
      <c r="E47" t="s">
        <v>37</v>
      </c>
      <c r="F47" t="s">
        <v>4</v>
      </c>
      <c r="G47" t="s">
        <v>43</v>
      </c>
      <c r="H47" t="s">
        <v>6</v>
      </c>
      <c r="I47" t="s">
        <v>24</v>
      </c>
      <c r="J47" t="s">
        <v>8</v>
      </c>
      <c r="K47" t="s">
        <v>9</v>
      </c>
      <c r="L47">
        <v>2.5499999999999998</v>
      </c>
      <c r="M47">
        <v>7.23</v>
      </c>
      <c r="N47">
        <v>2.5299999999999998</v>
      </c>
      <c r="O47">
        <v>5.64</v>
      </c>
      <c r="P47">
        <v>7</v>
      </c>
      <c r="Q47">
        <v>2.4</v>
      </c>
      <c r="R47">
        <v>1.9</v>
      </c>
      <c r="S47">
        <v>6</v>
      </c>
      <c r="T47" t="s">
        <v>10</v>
      </c>
      <c r="U47">
        <v>7.1</v>
      </c>
      <c r="V47">
        <v>6.6</v>
      </c>
      <c r="W47">
        <v>5.6</v>
      </c>
      <c r="X47">
        <v>2.1</v>
      </c>
      <c r="Y47">
        <v>2.7</v>
      </c>
      <c r="Z47">
        <v>4.3</v>
      </c>
      <c r="AA47">
        <v>6.2</v>
      </c>
      <c r="AB47" t="s">
        <v>11</v>
      </c>
      <c r="AC47" t="s">
        <v>10</v>
      </c>
      <c r="AD47" t="s">
        <v>12</v>
      </c>
      <c r="AE47" t="str">
        <f t="shared" si="0"/>
        <v>35-44</v>
      </c>
      <c r="AF47" t="str">
        <f t="shared" si="1"/>
        <v>Moderate Usage</v>
      </c>
      <c r="AG47" t="str">
        <f t="shared" si="2"/>
        <v>Low Loneliness</v>
      </c>
    </row>
    <row r="48" spans="1:33" x14ac:dyDescent="0.3">
      <c r="A48" t="s">
        <v>91</v>
      </c>
      <c r="B48">
        <v>44</v>
      </c>
      <c r="C48" t="s">
        <v>1</v>
      </c>
      <c r="D48" t="s">
        <v>2</v>
      </c>
      <c r="E48" t="s">
        <v>37</v>
      </c>
      <c r="F48" t="s">
        <v>16</v>
      </c>
      <c r="G48" t="s">
        <v>43</v>
      </c>
      <c r="H48" t="s">
        <v>33</v>
      </c>
      <c r="I48" t="s">
        <v>29</v>
      </c>
      <c r="J48" t="s">
        <v>8</v>
      </c>
      <c r="K48" t="s">
        <v>53</v>
      </c>
      <c r="L48">
        <v>0.91</v>
      </c>
      <c r="M48">
        <v>6.26</v>
      </c>
      <c r="N48">
        <v>2.37</v>
      </c>
      <c r="O48">
        <v>4.2</v>
      </c>
      <c r="P48">
        <v>4</v>
      </c>
      <c r="Q48">
        <v>4.7</v>
      </c>
      <c r="R48">
        <v>5</v>
      </c>
      <c r="S48">
        <v>5.7</v>
      </c>
      <c r="T48" t="s">
        <v>39</v>
      </c>
      <c r="U48">
        <v>6.3</v>
      </c>
      <c r="V48">
        <v>8.5</v>
      </c>
      <c r="W48">
        <v>1.3</v>
      </c>
      <c r="X48">
        <v>3.3</v>
      </c>
      <c r="Y48">
        <v>2.5</v>
      </c>
      <c r="Z48">
        <v>5.8</v>
      </c>
      <c r="AA48">
        <v>6</v>
      </c>
      <c r="AB48" t="s">
        <v>21</v>
      </c>
      <c r="AC48" t="s">
        <v>10</v>
      </c>
      <c r="AD48" t="s">
        <v>12</v>
      </c>
      <c r="AE48" t="str">
        <f t="shared" si="0"/>
        <v>35-44</v>
      </c>
      <c r="AF48" t="str">
        <f t="shared" si="1"/>
        <v>Very Low Usage</v>
      </c>
      <c r="AG48" t="str">
        <f t="shared" si="2"/>
        <v>Moderate Loneliness</v>
      </c>
    </row>
    <row r="49" spans="1:33" x14ac:dyDescent="0.3">
      <c r="A49" t="s">
        <v>92</v>
      </c>
      <c r="B49">
        <v>29</v>
      </c>
      <c r="C49" t="s">
        <v>32</v>
      </c>
      <c r="D49" t="s">
        <v>41</v>
      </c>
      <c r="E49" t="s">
        <v>37</v>
      </c>
      <c r="F49" t="s">
        <v>4</v>
      </c>
      <c r="G49" t="s">
        <v>5</v>
      </c>
      <c r="H49" t="s">
        <v>18</v>
      </c>
      <c r="I49" t="s">
        <v>24</v>
      </c>
      <c r="J49" t="s">
        <v>20</v>
      </c>
      <c r="K49" t="s">
        <v>1079</v>
      </c>
      <c r="L49">
        <v>1.54</v>
      </c>
      <c r="M49">
        <v>2.65</v>
      </c>
      <c r="N49">
        <v>2.2599999999999998</v>
      </c>
      <c r="O49">
        <v>6.45</v>
      </c>
      <c r="P49">
        <v>4</v>
      </c>
      <c r="Q49">
        <v>6.3</v>
      </c>
      <c r="R49">
        <v>3.3</v>
      </c>
      <c r="S49">
        <v>6.6</v>
      </c>
      <c r="T49" t="s">
        <v>10</v>
      </c>
      <c r="U49">
        <v>6</v>
      </c>
      <c r="V49">
        <v>6</v>
      </c>
      <c r="W49">
        <v>5.5</v>
      </c>
      <c r="X49">
        <v>3.5</v>
      </c>
      <c r="Y49">
        <v>6.5</v>
      </c>
      <c r="Z49">
        <v>5.7</v>
      </c>
      <c r="AA49">
        <v>7.5</v>
      </c>
      <c r="AB49" t="s">
        <v>11</v>
      </c>
      <c r="AC49" t="s">
        <v>10</v>
      </c>
      <c r="AD49" t="s">
        <v>12</v>
      </c>
      <c r="AE49" t="str">
        <f t="shared" si="0"/>
        <v>25-34</v>
      </c>
      <c r="AF49" t="str">
        <f t="shared" si="1"/>
        <v>Low Usage</v>
      </c>
      <c r="AG49" t="str">
        <f t="shared" si="2"/>
        <v>High Loneliness</v>
      </c>
    </row>
    <row r="50" spans="1:33" x14ac:dyDescent="0.3">
      <c r="A50" t="s">
        <v>93</v>
      </c>
      <c r="B50">
        <v>44</v>
      </c>
      <c r="C50" t="s">
        <v>1</v>
      </c>
      <c r="D50" t="s">
        <v>14</v>
      </c>
      <c r="E50" t="s">
        <v>37</v>
      </c>
      <c r="F50" t="s">
        <v>4</v>
      </c>
      <c r="G50" t="s">
        <v>66</v>
      </c>
      <c r="H50" t="s">
        <v>28</v>
      </c>
      <c r="I50" t="s">
        <v>19</v>
      </c>
      <c r="J50" t="s">
        <v>48</v>
      </c>
      <c r="K50" t="s">
        <v>1079</v>
      </c>
      <c r="L50">
        <v>1.38</v>
      </c>
      <c r="M50">
        <v>2.98</v>
      </c>
      <c r="N50">
        <v>1.9</v>
      </c>
      <c r="O50">
        <v>4.78</v>
      </c>
      <c r="P50">
        <v>4</v>
      </c>
      <c r="Q50">
        <v>4.0999999999999996</v>
      </c>
      <c r="R50">
        <v>1.7</v>
      </c>
      <c r="S50">
        <v>7.9</v>
      </c>
      <c r="T50" t="s">
        <v>10</v>
      </c>
      <c r="U50">
        <v>7.5</v>
      </c>
      <c r="V50">
        <v>7.7</v>
      </c>
      <c r="W50">
        <v>8.3000000000000007</v>
      </c>
      <c r="X50">
        <v>2.9</v>
      </c>
      <c r="Y50">
        <v>2.4</v>
      </c>
      <c r="Z50">
        <v>1.7</v>
      </c>
      <c r="AA50">
        <v>5.5</v>
      </c>
      <c r="AB50" t="s">
        <v>21</v>
      </c>
      <c r="AC50" t="s">
        <v>10</v>
      </c>
      <c r="AD50" t="s">
        <v>12</v>
      </c>
      <c r="AE50" t="str">
        <f t="shared" si="0"/>
        <v>35-44</v>
      </c>
      <c r="AF50" t="str">
        <f t="shared" si="1"/>
        <v>Low Usage</v>
      </c>
      <c r="AG50" t="str">
        <f t="shared" si="2"/>
        <v>Moderate Loneliness</v>
      </c>
    </row>
    <row r="51" spans="1:33" x14ac:dyDescent="0.3">
      <c r="A51" t="s">
        <v>94</v>
      </c>
      <c r="B51">
        <v>33</v>
      </c>
      <c r="C51" t="s">
        <v>1</v>
      </c>
      <c r="D51" t="s">
        <v>2</v>
      </c>
      <c r="E51" t="s">
        <v>3</v>
      </c>
      <c r="F51" t="s">
        <v>4</v>
      </c>
      <c r="G51" t="s">
        <v>17</v>
      </c>
      <c r="H51" t="s">
        <v>18</v>
      </c>
      <c r="I51" t="s">
        <v>19</v>
      </c>
      <c r="J51" t="s">
        <v>20</v>
      </c>
      <c r="K51" t="s">
        <v>25</v>
      </c>
      <c r="L51">
        <v>1.7</v>
      </c>
      <c r="M51">
        <v>4.24</v>
      </c>
      <c r="N51">
        <v>3.25</v>
      </c>
      <c r="O51">
        <v>7.77</v>
      </c>
      <c r="P51">
        <v>5</v>
      </c>
      <c r="Q51">
        <v>7.2</v>
      </c>
      <c r="R51">
        <v>6.2</v>
      </c>
      <c r="S51">
        <v>5.8</v>
      </c>
      <c r="T51" t="s">
        <v>39</v>
      </c>
      <c r="U51">
        <v>5.5</v>
      </c>
      <c r="V51">
        <v>5.3</v>
      </c>
      <c r="W51">
        <v>3.6</v>
      </c>
      <c r="X51">
        <v>6.4</v>
      </c>
      <c r="Y51">
        <v>6.1</v>
      </c>
      <c r="Z51">
        <v>5.2</v>
      </c>
      <c r="AA51">
        <v>3.6</v>
      </c>
      <c r="AB51" t="s">
        <v>21</v>
      </c>
      <c r="AC51" t="s">
        <v>10</v>
      </c>
      <c r="AD51" t="s">
        <v>22</v>
      </c>
      <c r="AE51" t="str">
        <f t="shared" si="0"/>
        <v>25-34</v>
      </c>
      <c r="AF51" t="str">
        <f t="shared" si="1"/>
        <v>Low Usage</v>
      </c>
      <c r="AG51" t="str">
        <f t="shared" si="2"/>
        <v>High Loneliness</v>
      </c>
    </row>
    <row r="52" spans="1:33" x14ac:dyDescent="0.3">
      <c r="A52" t="s">
        <v>95</v>
      </c>
      <c r="B52">
        <v>26</v>
      </c>
      <c r="C52" t="s">
        <v>1</v>
      </c>
      <c r="D52" t="s">
        <v>14</v>
      </c>
      <c r="E52" t="s">
        <v>15</v>
      </c>
      <c r="F52" t="s">
        <v>16</v>
      </c>
      <c r="G52" t="s">
        <v>17</v>
      </c>
      <c r="H52" t="s">
        <v>18</v>
      </c>
      <c r="I52" t="s">
        <v>29</v>
      </c>
      <c r="J52" t="s">
        <v>48</v>
      </c>
      <c r="K52" t="s">
        <v>25</v>
      </c>
      <c r="L52">
        <v>2.68</v>
      </c>
      <c r="M52">
        <v>5.23</v>
      </c>
      <c r="N52">
        <v>1.53</v>
      </c>
      <c r="O52">
        <v>5.84</v>
      </c>
      <c r="P52">
        <v>5</v>
      </c>
      <c r="Q52">
        <v>5.2</v>
      </c>
      <c r="R52">
        <v>3.8</v>
      </c>
      <c r="S52">
        <v>6.5</v>
      </c>
      <c r="T52" t="s">
        <v>10</v>
      </c>
      <c r="U52">
        <v>6.7</v>
      </c>
      <c r="V52">
        <v>6.9</v>
      </c>
      <c r="W52">
        <v>3.8</v>
      </c>
      <c r="X52">
        <v>2.4</v>
      </c>
      <c r="Y52">
        <v>3</v>
      </c>
      <c r="Z52">
        <v>3.8</v>
      </c>
      <c r="AA52">
        <v>3.8</v>
      </c>
      <c r="AB52" t="s">
        <v>21</v>
      </c>
      <c r="AC52" t="s">
        <v>10</v>
      </c>
      <c r="AD52" t="s">
        <v>22</v>
      </c>
      <c r="AE52" t="str">
        <f t="shared" si="0"/>
        <v>25-34</v>
      </c>
      <c r="AF52" t="str">
        <f t="shared" si="1"/>
        <v>Moderate Usage</v>
      </c>
      <c r="AG52" t="str">
        <f t="shared" si="2"/>
        <v>Moderate Loneliness</v>
      </c>
    </row>
    <row r="53" spans="1:33" x14ac:dyDescent="0.3">
      <c r="A53" t="s">
        <v>96</v>
      </c>
      <c r="B53">
        <v>37</v>
      </c>
      <c r="C53" t="s">
        <v>1</v>
      </c>
      <c r="D53" t="s">
        <v>2</v>
      </c>
      <c r="E53" t="s">
        <v>3</v>
      </c>
      <c r="F53" t="s">
        <v>12</v>
      </c>
      <c r="G53" t="s">
        <v>5</v>
      </c>
      <c r="H53" t="s">
        <v>6</v>
      </c>
      <c r="I53" t="s">
        <v>29</v>
      </c>
      <c r="J53" t="s">
        <v>20</v>
      </c>
      <c r="K53" t="s">
        <v>1079</v>
      </c>
      <c r="L53">
        <v>0</v>
      </c>
      <c r="M53">
        <v>4.18</v>
      </c>
      <c r="N53">
        <v>2.89</v>
      </c>
      <c r="O53">
        <v>3.64</v>
      </c>
      <c r="P53">
        <v>5</v>
      </c>
      <c r="Q53">
        <v>4.4000000000000004</v>
      </c>
      <c r="R53">
        <v>2.8</v>
      </c>
      <c r="S53">
        <v>5.6</v>
      </c>
      <c r="T53" t="s">
        <v>10</v>
      </c>
      <c r="U53">
        <v>7.6</v>
      </c>
      <c r="V53">
        <v>7.4</v>
      </c>
      <c r="W53">
        <v>4.5</v>
      </c>
      <c r="X53">
        <v>5.3</v>
      </c>
      <c r="Y53">
        <v>4.0999999999999996</v>
      </c>
      <c r="Z53">
        <v>2.7</v>
      </c>
      <c r="AA53">
        <v>6.2</v>
      </c>
      <c r="AB53" t="s">
        <v>21</v>
      </c>
      <c r="AC53" t="s">
        <v>10</v>
      </c>
      <c r="AD53" t="s">
        <v>12</v>
      </c>
      <c r="AE53" t="str">
        <f t="shared" si="0"/>
        <v>35-44</v>
      </c>
      <c r="AF53" t="str">
        <f t="shared" si="1"/>
        <v>Very Low Usage</v>
      </c>
      <c r="AG53" t="str">
        <f t="shared" si="2"/>
        <v>Moderate Loneliness</v>
      </c>
    </row>
    <row r="54" spans="1:33" x14ac:dyDescent="0.3">
      <c r="A54" t="s">
        <v>97</v>
      </c>
      <c r="B54">
        <v>34</v>
      </c>
      <c r="C54" t="s">
        <v>1</v>
      </c>
      <c r="D54" t="s">
        <v>2</v>
      </c>
      <c r="E54" t="s">
        <v>15</v>
      </c>
      <c r="F54" t="s">
        <v>12</v>
      </c>
      <c r="G54" t="s">
        <v>5</v>
      </c>
      <c r="H54" t="s">
        <v>33</v>
      </c>
      <c r="I54" t="s">
        <v>7</v>
      </c>
      <c r="J54" t="s">
        <v>8</v>
      </c>
      <c r="K54" t="s">
        <v>30</v>
      </c>
      <c r="L54">
        <v>2.0099999999999998</v>
      </c>
      <c r="M54">
        <v>2.79</v>
      </c>
      <c r="N54">
        <v>4.2699999999999996</v>
      </c>
      <c r="O54">
        <v>6.52</v>
      </c>
      <c r="P54">
        <v>1</v>
      </c>
      <c r="Q54">
        <v>8.4</v>
      </c>
      <c r="R54">
        <v>7.2</v>
      </c>
      <c r="S54">
        <v>6.3</v>
      </c>
      <c r="T54" t="s">
        <v>10</v>
      </c>
      <c r="U54">
        <v>6.2</v>
      </c>
      <c r="V54">
        <v>6.4</v>
      </c>
      <c r="W54">
        <v>3.6</v>
      </c>
      <c r="X54">
        <v>5.5</v>
      </c>
      <c r="Y54">
        <v>4.5</v>
      </c>
      <c r="Z54">
        <v>6.1</v>
      </c>
      <c r="AA54">
        <v>2.7</v>
      </c>
      <c r="AB54" t="s">
        <v>21</v>
      </c>
      <c r="AC54" t="s">
        <v>39</v>
      </c>
      <c r="AD54" t="s">
        <v>22</v>
      </c>
      <c r="AE54" t="str">
        <f t="shared" si="0"/>
        <v>25-34</v>
      </c>
      <c r="AF54" t="str">
        <f t="shared" si="1"/>
        <v>Low Usage</v>
      </c>
      <c r="AG54" t="str">
        <f t="shared" si="2"/>
        <v>High Loneliness</v>
      </c>
    </row>
    <row r="55" spans="1:33" x14ac:dyDescent="0.3">
      <c r="A55" t="s">
        <v>98</v>
      </c>
      <c r="B55">
        <v>39</v>
      </c>
      <c r="C55" t="s">
        <v>1</v>
      </c>
      <c r="D55" t="s">
        <v>2</v>
      </c>
      <c r="E55" t="s">
        <v>15</v>
      </c>
      <c r="F55" t="s">
        <v>45</v>
      </c>
      <c r="G55" t="s">
        <v>5</v>
      </c>
      <c r="H55" t="s">
        <v>28</v>
      </c>
      <c r="I55" t="s">
        <v>19</v>
      </c>
      <c r="J55" t="s">
        <v>8</v>
      </c>
      <c r="K55" t="s">
        <v>25</v>
      </c>
      <c r="L55">
        <v>1.98</v>
      </c>
      <c r="M55">
        <v>2.56</v>
      </c>
      <c r="N55">
        <v>2.87</v>
      </c>
      <c r="O55">
        <v>7.33</v>
      </c>
      <c r="P55">
        <v>2</v>
      </c>
      <c r="Q55">
        <v>7.2</v>
      </c>
      <c r="R55">
        <v>6.6</v>
      </c>
      <c r="S55">
        <v>5.9</v>
      </c>
      <c r="T55" t="s">
        <v>10</v>
      </c>
      <c r="U55">
        <v>4.5999999999999996</v>
      </c>
      <c r="V55">
        <v>6.3</v>
      </c>
      <c r="W55">
        <v>2.2000000000000002</v>
      </c>
      <c r="X55">
        <v>4.9000000000000004</v>
      </c>
      <c r="Y55">
        <v>3.5</v>
      </c>
      <c r="Z55">
        <v>3.4</v>
      </c>
      <c r="AA55">
        <v>3</v>
      </c>
      <c r="AB55" t="s">
        <v>21</v>
      </c>
      <c r="AC55" t="s">
        <v>10</v>
      </c>
      <c r="AD55" t="s">
        <v>12</v>
      </c>
      <c r="AE55" t="str">
        <f t="shared" si="0"/>
        <v>35-44</v>
      </c>
      <c r="AF55" t="str">
        <f t="shared" si="1"/>
        <v>Low Usage</v>
      </c>
      <c r="AG55" t="str">
        <f t="shared" si="2"/>
        <v>High Loneliness</v>
      </c>
    </row>
    <row r="56" spans="1:33" x14ac:dyDescent="0.3">
      <c r="A56" t="s">
        <v>99</v>
      </c>
      <c r="B56">
        <v>17</v>
      </c>
      <c r="C56" t="s">
        <v>32</v>
      </c>
      <c r="D56" t="s">
        <v>41</v>
      </c>
      <c r="E56" t="s">
        <v>15</v>
      </c>
      <c r="F56" t="s">
        <v>12</v>
      </c>
      <c r="G56" t="s">
        <v>17</v>
      </c>
      <c r="H56" t="s">
        <v>18</v>
      </c>
      <c r="I56" t="s">
        <v>29</v>
      </c>
      <c r="J56" t="s">
        <v>51</v>
      </c>
      <c r="K56" t="s">
        <v>53</v>
      </c>
      <c r="L56">
        <v>0</v>
      </c>
      <c r="M56">
        <v>4.43</v>
      </c>
      <c r="N56">
        <v>0.52</v>
      </c>
      <c r="O56">
        <v>3.03</v>
      </c>
      <c r="P56">
        <v>3</v>
      </c>
      <c r="Q56">
        <v>2.9</v>
      </c>
      <c r="R56">
        <v>1</v>
      </c>
      <c r="S56">
        <v>8.4</v>
      </c>
      <c r="T56" t="s">
        <v>10</v>
      </c>
      <c r="U56">
        <v>9.1999999999999993</v>
      </c>
      <c r="V56">
        <v>9.5</v>
      </c>
      <c r="W56">
        <v>4.0999999999999996</v>
      </c>
      <c r="X56">
        <v>2.7</v>
      </c>
      <c r="Y56">
        <v>1</v>
      </c>
      <c r="Z56">
        <v>3.7</v>
      </c>
      <c r="AA56">
        <v>8.5</v>
      </c>
      <c r="AB56" t="s">
        <v>11</v>
      </c>
      <c r="AC56" t="s">
        <v>10</v>
      </c>
      <c r="AD56" t="s">
        <v>12</v>
      </c>
      <c r="AE56" t="str">
        <f t="shared" si="0"/>
        <v>15-19</v>
      </c>
      <c r="AF56" t="str">
        <f t="shared" si="1"/>
        <v>Very Low Usage</v>
      </c>
      <c r="AG56" t="str">
        <f t="shared" si="2"/>
        <v>Low Loneliness</v>
      </c>
    </row>
    <row r="57" spans="1:33" x14ac:dyDescent="0.3">
      <c r="A57" t="s">
        <v>100</v>
      </c>
      <c r="B57">
        <v>19</v>
      </c>
      <c r="C57" t="s">
        <v>1</v>
      </c>
      <c r="D57" t="s">
        <v>14</v>
      </c>
      <c r="E57" t="s">
        <v>37</v>
      </c>
      <c r="F57" t="s">
        <v>4</v>
      </c>
      <c r="G57" t="s">
        <v>5</v>
      </c>
      <c r="H57" t="s">
        <v>28</v>
      </c>
      <c r="I57" t="s">
        <v>19</v>
      </c>
      <c r="J57" t="s">
        <v>48</v>
      </c>
      <c r="K57" t="s">
        <v>1079</v>
      </c>
      <c r="L57">
        <v>0</v>
      </c>
      <c r="M57">
        <v>5.17</v>
      </c>
      <c r="N57">
        <v>1.73</v>
      </c>
      <c r="O57">
        <v>4.7</v>
      </c>
      <c r="P57">
        <v>3</v>
      </c>
      <c r="Q57">
        <v>4.5999999999999996</v>
      </c>
      <c r="R57">
        <v>2.5</v>
      </c>
      <c r="S57">
        <v>5.6</v>
      </c>
      <c r="T57" t="s">
        <v>10</v>
      </c>
      <c r="U57">
        <v>7.3</v>
      </c>
      <c r="V57">
        <v>7.3</v>
      </c>
      <c r="W57">
        <v>3.5</v>
      </c>
      <c r="X57">
        <v>4.2</v>
      </c>
      <c r="Y57">
        <v>2.9</v>
      </c>
      <c r="Z57">
        <v>5.8</v>
      </c>
      <c r="AA57">
        <v>6.4</v>
      </c>
      <c r="AB57" t="s">
        <v>21</v>
      </c>
      <c r="AC57" t="s">
        <v>10</v>
      </c>
      <c r="AD57" t="s">
        <v>12</v>
      </c>
      <c r="AE57" t="str">
        <f t="shared" si="0"/>
        <v>15-19</v>
      </c>
      <c r="AF57" t="str">
        <f t="shared" si="1"/>
        <v>Very Low Usage</v>
      </c>
      <c r="AG57" t="str">
        <f t="shared" si="2"/>
        <v>Moderate Loneliness</v>
      </c>
    </row>
    <row r="58" spans="1:33" x14ac:dyDescent="0.3">
      <c r="A58" t="s">
        <v>101</v>
      </c>
      <c r="B58">
        <v>33</v>
      </c>
      <c r="C58" t="s">
        <v>1</v>
      </c>
      <c r="D58" t="s">
        <v>14</v>
      </c>
      <c r="E58" t="s">
        <v>37</v>
      </c>
      <c r="F58" t="s">
        <v>4</v>
      </c>
      <c r="G58" t="s">
        <v>17</v>
      </c>
      <c r="H58" t="s">
        <v>6</v>
      </c>
      <c r="I58" t="s">
        <v>7</v>
      </c>
      <c r="J58" t="s">
        <v>51</v>
      </c>
      <c r="K58" t="s">
        <v>9</v>
      </c>
      <c r="L58">
        <v>3.74</v>
      </c>
      <c r="M58">
        <v>2.64</v>
      </c>
      <c r="N58">
        <v>5.15</v>
      </c>
      <c r="O58">
        <v>11.22</v>
      </c>
      <c r="P58">
        <v>4</v>
      </c>
      <c r="Q58">
        <v>7</v>
      </c>
      <c r="R58">
        <v>5.8</v>
      </c>
      <c r="S58">
        <v>3.4</v>
      </c>
      <c r="T58" t="s">
        <v>39</v>
      </c>
      <c r="U58">
        <v>6.6</v>
      </c>
      <c r="V58">
        <v>5.7</v>
      </c>
      <c r="W58">
        <v>3.2</v>
      </c>
      <c r="X58">
        <v>5</v>
      </c>
      <c r="Y58">
        <v>6</v>
      </c>
      <c r="Z58">
        <v>8.5</v>
      </c>
      <c r="AA58">
        <v>3.2</v>
      </c>
      <c r="AB58" t="s">
        <v>21</v>
      </c>
      <c r="AC58" t="s">
        <v>39</v>
      </c>
      <c r="AD58" t="s">
        <v>45</v>
      </c>
      <c r="AE58" t="str">
        <f t="shared" si="0"/>
        <v>25-34</v>
      </c>
      <c r="AF58" t="str">
        <f t="shared" si="1"/>
        <v>Moderate Usage</v>
      </c>
      <c r="AG58" t="str">
        <f t="shared" si="2"/>
        <v>High Loneliness</v>
      </c>
    </row>
    <row r="59" spans="1:33" x14ac:dyDescent="0.3">
      <c r="A59" t="s">
        <v>102</v>
      </c>
      <c r="B59">
        <v>21</v>
      </c>
      <c r="C59" t="s">
        <v>32</v>
      </c>
      <c r="D59" t="s">
        <v>47</v>
      </c>
      <c r="E59" t="s">
        <v>3</v>
      </c>
      <c r="F59" t="s">
        <v>4</v>
      </c>
      <c r="G59" t="s">
        <v>17</v>
      </c>
      <c r="H59" t="s">
        <v>28</v>
      </c>
      <c r="I59" t="s">
        <v>24</v>
      </c>
      <c r="J59" t="s">
        <v>8</v>
      </c>
      <c r="K59" t="s">
        <v>25</v>
      </c>
      <c r="L59">
        <v>3.21</v>
      </c>
      <c r="M59">
        <v>3.14</v>
      </c>
      <c r="N59">
        <v>3.11</v>
      </c>
      <c r="O59">
        <v>4.55</v>
      </c>
      <c r="P59">
        <v>3</v>
      </c>
      <c r="Q59">
        <v>7.8</v>
      </c>
      <c r="R59">
        <v>9.4</v>
      </c>
      <c r="S59">
        <v>2.2000000000000002</v>
      </c>
      <c r="T59" t="s">
        <v>10</v>
      </c>
      <c r="U59">
        <v>6.1</v>
      </c>
      <c r="V59">
        <v>4.0999999999999996</v>
      </c>
      <c r="W59">
        <v>1.2</v>
      </c>
      <c r="X59">
        <v>4.8</v>
      </c>
      <c r="Y59">
        <v>9.6999999999999993</v>
      </c>
      <c r="Z59">
        <v>5.5</v>
      </c>
      <c r="AA59">
        <v>4.4000000000000004</v>
      </c>
      <c r="AB59" t="s">
        <v>44</v>
      </c>
      <c r="AC59" t="s">
        <v>10</v>
      </c>
      <c r="AD59" t="s">
        <v>45</v>
      </c>
      <c r="AE59" t="str">
        <f t="shared" si="0"/>
        <v>20-24</v>
      </c>
      <c r="AF59" t="str">
        <f t="shared" si="1"/>
        <v>Moderate Usage</v>
      </c>
      <c r="AG59" t="str">
        <f t="shared" si="2"/>
        <v>High Loneliness</v>
      </c>
    </row>
    <row r="60" spans="1:33" x14ac:dyDescent="0.3">
      <c r="A60" t="s">
        <v>103</v>
      </c>
      <c r="B60">
        <v>35</v>
      </c>
      <c r="C60" t="s">
        <v>32</v>
      </c>
      <c r="D60" t="s">
        <v>2</v>
      </c>
      <c r="E60" t="s">
        <v>15</v>
      </c>
      <c r="F60" t="s">
        <v>16</v>
      </c>
      <c r="G60" t="s">
        <v>5</v>
      </c>
      <c r="H60" t="s">
        <v>18</v>
      </c>
      <c r="I60" t="s">
        <v>29</v>
      </c>
      <c r="J60" t="s">
        <v>38</v>
      </c>
      <c r="K60" t="s">
        <v>1079</v>
      </c>
      <c r="L60">
        <v>2.88</v>
      </c>
      <c r="M60">
        <v>1.77</v>
      </c>
      <c r="N60">
        <v>3.52</v>
      </c>
      <c r="O60">
        <v>8.91</v>
      </c>
      <c r="P60">
        <v>4</v>
      </c>
      <c r="Q60">
        <v>5.0999999999999996</v>
      </c>
      <c r="R60">
        <v>6.6</v>
      </c>
      <c r="S60">
        <v>6.1</v>
      </c>
      <c r="T60" t="s">
        <v>10</v>
      </c>
      <c r="U60">
        <v>7.5</v>
      </c>
      <c r="V60">
        <v>5.3</v>
      </c>
      <c r="W60">
        <v>1.5</v>
      </c>
      <c r="X60">
        <v>6.1</v>
      </c>
      <c r="Y60">
        <v>8.1</v>
      </c>
      <c r="Z60">
        <v>4.5</v>
      </c>
      <c r="AA60">
        <v>5.4</v>
      </c>
      <c r="AB60" t="s">
        <v>44</v>
      </c>
      <c r="AC60" t="s">
        <v>39</v>
      </c>
      <c r="AD60" t="s">
        <v>22</v>
      </c>
      <c r="AE60" t="str">
        <f t="shared" si="0"/>
        <v>35-44</v>
      </c>
      <c r="AF60" t="str">
        <f t="shared" si="1"/>
        <v>Moderate Usage</v>
      </c>
      <c r="AG60" t="str">
        <f t="shared" si="2"/>
        <v>Moderate Loneliness</v>
      </c>
    </row>
    <row r="61" spans="1:33" x14ac:dyDescent="0.3">
      <c r="A61" t="s">
        <v>104</v>
      </c>
      <c r="B61">
        <v>23</v>
      </c>
      <c r="C61" t="s">
        <v>32</v>
      </c>
      <c r="D61" t="s">
        <v>14</v>
      </c>
      <c r="E61" t="s">
        <v>37</v>
      </c>
      <c r="F61" t="s">
        <v>12</v>
      </c>
      <c r="G61" t="s">
        <v>5</v>
      </c>
      <c r="H61" t="s">
        <v>28</v>
      </c>
      <c r="I61" t="s">
        <v>29</v>
      </c>
      <c r="J61" t="s">
        <v>8</v>
      </c>
      <c r="K61" t="s">
        <v>1079</v>
      </c>
      <c r="L61">
        <v>2.4900000000000002</v>
      </c>
      <c r="M61">
        <v>5.26</v>
      </c>
      <c r="N61">
        <v>2.08</v>
      </c>
      <c r="O61">
        <v>5.1100000000000003</v>
      </c>
      <c r="P61">
        <v>7</v>
      </c>
      <c r="Q61">
        <v>1.7</v>
      </c>
      <c r="R61">
        <v>5.6</v>
      </c>
      <c r="S61">
        <v>7.5</v>
      </c>
      <c r="T61" t="s">
        <v>39</v>
      </c>
      <c r="U61">
        <v>8</v>
      </c>
      <c r="V61">
        <v>8.8000000000000007</v>
      </c>
      <c r="W61">
        <v>3.6</v>
      </c>
      <c r="X61">
        <v>4.9000000000000004</v>
      </c>
      <c r="Y61">
        <v>3.1</v>
      </c>
      <c r="Z61">
        <v>5.9</v>
      </c>
      <c r="AA61">
        <v>7.1</v>
      </c>
      <c r="AB61" t="s">
        <v>11</v>
      </c>
      <c r="AC61" t="s">
        <v>10</v>
      </c>
      <c r="AD61" t="s">
        <v>12</v>
      </c>
      <c r="AE61" t="str">
        <f t="shared" si="0"/>
        <v>20-24</v>
      </c>
      <c r="AF61" t="str">
        <f t="shared" si="1"/>
        <v>Low Usage</v>
      </c>
      <c r="AG61" t="str">
        <f t="shared" si="2"/>
        <v>Low Loneliness</v>
      </c>
    </row>
    <row r="62" spans="1:33" x14ac:dyDescent="0.3">
      <c r="A62" t="s">
        <v>105</v>
      </c>
      <c r="B62">
        <v>21</v>
      </c>
      <c r="C62" t="s">
        <v>1</v>
      </c>
      <c r="D62" t="s">
        <v>14</v>
      </c>
      <c r="E62" t="s">
        <v>37</v>
      </c>
      <c r="F62" t="s">
        <v>4</v>
      </c>
      <c r="G62" t="s">
        <v>17</v>
      </c>
      <c r="H62" t="s">
        <v>33</v>
      </c>
      <c r="I62" t="s">
        <v>29</v>
      </c>
      <c r="J62" t="s">
        <v>8</v>
      </c>
      <c r="K62" t="s">
        <v>1079</v>
      </c>
      <c r="L62">
        <v>1.46</v>
      </c>
      <c r="M62">
        <v>4.12</v>
      </c>
      <c r="N62">
        <v>2.68</v>
      </c>
      <c r="O62">
        <v>4.2699999999999996</v>
      </c>
      <c r="P62">
        <v>4</v>
      </c>
      <c r="Q62">
        <v>6.4</v>
      </c>
      <c r="R62">
        <v>5.8</v>
      </c>
      <c r="S62">
        <v>4</v>
      </c>
      <c r="T62" t="s">
        <v>10</v>
      </c>
      <c r="U62">
        <v>7.6</v>
      </c>
      <c r="V62">
        <v>6.6</v>
      </c>
      <c r="W62">
        <v>1.5</v>
      </c>
      <c r="X62">
        <v>4.8</v>
      </c>
      <c r="Y62">
        <v>6</v>
      </c>
      <c r="Z62">
        <v>7.1</v>
      </c>
      <c r="AA62">
        <v>4</v>
      </c>
      <c r="AB62" t="s">
        <v>21</v>
      </c>
      <c r="AC62" t="s">
        <v>10</v>
      </c>
      <c r="AD62" t="s">
        <v>22</v>
      </c>
      <c r="AE62" t="str">
        <f t="shared" si="0"/>
        <v>20-24</v>
      </c>
      <c r="AF62" t="str">
        <f t="shared" si="1"/>
        <v>Low Usage</v>
      </c>
      <c r="AG62" t="str">
        <f t="shared" si="2"/>
        <v>High Loneliness</v>
      </c>
    </row>
    <row r="63" spans="1:33" x14ac:dyDescent="0.3">
      <c r="A63" t="s">
        <v>106</v>
      </c>
      <c r="B63">
        <v>32</v>
      </c>
      <c r="C63" t="s">
        <v>1</v>
      </c>
      <c r="D63" t="s">
        <v>14</v>
      </c>
      <c r="E63" t="s">
        <v>37</v>
      </c>
      <c r="F63" t="s">
        <v>4</v>
      </c>
      <c r="G63" t="s">
        <v>17</v>
      </c>
      <c r="H63" t="s">
        <v>33</v>
      </c>
      <c r="I63" t="s">
        <v>35</v>
      </c>
      <c r="J63" t="s">
        <v>38</v>
      </c>
      <c r="K63" t="s">
        <v>1079</v>
      </c>
      <c r="L63">
        <v>0.55000000000000004</v>
      </c>
      <c r="M63">
        <v>1.77</v>
      </c>
      <c r="N63">
        <v>2.54</v>
      </c>
      <c r="O63">
        <v>3.11</v>
      </c>
      <c r="P63">
        <v>2</v>
      </c>
      <c r="Q63">
        <v>7.9</v>
      </c>
      <c r="R63">
        <v>6</v>
      </c>
      <c r="S63">
        <v>2.8</v>
      </c>
      <c r="T63" t="s">
        <v>39</v>
      </c>
      <c r="U63">
        <v>6.7</v>
      </c>
      <c r="V63">
        <v>5.5</v>
      </c>
      <c r="W63">
        <v>4</v>
      </c>
      <c r="X63">
        <v>7.7</v>
      </c>
      <c r="Y63">
        <v>4.2</v>
      </c>
      <c r="Z63">
        <v>8</v>
      </c>
      <c r="AA63">
        <v>6.8</v>
      </c>
      <c r="AB63" t="s">
        <v>44</v>
      </c>
      <c r="AC63" t="s">
        <v>39</v>
      </c>
      <c r="AD63" t="s">
        <v>45</v>
      </c>
      <c r="AE63" t="str">
        <f t="shared" si="0"/>
        <v>25-34</v>
      </c>
      <c r="AF63" t="str">
        <f t="shared" si="1"/>
        <v>Very Low Usage</v>
      </c>
      <c r="AG63" t="str">
        <f t="shared" si="2"/>
        <v>High Loneliness</v>
      </c>
    </row>
    <row r="64" spans="1:33" x14ac:dyDescent="0.3">
      <c r="A64" t="s">
        <v>107</v>
      </c>
      <c r="B64">
        <v>18</v>
      </c>
      <c r="C64" t="s">
        <v>1</v>
      </c>
      <c r="D64" t="s">
        <v>58</v>
      </c>
      <c r="E64" t="s">
        <v>3</v>
      </c>
      <c r="F64" t="s">
        <v>16</v>
      </c>
      <c r="G64" t="s">
        <v>17</v>
      </c>
      <c r="H64" t="s">
        <v>33</v>
      </c>
      <c r="I64" t="s">
        <v>24</v>
      </c>
      <c r="J64" t="s">
        <v>8</v>
      </c>
      <c r="K64" t="s">
        <v>30</v>
      </c>
      <c r="L64">
        <v>2.57</v>
      </c>
      <c r="M64">
        <v>4.13</v>
      </c>
      <c r="N64">
        <v>1.65</v>
      </c>
      <c r="O64">
        <v>4.13</v>
      </c>
      <c r="P64">
        <v>3</v>
      </c>
      <c r="Q64">
        <v>5.3</v>
      </c>
      <c r="R64">
        <v>5.9</v>
      </c>
      <c r="S64">
        <v>4.5999999999999996</v>
      </c>
      <c r="T64" t="s">
        <v>10</v>
      </c>
      <c r="U64">
        <v>5.7</v>
      </c>
      <c r="V64">
        <v>5.3</v>
      </c>
      <c r="W64">
        <v>0</v>
      </c>
      <c r="X64">
        <v>4.8</v>
      </c>
      <c r="Y64">
        <v>1.7</v>
      </c>
      <c r="Z64">
        <v>6.6</v>
      </c>
      <c r="AA64">
        <v>4.4000000000000004</v>
      </c>
      <c r="AB64" t="s">
        <v>44</v>
      </c>
      <c r="AC64" t="s">
        <v>10</v>
      </c>
      <c r="AD64" t="s">
        <v>45</v>
      </c>
      <c r="AE64" t="str">
        <f t="shared" si="0"/>
        <v>15-19</v>
      </c>
      <c r="AF64" t="str">
        <f t="shared" si="1"/>
        <v>Moderate Usage</v>
      </c>
      <c r="AG64" t="str">
        <f t="shared" si="2"/>
        <v>Moderate Loneliness</v>
      </c>
    </row>
    <row r="65" spans="1:33" x14ac:dyDescent="0.3">
      <c r="A65" t="s">
        <v>108</v>
      </c>
      <c r="B65">
        <v>39</v>
      </c>
      <c r="C65" t="s">
        <v>1</v>
      </c>
      <c r="D65" t="s">
        <v>14</v>
      </c>
      <c r="E65" t="s">
        <v>37</v>
      </c>
      <c r="F65" t="s">
        <v>12</v>
      </c>
      <c r="G65" t="s">
        <v>17</v>
      </c>
      <c r="H65" t="s">
        <v>28</v>
      </c>
      <c r="I65" t="s">
        <v>19</v>
      </c>
      <c r="J65" t="s">
        <v>48</v>
      </c>
      <c r="K65" t="s">
        <v>1079</v>
      </c>
      <c r="L65">
        <v>1.57</v>
      </c>
      <c r="M65">
        <v>3.75</v>
      </c>
      <c r="N65">
        <v>3.47</v>
      </c>
      <c r="O65">
        <v>7.32</v>
      </c>
      <c r="P65">
        <v>3</v>
      </c>
      <c r="Q65">
        <v>4.8</v>
      </c>
      <c r="R65">
        <v>6.6</v>
      </c>
      <c r="S65">
        <v>5.7</v>
      </c>
      <c r="T65" t="s">
        <v>10</v>
      </c>
      <c r="U65">
        <v>7.2</v>
      </c>
      <c r="V65">
        <v>3.9</v>
      </c>
      <c r="W65">
        <v>2</v>
      </c>
      <c r="X65">
        <v>6.6</v>
      </c>
      <c r="Y65">
        <v>4.5</v>
      </c>
      <c r="Z65">
        <v>5.7</v>
      </c>
      <c r="AA65">
        <v>4.8</v>
      </c>
      <c r="AB65" t="s">
        <v>44</v>
      </c>
      <c r="AC65" t="s">
        <v>10</v>
      </c>
      <c r="AD65" t="s">
        <v>12</v>
      </c>
      <c r="AE65" t="str">
        <f t="shared" si="0"/>
        <v>35-44</v>
      </c>
      <c r="AF65" t="str">
        <f t="shared" si="1"/>
        <v>Low Usage</v>
      </c>
      <c r="AG65" t="str">
        <f t="shared" si="2"/>
        <v>Moderate Loneliness</v>
      </c>
    </row>
    <row r="66" spans="1:33" x14ac:dyDescent="0.3">
      <c r="A66" t="s">
        <v>109</v>
      </c>
      <c r="B66">
        <v>42</v>
      </c>
      <c r="C66" t="s">
        <v>1</v>
      </c>
      <c r="D66" t="s">
        <v>14</v>
      </c>
      <c r="E66" t="s">
        <v>3</v>
      </c>
      <c r="F66" t="s">
        <v>4</v>
      </c>
      <c r="G66" t="s">
        <v>43</v>
      </c>
      <c r="H66" t="s">
        <v>28</v>
      </c>
      <c r="I66" t="s">
        <v>24</v>
      </c>
      <c r="J66" t="s">
        <v>8</v>
      </c>
      <c r="K66" t="s">
        <v>25</v>
      </c>
      <c r="L66">
        <v>0.27</v>
      </c>
      <c r="M66">
        <v>3.82</v>
      </c>
      <c r="N66">
        <v>1.26</v>
      </c>
      <c r="O66">
        <v>2.79</v>
      </c>
      <c r="P66">
        <v>4</v>
      </c>
      <c r="Q66">
        <v>4.0999999999999996</v>
      </c>
      <c r="R66">
        <v>3.3</v>
      </c>
      <c r="S66">
        <v>4.7</v>
      </c>
      <c r="T66" t="s">
        <v>10</v>
      </c>
      <c r="U66">
        <v>7.4</v>
      </c>
      <c r="V66">
        <v>6.6</v>
      </c>
      <c r="W66">
        <v>6.4</v>
      </c>
      <c r="X66">
        <v>2.9</v>
      </c>
      <c r="Y66">
        <v>4.0999999999999996</v>
      </c>
      <c r="Z66">
        <v>4</v>
      </c>
      <c r="AA66">
        <v>7.1</v>
      </c>
      <c r="AB66" t="s">
        <v>21</v>
      </c>
      <c r="AC66" t="s">
        <v>10</v>
      </c>
      <c r="AD66" t="s">
        <v>22</v>
      </c>
      <c r="AE66" t="str">
        <f t="shared" si="0"/>
        <v>35-44</v>
      </c>
      <c r="AF66" t="str">
        <f t="shared" si="1"/>
        <v>Very Low Usage</v>
      </c>
      <c r="AG66" t="str">
        <f t="shared" si="2"/>
        <v>Moderate Loneliness</v>
      </c>
    </row>
    <row r="67" spans="1:33" x14ac:dyDescent="0.3">
      <c r="A67" t="s">
        <v>110</v>
      </c>
      <c r="B67">
        <v>28</v>
      </c>
      <c r="C67" t="s">
        <v>1</v>
      </c>
      <c r="D67" t="s">
        <v>14</v>
      </c>
      <c r="E67" t="s">
        <v>15</v>
      </c>
      <c r="F67" t="s">
        <v>12</v>
      </c>
      <c r="G67" t="s">
        <v>43</v>
      </c>
      <c r="H67" t="s">
        <v>28</v>
      </c>
      <c r="I67" t="s">
        <v>19</v>
      </c>
      <c r="J67" t="s">
        <v>20</v>
      </c>
      <c r="K67" t="s">
        <v>25</v>
      </c>
      <c r="L67">
        <v>0.22</v>
      </c>
      <c r="M67">
        <v>2.57</v>
      </c>
      <c r="N67">
        <v>1.63</v>
      </c>
      <c r="O67">
        <v>2.33</v>
      </c>
      <c r="P67">
        <v>7</v>
      </c>
      <c r="Q67">
        <v>1</v>
      </c>
      <c r="R67">
        <v>1</v>
      </c>
      <c r="S67">
        <v>10</v>
      </c>
      <c r="T67" t="s">
        <v>10</v>
      </c>
      <c r="U67">
        <v>7.4</v>
      </c>
      <c r="V67">
        <v>8.4</v>
      </c>
      <c r="W67">
        <v>5.3</v>
      </c>
      <c r="X67">
        <v>1</v>
      </c>
      <c r="Y67">
        <v>2.1</v>
      </c>
      <c r="Z67">
        <v>3.6</v>
      </c>
      <c r="AA67">
        <v>8.6999999999999993</v>
      </c>
      <c r="AB67" t="s">
        <v>21</v>
      </c>
      <c r="AC67" t="s">
        <v>10</v>
      </c>
      <c r="AD67" t="s">
        <v>12</v>
      </c>
      <c r="AE67" t="str">
        <f t="shared" ref="AE67:AE130" si="3">IF(B67&lt;20,"15-19",IF(B67&lt;25,"20-24",IF(B67&lt;35,"25-34","35-44")))</f>
        <v>25-34</v>
      </c>
      <c r="AF67" t="str">
        <f t="shared" ref="AF67:AF130" si="4">IF(L67&lt;=1,"Very Low Usage",IF(L67&lt;=2.5,"Low Usage",IF(L67&lt;=4,"Moderate Usage","High Usage")))</f>
        <v>Very Low Usage</v>
      </c>
      <c r="AG67" t="str">
        <f t="shared" ref="AG67:AG130" si="5">IF(Q67&lt;=3,"Low Loneliness",IF(Q67&lt;=6,"Moderate Loneliness","High Loneliness"))</f>
        <v>Low Loneliness</v>
      </c>
    </row>
    <row r="68" spans="1:33" x14ac:dyDescent="0.3">
      <c r="A68" t="s">
        <v>111</v>
      </c>
      <c r="B68">
        <v>32</v>
      </c>
      <c r="C68" t="s">
        <v>1</v>
      </c>
      <c r="D68" t="s">
        <v>14</v>
      </c>
      <c r="E68" t="s">
        <v>37</v>
      </c>
      <c r="F68" t="s">
        <v>4</v>
      </c>
      <c r="G68" t="s">
        <v>17</v>
      </c>
      <c r="H68" t="s">
        <v>33</v>
      </c>
      <c r="I68" t="s">
        <v>7</v>
      </c>
      <c r="J68" t="s">
        <v>38</v>
      </c>
      <c r="K68" t="s">
        <v>53</v>
      </c>
      <c r="L68">
        <v>3.24</v>
      </c>
      <c r="M68">
        <v>3.53</v>
      </c>
      <c r="N68">
        <v>2.42</v>
      </c>
      <c r="O68">
        <v>7.68</v>
      </c>
      <c r="P68">
        <v>5</v>
      </c>
      <c r="Q68">
        <v>4.2</v>
      </c>
      <c r="R68">
        <v>2.2999999999999998</v>
      </c>
      <c r="S68">
        <v>7.7</v>
      </c>
      <c r="T68" t="s">
        <v>10</v>
      </c>
      <c r="U68">
        <v>6.4</v>
      </c>
      <c r="V68">
        <v>6.4</v>
      </c>
      <c r="W68">
        <v>4.5</v>
      </c>
      <c r="X68">
        <v>3.5</v>
      </c>
      <c r="Y68">
        <v>4.9000000000000004</v>
      </c>
      <c r="Z68">
        <v>4.2</v>
      </c>
      <c r="AA68">
        <v>7.3</v>
      </c>
      <c r="AB68" t="s">
        <v>11</v>
      </c>
      <c r="AC68" t="s">
        <v>10</v>
      </c>
      <c r="AD68" t="s">
        <v>12</v>
      </c>
      <c r="AE68" t="str">
        <f t="shared" si="3"/>
        <v>25-34</v>
      </c>
      <c r="AF68" t="str">
        <f t="shared" si="4"/>
        <v>Moderate Usage</v>
      </c>
      <c r="AG68" t="str">
        <f t="shared" si="5"/>
        <v>Moderate Loneliness</v>
      </c>
    </row>
    <row r="69" spans="1:33" x14ac:dyDescent="0.3">
      <c r="A69" t="s">
        <v>112</v>
      </c>
      <c r="B69">
        <v>40</v>
      </c>
      <c r="C69" t="s">
        <v>1</v>
      </c>
      <c r="D69" t="s">
        <v>14</v>
      </c>
      <c r="E69" t="s">
        <v>3</v>
      </c>
      <c r="F69" t="s">
        <v>12</v>
      </c>
      <c r="G69" t="s">
        <v>43</v>
      </c>
      <c r="H69" t="s">
        <v>28</v>
      </c>
      <c r="I69" t="s">
        <v>19</v>
      </c>
      <c r="J69" t="s">
        <v>8</v>
      </c>
      <c r="K69" t="s">
        <v>1079</v>
      </c>
      <c r="L69">
        <v>0.53</v>
      </c>
      <c r="M69">
        <v>5.05</v>
      </c>
      <c r="N69">
        <v>2.58</v>
      </c>
      <c r="O69">
        <v>4</v>
      </c>
      <c r="P69">
        <v>5</v>
      </c>
      <c r="Q69">
        <v>2.2000000000000002</v>
      </c>
      <c r="R69">
        <v>2</v>
      </c>
      <c r="S69">
        <v>7.9</v>
      </c>
      <c r="T69" t="s">
        <v>10</v>
      </c>
      <c r="U69">
        <v>8</v>
      </c>
      <c r="V69">
        <v>8.6999999999999993</v>
      </c>
      <c r="W69">
        <v>4.5999999999999996</v>
      </c>
      <c r="X69">
        <v>2.7</v>
      </c>
      <c r="Y69">
        <v>2.2000000000000002</v>
      </c>
      <c r="Z69">
        <v>4</v>
      </c>
      <c r="AA69">
        <v>6.9</v>
      </c>
      <c r="AB69" t="s">
        <v>21</v>
      </c>
      <c r="AC69" t="s">
        <v>10</v>
      </c>
      <c r="AD69" t="s">
        <v>12</v>
      </c>
      <c r="AE69" t="str">
        <f t="shared" si="3"/>
        <v>35-44</v>
      </c>
      <c r="AF69" t="str">
        <f t="shared" si="4"/>
        <v>Very Low Usage</v>
      </c>
      <c r="AG69" t="str">
        <f t="shared" si="5"/>
        <v>Low Loneliness</v>
      </c>
    </row>
    <row r="70" spans="1:33" x14ac:dyDescent="0.3">
      <c r="A70" t="s">
        <v>113</v>
      </c>
      <c r="B70">
        <v>23</v>
      </c>
      <c r="C70" t="s">
        <v>32</v>
      </c>
      <c r="D70" t="s">
        <v>2</v>
      </c>
      <c r="E70" t="s">
        <v>37</v>
      </c>
      <c r="F70" t="s">
        <v>12</v>
      </c>
      <c r="G70" t="s">
        <v>43</v>
      </c>
      <c r="H70" t="s">
        <v>18</v>
      </c>
      <c r="I70" t="s">
        <v>29</v>
      </c>
      <c r="J70" t="s">
        <v>48</v>
      </c>
      <c r="K70" t="s">
        <v>1079</v>
      </c>
      <c r="L70">
        <v>1.38</v>
      </c>
      <c r="M70">
        <v>4.1900000000000004</v>
      </c>
      <c r="N70">
        <v>1.22</v>
      </c>
      <c r="O70">
        <v>5.58</v>
      </c>
      <c r="P70">
        <v>5</v>
      </c>
      <c r="Q70">
        <v>2.7</v>
      </c>
      <c r="R70">
        <v>3.7</v>
      </c>
      <c r="S70">
        <v>8.4</v>
      </c>
      <c r="T70" t="s">
        <v>10</v>
      </c>
      <c r="U70">
        <v>7.4</v>
      </c>
      <c r="V70">
        <v>9.5</v>
      </c>
      <c r="W70">
        <v>3.9</v>
      </c>
      <c r="X70">
        <v>4.5</v>
      </c>
      <c r="Y70">
        <v>2.7</v>
      </c>
      <c r="Z70">
        <v>3.4</v>
      </c>
      <c r="AA70">
        <v>5.8</v>
      </c>
      <c r="AB70" t="s">
        <v>11</v>
      </c>
      <c r="AC70" t="s">
        <v>39</v>
      </c>
      <c r="AD70" t="s">
        <v>12</v>
      </c>
      <c r="AE70" t="str">
        <f t="shared" si="3"/>
        <v>20-24</v>
      </c>
      <c r="AF70" t="str">
        <f t="shared" si="4"/>
        <v>Low Usage</v>
      </c>
      <c r="AG70" t="str">
        <f t="shared" si="5"/>
        <v>Low Loneliness</v>
      </c>
    </row>
    <row r="71" spans="1:33" x14ac:dyDescent="0.3">
      <c r="A71" t="s">
        <v>114</v>
      </c>
      <c r="B71">
        <v>40</v>
      </c>
      <c r="C71" t="s">
        <v>1</v>
      </c>
      <c r="D71" t="s">
        <v>14</v>
      </c>
      <c r="E71" t="s">
        <v>3</v>
      </c>
      <c r="F71" t="s">
        <v>16</v>
      </c>
      <c r="G71" t="s">
        <v>43</v>
      </c>
      <c r="H71" t="s">
        <v>6</v>
      </c>
      <c r="I71" t="s">
        <v>29</v>
      </c>
      <c r="J71" t="s">
        <v>8</v>
      </c>
      <c r="K71" t="s">
        <v>30</v>
      </c>
      <c r="L71">
        <v>2.57</v>
      </c>
      <c r="M71">
        <v>2.2000000000000002</v>
      </c>
      <c r="N71">
        <v>5.01</v>
      </c>
      <c r="O71">
        <v>11.04</v>
      </c>
      <c r="P71">
        <v>3</v>
      </c>
      <c r="Q71">
        <v>6.8</v>
      </c>
      <c r="R71">
        <v>7.2</v>
      </c>
      <c r="S71">
        <v>3.2</v>
      </c>
      <c r="T71" t="s">
        <v>39</v>
      </c>
      <c r="U71">
        <v>5.6</v>
      </c>
      <c r="V71">
        <v>5.3</v>
      </c>
      <c r="W71">
        <v>3.9</v>
      </c>
      <c r="X71">
        <v>7.7</v>
      </c>
      <c r="Y71">
        <v>8</v>
      </c>
      <c r="Z71">
        <v>7.8</v>
      </c>
      <c r="AA71">
        <v>1.4</v>
      </c>
      <c r="AB71" t="s">
        <v>44</v>
      </c>
      <c r="AC71" t="s">
        <v>39</v>
      </c>
      <c r="AD71" t="s">
        <v>45</v>
      </c>
      <c r="AE71" t="str">
        <f t="shared" si="3"/>
        <v>35-44</v>
      </c>
      <c r="AF71" t="str">
        <f t="shared" si="4"/>
        <v>Moderate Usage</v>
      </c>
      <c r="AG71" t="str">
        <f t="shared" si="5"/>
        <v>High Loneliness</v>
      </c>
    </row>
    <row r="72" spans="1:33" x14ac:dyDescent="0.3">
      <c r="A72" t="s">
        <v>115</v>
      </c>
      <c r="B72">
        <v>35</v>
      </c>
      <c r="C72" t="s">
        <v>1</v>
      </c>
      <c r="D72" t="s">
        <v>47</v>
      </c>
      <c r="E72" t="s">
        <v>37</v>
      </c>
      <c r="F72" t="s">
        <v>4</v>
      </c>
      <c r="G72" t="s">
        <v>17</v>
      </c>
      <c r="H72" t="s">
        <v>6</v>
      </c>
      <c r="I72" t="s">
        <v>19</v>
      </c>
      <c r="J72" t="s">
        <v>20</v>
      </c>
      <c r="K72" t="s">
        <v>53</v>
      </c>
      <c r="L72">
        <v>1.39</v>
      </c>
      <c r="M72">
        <v>4.45</v>
      </c>
      <c r="N72">
        <v>3.31</v>
      </c>
      <c r="O72">
        <v>6.48</v>
      </c>
      <c r="P72">
        <v>4</v>
      </c>
      <c r="Q72">
        <v>5.6</v>
      </c>
      <c r="R72">
        <v>7.9</v>
      </c>
      <c r="S72">
        <v>4.7</v>
      </c>
      <c r="T72" t="s">
        <v>39</v>
      </c>
      <c r="U72">
        <v>7.8</v>
      </c>
      <c r="V72">
        <v>4.0999999999999996</v>
      </c>
      <c r="W72">
        <v>2</v>
      </c>
      <c r="X72">
        <v>5.5</v>
      </c>
      <c r="Y72">
        <v>7.4</v>
      </c>
      <c r="Z72">
        <v>8.1</v>
      </c>
      <c r="AA72">
        <v>6.3</v>
      </c>
      <c r="AB72" t="s">
        <v>21</v>
      </c>
      <c r="AC72" t="s">
        <v>39</v>
      </c>
      <c r="AD72" t="s">
        <v>45</v>
      </c>
      <c r="AE72" t="str">
        <f t="shared" si="3"/>
        <v>35-44</v>
      </c>
      <c r="AF72" t="str">
        <f t="shared" si="4"/>
        <v>Low Usage</v>
      </c>
      <c r="AG72" t="str">
        <f t="shared" si="5"/>
        <v>Moderate Loneliness</v>
      </c>
    </row>
    <row r="73" spans="1:33" x14ac:dyDescent="0.3">
      <c r="A73" t="s">
        <v>116</v>
      </c>
      <c r="B73">
        <v>16</v>
      </c>
      <c r="C73" t="s">
        <v>32</v>
      </c>
      <c r="D73" t="s">
        <v>14</v>
      </c>
      <c r="E73" t="s">
        <v>15</v>
      </c>
      <c r="F73" t="s">
        <v>45</v>
      </c>
      <c r="G73" t="s">
        <v>66</v>
      </c>
      <c r="H73" t="s">
        <v>18</v>
      </c>
      <c r="I73" t="s">
        <v>35</v>
      </c>
      <c r="J73" t="s">
        <v>8</v>
      </c>
      <c r="K73" t="s">
        <v>30</v>
      </c>
      <c r="L73">
        <v>0.03</v>
      </c>
      <c r="M73">
        <v>5.79</v>
      </c>
      <c r="N73">
        <v>3.4</v>
      </c>
      <c r="O73">
        <v>6.81</v>
      </c>
      <c r="P73">
        <v>4</v>
      </c>
      <c r="Q73">
        <v>1</v>
      </c>
      <c r="R73">
        <v>2.8</v>
      </c>
      <c r="S73">
        <v>7.7</v>
      </c>
      <c r="T73" t="s">
        <v>10</v>
      </c>
      <c r="U73">
        <v>8.8000000000000007</v>
      </c>
      <c r="V73">
        <v>10</v>
      </c>
      <c r="W73">
        <v>4.8</v>
      </c>
      <c r="X73">
        <v>1.1000000000000001</v>
      </c>
      <c r="Y73">
        <v>1</v>
      </c>
      <c r="Z73">
        <v>1.7</v>
      </c>
      <c r="AA73">
        <v>8.9</v>
      </c>
      <c r="AB73" t="s">
        <v>11</v>
      </c>
      <c r="AC73" t="s">
        <v>10</v>
      </c>
      <c r="AD73" t="s">
        <v>12</v>
      </c>
      <c r="AE73" t="str">
        <f t="shared" si="3"/>
        <v>15-19</v>
      </c>
      <c r="AF73" t="str">
        <f t="shared" si="4"/>
        <v>Very Low Usage</v>
      </c>
      <c r="AG73" t="str">
        <f t="shared" si="5"/>
        <v>Low Loneliness</v>
      </c>
    </row>
    <row r="74" spans="1:33" x14ac:dyDescent="0.3">
      <c r="A74" t="s">
        <v>117</v>
      </c>
      <c r="B74">
        <v>34</v>
      </c>
      <c r="C74" t="s">
        <v>32</v>
      </c>
      <c r="D74" t="s">
        <v>2</v>
      </c>
      <c r="E74" t="s">
        <v>3</v>
      </c>
      <c r="F74" t="s">
        <v>45</v>
      </c>
      <c r="G74" t="s">
        <v>17</v>
      </c>
      <c r="H74" t="s">
        <v>18</v>
      </c>
      <c r="I74" t="s">
        <v>29</v>
      </c>
      <c r="J74" t="s">
        <v>8</v>
      </c>
      <c r="K74" t="s">
        <v>25</v>
      </c>
      <c r="L74">
        <v>0.53</v>
      </c>
      <c r="M74">
        <v>3.1</v>
      </c>
      <c r="N74">
        <v>0</v>
      </c>
      <c r="O74">
        <v>3.9</v>
      </c>
      <c r="P74">
        <v>5</v>
      </c>
      <c r="Q74">
        <v>3.4</v>
      </c>
      <c r="R74">
        <v>1.9</v>
      </c>
      <c r="S74">
        <v>10</v>
      </c>
      <c r="T74" t="s">
        <v>10</v>
      </c>
      <c r="U74">
        <v>8.1999999999999993</v>
      </c>
      <c r="V74">
        <v>7.9</v>
      </c>
      <c r="W74">
        <v>6.3</v>
      </c>
      <c r="X74">
        <v>1.8</v>
      </c>
      <c r="Y74">
        <v>2</v>
      </c>
      <c r="Z74">
        <v>2.6</v>
      </c>
      <c r="AA74">
        <v>7.9</v>
      </c>
      <c r="AB74" t="s">
        <v>11</v>
      </c>
      <c r="AC74" t="s">
        <v>10</v>
      </c>
      <c r="AD74" t="s">
        <v>12</v>
      </c>
      <c r="AE74" t="str">
        <f t="shared" si="3"/>
        <v>25-34</v>
      </c>
      <c r="AF74" t="str">
        <f t="shared" si="4"/>
        <v>Very Low Usage</v>
      </c>
      <c r="AG74" t="str">
        <f t="shared" si="5"/>
        <v>Moderate Loneliness</v>
      </c>
    </row>
    <row r="75" spans="1:33" x14ac:dyDescent="0.3">
      <c r="A75" t="s">
        <v>118</v>
      </c>
      <c r="B75">
        <v>42</v>
      </c>
      <c r="C75" t="s">
        <v>1</v>
      </c>
      <c r="D75" t="s">
        <v>58</v>
      </c>
      <c r="E75" t="s">
        <v>15</v>
      </c>
      <c r="F75" t="s">
        <v>4</v>
      </c>
      <c r="G75" t="s">
        <v>17</v>
      </c>
      <c r="H75" t="s">
        <v>28</v>
      </c>
      <c r="I75" t="s">
        <v>7</v>
      </c>
      <c r="J75" t="s">
        <v>8</v>
      </c>
      <c r="K75" t="s">
        <v>1079</v>
      </c>
      <c r="L75">
        <v>0.65</v>
      </c>
      <c r="M75">
        <v>4.22</v>
      </c>
      <c r="N75">
        <v>4.57</v>
      </c>
      <c r="O75">
        <v>7.3</v>
      </c>
      <c r="P75">
        <v>5</v>
      </c>
      <c r="Q75">
        <v>3.6</v>
      </c>
      <c r="R75">
        <v>3.6</v>
      </c>
      <c r="S75">
        <v>6.1</v>
      </c>
      <c r="T75" t="s">
        <v>10</v>
      </c>
      <c r="U75">
        <v>8.4</v>
      </c>
      <c r="V75">
        <v>4.9000000000000004</v>
      </c>
      <c r="W75">
        <v>1.5</v>
      </c>
      <c r="X75">
        <v>2.8</v>
      </c>
      <c r="Y75">
        <v>4</v>
      </c>
      <c r="Z75">
        <v>4.3</v>
      </c>
      <c r="AA75">
        <v>8.9</v>
      </c>
      <c r="AB75" t="s">
        <v>11</v>
      </c>
      <c r="AC75" t="s">
        <v>10</v>
      </c>
      <c r="AD75" t="s">
        <v>12</v>
      </c>
      <c r="AE75" t="str">
        <f t="shared" si="3"/>
        <v>35-44</v>
      </c>
      <c r="AF75" t="str">
        <f t="shared" si="4"/>
        <v>Very Low Usage</v>
      </c>
      <c r="AG75" t="str">
        <f t="shared" si="5"/>
        <v>Moderate Loneliness</v>
      </c>
    </row>
    <row r="76" spans="1:33" x14ac:dyDescent="0.3">
      <c r="A76" t="s">
        <v>119</v>
      </c>
      <c r="B76">
        <v>29</v>
      </c>
      <c r="C76" t="s">
        <v>32</v>
      </c>
      <c r="D76" t="s">
        <v>2</v>
      </c>
      <c r="E76" t="s">
        <v>3</v>
      </c>
      <c r="F76" t="s">
        <v>12</v>
      </c>
      <c r="G76" t="s">
        <v>17</v>
      </c>
      <c r="H76" t="s">
        <v>33</v>
      </c>
      <c r="I76" t="s">
        <v>24</v>
      </c>
      <c r="J76" t="s">
        <v>8</v>
      </c>
      <c r="K76" t="s">
        <v>9</v>
      </c>
      <c r="L76">
        <v>2.0299999999999998</v>
      </c>
      <c r="M76">
        <v>4.8</v>
      </c>
      <c r="N76">
        <v>1.73</v>
      </c>
      <c r="O76">
        <v>7.5</v>
      </c>
      <c r="P76">
        <v>6</v>
      </c>
      <c r="Q76">
        <v>2.2999999999999998</v>
      </c>
      <c r="R76">
        <v>3.6</v>
      </c>
      <c r="S76">
        <v>7.1</v>
      </c>
      <c r="T76" t="s">
        <v>10</v>
      </c>
      <c r="U76">
        <v>7.7</v>
      </c>
      <c r="V76">
        <v>7.6</v>
      </c>
      <c r="W76">
        <v>4.3</v>
      </c>
      <c r="X76">
        <v>3.1</v>
      </c>
      <c r="Y76">
        <v>2.8</v>
      </c>
      <c r="Z76">
        <v>2.5</v>
      </c>
      <c r="AA76">
        <v>6.6</v>
      </c>
      <c r="AB76" t="s">
        <v>11</v>
      </c>
      <c r="AC76" t="s">
        <v>10</v>
      </c>
      <c r="AD76" t="s">
        <v>12</v>
      </c>
      <c r="AE76" t="str">
        <f t="shared" si="3"/>
        <v>25-34</v>
      </c>
      <c r="AF76" t="str">
        <f t="shared" si="4"/>
        <v>Low Usage</v>
      </c>
      <c r="AG76" t="str">
        <f t="shared" si="5"/>
        <v>Low Loneliness</v>
      </c>
    </row>
    <row r="77" spans="1:33" x14ac:dyDescent="0.3">
      <c r="A77" t="s">
        <v>120</v>
      </c>
      <c r="B77">
        <v>42</v>
      </c>
      <c r="C77" t="s">
        <v>32</v>
      </c>
      <c r="D77" t="s">
        <v>2</v>
      </c>
      <c r="E77" t="s">
        <v>3</v>
      </c>
      <c r="F77" t="s">
        <v>4</v>
      </c>
      <c r="G77" t="s">
        <v>5</v>
      </c>
      <c r="H77" t="s">
        <v>6</v>
      </c>
      <c r="I77" t="s">
        <v>29</v>
      </c>
      <c r="J77" t="s">
        <v>38</v>
      </c>
      <c r="K77" t="s">
        <v>9</v>
      </c>
      <c r="L77">
        <v>0.5</v>
      </c>
      <c r="M77">
        <v>2.83</v>
      </c>
      <c r="N77">
        <v>3.04</v>
      </c>
      <c r="O77">
        <v>4.92</v>
      </c>
      <c r="P77">
        <v>4</v>
      </c>
      <c r="Q77">
        <v>6.6</v>
      </c>
      <c r="R77">
        <v>4.5999999999999996</v>
      </c>
      <c r="S77">
        <v>8.6</v>
      </c>
      <c r="T77" t="s">
        <v>39</v>
      </c>
      <c r="U77">
        <v>6.1</v>
      </c>
      <c r="V77">
        <v>7.4</v>
      </c>
      <c r="W77">
        <v>2.8</v>
      </c>
      <c r="X77">
        <v>4.9000000000000004</v>
      </c>
      <c r="Y77">
        <v>3.9</v>
      </c>
      <c r="Z77">
        <v>6.3</v>
      </c>
      <c r="AA77">
        <v>5.4</v>
      </c>
      <c r="AB77" t="s">
        <v>21</v>
      </c>
      <c r="AC77" t="s">
        <v>39</v>
      </c>
      <c r="AD77" t="s">
        <v>22</v>
      </c>
      <c r="AE77" t="str">
        <f t="shared" si="3"/>
        <v>35-44</v>
      </c>
      <c r="AF77" t="str">
        <f t="shared" si="4"/>
        <v>Very Low Usage</v>
      </c>
      <c r="AG77" t="str">
        <f t="shared" si="5"/>
        <v>High Loneliness</v>
      </c>
    </row>
    <row r="78" spans="1:33" x14ac:dyDescent="0.3">
      <c r="A78" t="s">
        <v>121</v>
      </c>
      <c r="B78">
        <v>21</v>
      </c>
      <c r="C78" t="s">
        <v>1</v>
      </c>
      <c r="D78" t="s">
        <v>14</v>
      </c>
      <c r="E78" t="s">
        <v>15</v>
      </c>
      <c r="F78" t="s">
        <v>16</v>
      </c>
      <c r="G78" t="s">
        <v>17</v>
      </c>
      <c r="H78" t="s">
        <v>28</v>
      </c>
      <c r="I78" t="s">
        <v>29</v>
      </c>
      <c r="J78" t="s">
        <v>20</v>
      </c>
      <c r="K78" t="s">
        <v>53</v>
      </c>
      <c r="L78">
        <v>0</v>
      </c>
      <c r="M78">
        <v>6.1</v>
      </c>
      <c r="N78">
        <v>0.65</v>
      </c>
      <c r="O78">
        <v>1</v>
      </c>
      <c r="P78">
        <v>6</v>
      </c>
      <c r="Q78">
        <v>2.4</v>
      </c>
      <c r="R78">
        <v>1</v>
      </c>
      <c r="S78">
        <v>8.1999999999999993</v>
      </c>
      <c r="T78" t="s">
        <v>10</v>
      </c>
      <c r="U78">
        <v>7.5</v>
      </c>
      <c r="V78">
        <v>8.3000000000000007</v>
      </c>
      <c r="W78">
        <v>5</v>
      </c>
      <c r="X78">
        <v>1.1000000000000001</v>
      </c>
      <c r="Y78">
        <v>1.4</v>
      </c>
      <c r="Z78">
        <v>3</v>
      </c>
      <c r="AA78">
        <v>7.1</v>
      </c>
      <c r="AB78" t="s">
        <v>11</v>
      </c>
      <c r="AC78" t="s">
        <v>10</v>
      </c>
      <c r="AD78" t="s">
        <v>12</v>
      </c>
      <c r="AE78" t="str">
        <f t="shared" si="3"/>
        <v>20-24</v>
      </c>
      <c r="AF78" t="str">
        <f t="shared" si="4"/>
        <v>Very Low Usage</v>
      </c>
      <c r="AG78" t="str">
        <f t="shared" si="5"/>
        <v>Low Loneliness</v>
      </c>
    </row>
    <row r="79" spans="1:33" x14ac:dyDescent="0.3">
      <c r="A79" t="s">
        <v>122</v>
      </c>
      <c r="B79">
        <v>26</v>
      </c>
      <c r="C79" t="s">
        <v>32</v>
      </c>
      <c r="D79" t="s">
        <v>14</v>
      </c>
      <c r="E79" t="s">
        <v>37</v>
      </c>
      <c r="F79" t="s">
        <v>4</v>
      </c>
      <c r="G79" t="s">
        <v>17</v>
      </c>
      <c r="H79" t="s">
        <v>18</v>
      </c>
      <c r="I79" t="s">
        <v>29</v>
      </c>
      <c r="J79" t="s">
        <v>8</v>
      </c>
      <c r="K79" t="s">
        <v>53</v>
      </c>
      <c r="L79">
        <v>2.31</v>
      </c>
      <c r="M79">
        <v>1.48</v>
      </c>
      <c r="N79">
        <v>1.89</v>
      </c>
      <c r="O79">
        <v>4.6500000000000004</v>
      </c>
      <c r="P79">
        <v>2</v>
      </c>
      <c r="Q79">
        <v>4.3</v>
      </c>
      <c r="R79">
        <v>6.1</v>
      </c>
      <c r="S79">
        <v>5</v>
      </c>
      <c r="T79" t="s">
        <v>10</v>
      </c>
      <c r="U79">
        <v>7</v>
      </c>
      <c r="V79">
        <v>5.8</v>
      </c>
      <c r="W79">
        <v>2.1</v>
      </c>
      <c r="X79">
        <v>5.5</v>
      </c>
      <c r="Y79">
        <v>6.6</v>
      </c>
      <c r="Z79">
        <v>6.6</v>
      </c>
      <c r="AA79">
        <v>2.6</v>
      </c>
      <c r="AB79" t="s">
        <v>44</v>
      </c>
      <c r="AC79" t="s">
        <v>10</v>
      </c>
      <c r="AD79" t="s">
        <v>22</v>
      </c>
      <c r="AE79" t="str">
        <f t="shared" si="3"/>
        <v>25-34</v>
      </c>
      <c r="AF79" t="str">
        <f t="shared" si="4"/>
        <v>Low Usage</v>
      </c>
      <c r="AG79" t="str">
        <f t="shared" si="5"/>
        <v>Moderate Loneliness</v>
      </c>
    </row>
    <row r="80" spans="1:33" x14ac:dyDescent="0.3">
      <c r="A80" t="s">
        <v>123</v>
      </c>
      <c r="B80">
        <v>43</v>
      </c>
      <c r="C80" t="s">
        <v>27</v>
      </c>
      <c r="D80" t="s">
        <v>2</v>
      </c>
      <c r="E80" t="s">
        <v>3</v>
      </c>
      <c r="F80" t="s">
        <v>12</v>
      </c>
      <c r="G80" t="s">
        <v>17</v>
      </c>
      <c r="H80" t="s">
        <v>6</v>
      </c>
      <c r="I80" t="s">
        <v>24</v>
      </c>
      <c r="J80" t="s">
        <v>20</v>
      </c>
      <c r="K80" t="s">
        <v>9</v>
      </c>
      <c r="L80">
        <v>1.1599999999999999</v>
      </c>
      <c r="M80">
        <v>3.91</v>
      </c>
      <c r="N80">
        <v>1.93</v>
      </c>
      <c r="O80">
        <v>4.42</v>
      </c>
      <c r="P80">
        <v>3</v>
      </c>
      <c r="Q80">
        <v>6.1</v>
      </c>
      <c r="R80">
        <v>3</v>
      </c>
      <c r="S80">
        <v>6.8</v>
      </c>
      <c r="T80" t="s">
        <v>10</v>
      </c>
      <c r="U80">
        <v>7.6</v>
      </c>
      <c r="V80">
        <v>5.8</v>
      </c>
      <c r="W80">
        <v>4.5999999999999996</v>
      </c>
      <c r="X80">
        <v>5.4</v>
      </c>
      <c r="Y80">
        <v>3</v>
      </c>
      <c r="Z80">
        <v>5.3</v>
      </c>
      <c r="AA80">
        <v>8.4</v>
      </c>
      <c r="AB80" t="s">
        <v>21</v>
      </c>
      <c r="AC80" t="s">
        <v>10</v>
      </c>
      <c r="AD80" t="s">
        <v>12</v>
      </c>
      <c r="AE80" t="str">
        <f t="shared" si="3"/>
        <v>35-44</v>
      </c>
      <c r="AF80" t="str">
        <f t="shared" si="4"/>
        <v>Low Usage</v>
      </c>
      <c r="AG80" t="str">
        <f t="shared" si="5"/>
        <v>High Loneliness</v>
      </c>
    </row>
    <row r="81" spans="1:33" x14ac:dyDescent="0.3">
      <c r="A81" t="s">
        <v>124</v>
      </c>
      <c r="B81">
        <v>22</v>
      </c>
      <c r="C81" t="s">
        <v>1</v>
      </c>
      <c r="D81" t="s">
        <v>41</v>
      </c>
      <c r="E81" t="s">
        <v>37</v>
      </c>
      <c r="F81" t="s">
        <v>4</v>
      </c>
      <c r="G81" t="s">
        <v>43</v>
      </c>
      <c r="H81" t="s">
        <v>6</v>
      </c>
      <c r="I81" t="s">
        <v>29</v>
      </c>
      <c r="J81" t="s">
        <v>8</v>
      </c>
      <c r="K81" t="s">
        <v>9</v>
      </c>
      <c r="L81">
        <v>2.23</v>
      </c>
      <c r="M81">
        <v>2.9</v>
      </c>
      <c r="N81">
        <v>1.79</v>
      </c>
      <c r="O81">
        <v>6.56</v>
      </c>
      <c r="P81">
        <v>6</v>
      </c>
      <c r="Q81">
        <v>4.3</v>
      </c>
      <c r="R81">
        <v>4.8</v>
      </c>
      <c r="S81">
        <v>4.9000000000000004</v>
      </c>
      <c r="T81" t="s">
        <v>10</v>
      </c>
      <c r="U81">
        <v>7.6</v>
      </c>
      <c r="V81">
        <v>7.9</v>
      </c>
      <c r="W81">
        <v>6.1</v>
      </c>
      <c r="X81">
        <v>4.3</v>
      </c>
      <c r="Y81">
        <v>1.8</v>
      </c>
      <c r="Z81">
        <v>2.7</v>
      </c>
      <c r="AA81">
        <v>8.9</v>
      </c>
      <c r="AB81" t="s">
        <v>21</v>
      </c>
      <c r="AC81" t="s">
        <v>39</v>
      </c>
      <c r="AD81" t="s">
        <v>22</v>
      </c>
      <c r="AE81" t="str">
        <f t="shared" si="3"/>
        <v>20-24</v>
      </c>
      <c r="AF81" t="str">
        <f t="shared" si="4"/>
        <v>Low Usage</v>
      </c>
      <c r="AG81" t="str">
        <f t="shared" si="5"/>
        <v>Moderate Loneliness</v>
      </c>
    </row>
    <row r="82" spans="1:33" x14ac:dyDescent="0.3">
      <c r="A82" t="s">
        <v>125</v>
      </c>
      <c r="B82">
        <v>29</v>
      </c>
      <c r="C82" t="s">
        <v>1</v>
      </c>
      <c r="D82" t="s">
        <v>2</v>
      </c>
      <c r="E82" t="s">
        <v>37</v>
      </c>
      <c r="F82" t="s">
        <v>16</v>
      </c>
      <c r="G82" t="s">
        <v>43</v>
      </c>
      <c r="H82" t="s">
        <v>28</v>
      </c>
      <c r="I82" t="s">
        <v>19</v>
      </c>
      <c r="J82" t="s">
        <v>48</v>
      </c>
      <c r="K82" t="s">
        <v>53</v>
      </c>
      <c r="L82">
        <v>1.52</v>
      </c>
      <c r="M82">
        <v>3.72</v>
      </c>
      <c r="N82">
        <v>2.67</v>
      </c>
      <c r="O82">
        <v>5.03</v>
      </c>
      <c r="P82">
        <v>5</v>
      </c>
      <c r="Q82">
        <v>5.9</v>
      </c>
      <c r="R82">
        <v>3.9</v>
      </c>
      <c r="S82">
        <v>4.7</v>
      </c>
      <c r="T82" t="s">
        <v>10</v>
      </c>
      <c r="U82">
        <v>6</v>
      </c>
      <c r="V82">
        <v>6.2</v>
      </c>
      <c r="W82">
        <v>4.7</v>
      </c>
      <c r="X82">
        <v>5.6</v>
      </c>
      <c r="Y82">
        <v>6.4</v>
      </c>
      <c r="Z82">
        <v>6.7</v>
      </c>
      <c r="AA82">
        <v>7.3</v>
      </c>
      <c r="AB82" t="s">
        <v>11</v>
      </c>
      <c r="AC82" t="s">
        <v>10</v>
      </c>
      <c r="AD82" t="s">
        <v>22</v>
      </c>
      <c r="AE82" t="str">
        <f t="shared" si="3"/>
        <v>25-34</v>
      </c>
      <c r="AF82" t="str">
        <f t="shared" si="4"/>
        <v>Low Usage</v>
      </c>
      <c r="AG82" t="str">
        <f t="shared" si="5"/>
        <v>Moderate Loneliness</v>
      </c>
    </row>
    <row r="83" spans="1:33" x14ac:dyDescent="0.3">
      <c r="A83" t="s">
        <v>126</v>
      </c>
      <c r="B83">
        <v>17</v>
      </c>
      <c r="C83" t="s">
        <v>32</v>
      </c>
      <c r="D83" t="s">
        <v>2</v>
      </c>
      <c r="E83" t="s">
        <v>15</v>
      </c>
      <c r="F83" t="s">
        <v>16</v>
      </c>
      <c r="G83" t="s">
        <v>17</v>
      </c>
      <c r="H83" t="s">
        <v>18</v>
      </c>
      <c r="I83" t="s">
        <v>19</v>
      </c>
      <c r="J83" t="s">
        <v>38</v>
      </c>
      <c r="K83" t="s">
        <v>53</v>
      </c>
      <c r="L83">
        <v>0.8</v>
      </c>
      <c r="M83">
        <v>5.17</v>
      </c>
      <c r="N83">
        <v>3.2</v>
      </c>
      <c r="O83">
        <v>5.33</v>
      </c>
      <c r="P83">
        <v>6</v>
      </c>
      <c r="Q83">
        <v>3.8</v>
      </c>
      <c r="R83">
        <v>4.8</v>
      </c>
      <c r="S83">
        <v>9.5</v>
      </c>
      <c r="T83" t="s">
        <v>10</v>
      </c>
      <c r="U83">
        <v>8</v>
      </c>
      <c r="V83">
        <v>9.1</v>
      </c>
      <c r="W83">
        <v>4</v>
      </c>
      <c r="X83">
        <v>3.3</v>
      </c>
      <c r="Y83">
        <v>3.3</v>
      </c>
      <c r="Z83">
        <v>3.7</v>
      </c>
      <c r="AA83">
        <v>8</v>
      </c>
      <c r="AB83" t="s">
        <v>11</v>
      </c>
      <c r="AC83" t="s">
        <v>10</v>
      </c>
      <c r="AD83" t="s">
        <v>12</v>
      </c>
      <c r="AE83" t="str">
        <f t="shared" si="3"/>
        <v>15-19</v>
      </c>
      <c r="AF83" t="str">
        <f t="shared" si="4"/>
        <v>Very Low Usage</v>
      </c>
      <c r="AG83" t="str">
        <f t="shared" si="5"/>
        <v>Moderate Loneliness</v>
      </c>
    </row>
    <row r="84" spans="1:33" x14ac:dyDescent="0.3">
      <c r="A84" t="s">
        <v>127</v>
      </c>
      <c r="B84">
        <v>28</v>
      </c>
      <c r="C84" t="s">
        <v>32</v>
      </c>
      <c r="D84" t="s">
        <v>47</v>
      </c>
      <c r="E84" t="s">
        <v>37</v>
      </c>
      <c r="F84" t="s">
        <v>12</v>
      </c>
      <c r="G84" t="s">
        <v>43</v>
      </c>
      <c r="H84" t="s">
        <v>28</v>
      </c>
      <c r="I84" t="s">
        <v>24</v>
      </c>
      <c r="J84" t="s">
        <v>20</v>
      </c>
      <c r="K84" t="s">
        <v>53</v>
      </c>
      <c r="L84">
        <v>0</v>
      </c>
      <c r="M84">
        <v>6.07</v>
      </c>
      <c r="N84">
        <v>0.66</v>
      </c>
      <c r="O84">
        <v>1.41</v>
      </c>
      <c r="P84">
        <v>8</v>
      </c>
      <c r="Q84">
        <v>2.5</v>
      </c>
      <c r="R84">
        <v>1</v>
      </c>
      <c r="S84">
        <v>10</v>
      </c>
      <c r="T84" t="s">
        <v>10</v>
      </c>
      <c r="U84">
        <v>8.4</v>
      </c>
      <c r="V84">
        <v>9.8000000000000007</v>
      </c>
      <c r="W84">
        <v>7.4</v>
      </c>
      <c r="X84">
        <v>1</v>
      </c>
      <c r="Y84">
        <v>1</v>
      </c>
      <c r="Z84">
        <v>1.1000000000000001</v>
      </c>
      <c r="AA84">
        <v>10</v>
      </c>
      <c r="AB84" t="s">
        <v>21</v>
      </c>
      <c r="AC84" t="s">
        <v>10</v>
      </c>
      <c r="AD84" t="s">
        <v>12</v>
      </c>
      <c r="AE84" t="str">
        <f t="shared" si="3"/>
        <v>25-34</v>
      </c>
      <c r="AF84" t="str">
        <f t="shared" si="4"/>
        <v>Very Low Usage</v>
      </c>
      <c r="AG84" t="str">
        <f t="shared" si="5"/>
        <v>Low Loneliness</v>
      </c>
    </row>
    <row r="85" spans="1:33" x14ac:dyDescent="0.3">
      <c r="A85" t="s">
        <v>128</v>
      </c>
      <c r="B85">
        <v>31</v>
      </c>
      <c r="C85" t="s">
        <v>1</v>
      </c>
      <c r="D85" t="s">
        <v>2</v>
      </c>
      <c r="E85" t="s">
        <v>15</v>
      </c>
      <c r="F85" t="s">
        <v>16</v>
      </c>
      <c r="G85" t="s">
        <v>43</v>
      </c>
      <c r="H85" t="s">
        <v>28</v>
      </c>
      <c r="I85" t="s">
        <v>29</v>
      </c>
      <c r="J85" t="s">
        <v>51</v>
      </c>
      <c r="K85" t="s">
        <v>9</v>
      </c>
      <c r="L85">
        <v>2.38</v>
      </c>
      <c r="M85">
        <v>3.77</v>
      </c>
      <c r="N85">
        <v>2.72</v>
      </c>
      <c r="O85">
        <v>6.45</v>
      </c>
      <c r="P85">
        <v>3</v>
      </c>
      <c r="Q85">
        <v>4.5999999999999996</v>
      </c>
      <c r="R85">
        <v>4.5</v>
      </c>
      <c r="S85">
        <v>6</v>
      </c>
      <c r="T85" t="s">
        <v>10</v>
      </c>
      <c r="U85">
        <v>7.5</v>
      </c>
      <c r="V85">
        <v>5.8</v>
      </c>
      <c r="W85">
        <v>5.0999999999999996</v>
      </c>
      <c r="X85">
        <v>3.8</v>
      </c>
      <c r="Y85">
        <v>4.3</v>
      </c>
      <c r="Z85">
        <v>6.1</v>
      </c>
      <c r="AA85">
        <v>5.0999999999999996</v>
      </c>
      <c r="AB85" t="s">
        <v>11</v>
      </c>
      <c r="AC85" t="s">
        <v>10</v>
      </c>
      <c r="AD85" t="s">
        <v>12</v>
      </c>
      <c r="AE85" t="str">
        <f t="shared" si="3"/>
        <v>25-34</v>
      </c>
      <c r="AF85" t="str">
        <f t="shared" si="4"/>
        <v>Low Usage</v>
      </c>
      <c r="AG85" t="str">
        <f t="shared" si="5"/>
        <v>Moderate Loneliness</v>
      </c>
    </row>
    <row r="86" spans="1:33" x14ac:dyDescent="0.3">
      <c r="A86" t="s">
        <v>129</v>
      </c>
      <c r="B86">
        <v>18</v>
      </c>
      <c r="C86" t="s">
        <v>1</v>
      </c>
      <c r="D86" t="s">
        <v>14</v>
      </c>
      <c r="E86" t="s">
        <v>15</v>
      </c>
      <c r="F86" t="s">
        <v>12</v>
      </c>
      <c r="G86" t="s">
        <v>43</v>
      </c>
      <c r="H86" t="s">
        <v>6</v>
      </c>
      <c r="I86" t="s">
        <v>19</v>
      </c>
      <c r="J86" t="s">
        <v>20</v>
      </c>
      <c r="K86" t="s">
        <v>53</v>
      </c>
      <c r="L86">
        <v>0.17</v>
      </c>
      <c r="M86">
        <v>4.38</v>
      </c>
      <c r="N86">
        <v>2.56</v>
      </c>
      <c r="O86">
        <v>6.08</v>
      </c>
      <c r="P86">
        <v>4</v>
      </c>
      <c r="Q86">
        <v>1.1000000000000001</v>
      </c>
      <c r="R86">
        <v>4.7</v>
      </c>
      <c r="S86">
        <v>5.9</v>
      </c>
      <c r="T86" t="s">
        <v>10</v>
      </c>
      <c r="U86">
        <v>6.5</v>
      </c>
      <c r="V86">
        <v>8.8000000000000007</v>
      </c>
      <c r="W86">
        <v>4.9000000000000004</v>
      </c>
      <c r="X86">
        <v>5.0999999999999996</v>
      </c>
      <c r="Y86">
        <v>4.5999999999999996</v>
      </c>
      <c r="Z86">
        <v>5.2</v>
      </c>
      <c r="AA86">
        <v>7</v>
      </c>
      <c r="AB86" t="s">
        <v>21</v>
      </c>
      <c r="AC86" t="s">
        <v>10</v>
      </c>
      <c r="AD86" t="s">
        <v>12</v>
      </c>
      <c r="AE86" t="str">
        <f t="shared" si="3"/>
        <v>15-19</v>
      </c>
      <c r="AF86" t="str">
        <f t="shared" si="4"/>
        <v>Very Low Usage</v>
      </c>
      <c r="AG86" t="str">
        <f t="shared" si="5"/>
        <v>Low Loneliness</v>
      </c>
    </row>
    <row r="87" spans="1:33" x14ac:dyDescent="0.3">
      <c r="A87" t="s">
        <v>130</v>
      </c>
      <c r="B87">
        <v>32</v>
      </c>
      <c r="C87" t="s">
        <v>1</v>
      </c>
      <c r="D87" t="s">
        <v>2</v>
      </c>
      <c r="E87" t="s">
        <v>37</v>
      </c>
      <c r="F87" t="s">
        <v>12</v>
      </c>
      <c r="G87" t="s">
        <v>17</v>
      </c>
      <c r="H87" t="s">
        <v>6</v>
      </c>
      <c r="I87" t="s">
        <v>19</v>
      </c>
      <c r="J87" t="s">
        <v>8</v>
      </c>
      <c r="K87" t="s">
        <v>1079</v>
      </c>
      <c r="L87">
        <v>0</v>
      </c>
      <c r="M87">
        <v>5.13</v>
      </c>
      <c r="N87">
        <v>0</v>
      </c>
      <c r="O87">
        <v>2.36</v>
      </c>
      <c r="P87">
        <v>7</v>
      </c>
      <c r="Q87">
        <v>1.8</v>
      </c>
      <c r="R87">
        <v>1.1000000000000001</v>
      </c>
      <c r="S87">
        <v>8.3000000000000007</v>
      </c>
      <c r="T87" t="s">
        <v>39</v>
      </c>
      <c r="U87">
        <v>9.4</v>
      </c>
      <c r="V87">
        <v>7.5</v>
      </c>
      <c r="W87">
        <v>6.7</v>
      </c>
      <c r="X87">
        <v>1</v>
      </c>
      <c r="Y87">
        <v>2.1</v>
      </c>
      <c r="Z87">
        <v>5.8</v>
      </c>
      <c r="AA87">
        <v>7.2</v>
      </c>
      <c r="AB87" t="s">
        <v>11</v>
      </c>
      <c r="AC87" t="s">
        <v>10</v>
      </c>
      <c r="AD87" t="s">
        <v>12</v>
      </c>
      <c r="AE87" t="str">
        <f t="shared" si="3"/>
        <v>25-34</v>
      </c>
      <c r="AF87" t="str">
        <f t="shared" si="4"/>
        <v>Very Low Usage</v>
      </c>
      <c r="AG87" t="str">
        <f t="shared" si="5"/>
        <v>Low Loneliness</v>
      </c>
    </row>
    <row r="88" spans="1:33" x14ac:dyDescent="0.3">
      <c r="A88" t="s">
        <v>131</v>
      </c>
      <c r="B88">
        <v>22</v>
      </c>
      <c r="C88" t="s">
        <v>32</v>
      </c>
      <c r="D88" t="s">
        <v>41</v>
      </c>
      <c r="E88" t="s">
        <v>59</v>
      </c>
      <c r="F88" t="s">
        <v>16</v>
      </c>
      <c r="G88" t="s">
        <v>5</v>
      </c>
      <c r="H88" t="s">
        <v>33</v>
      </c>
      <c r="I88" t="s">
        <v>19</v>
      </c>
      <c r="J88" t="s">
        <v>48</v>
      </c>
      <c r="K88" t="s">
        <v>25</v>
      </c>
      <c r="L88">
        <v>2.61</v>
      </c>
      <c r="M88">
        <v>3.49</v>
      </c>
      <c r="N88">
        <v>1.93</v>
      </c>
      <c r="O88">
        <v>5.96</v>
      </c>
      <c r="P88">
        <v>3</v>
      </c>
      <c r="Q88">
        <v>8</v>
      </c>
      <c r="R88">
        <v>6.2</v>
      </c>
      <c r="S88">
        <v>4.3</v>
      </c>
      <c r="T88" t="s">
        <v>39</v>
      </c>
      <c r="U88">
        <v>6.5</v>
      </c>
      <c r="V88">
        <v>4.8</v>
      </c>
      <c r="W88">
        <v>0</v>
      </c>
      <c r="X88">
        <v>8.4</v>
      </c>
      <c r="Y88">
        <v>7</v>
      </c>
      <c r="Z88">
        <v>5.7</v>
      </c>
      <c r="AA88">
        <v>1</v>
      </c>
      <c r="AB88" t="s">
        <v>21</v>
      </c>
      <c r="AC88" t="s">
        <v>10</v>
      </c>
      <c r="AD88" t="s">
        <v>45</v>
      </c>
      <c r="AE88" t="str">
        <f t="shared" si="3"/>
        <v>20-24</v>
      </c>
      <c r="AF88" t="str">
        <f t="shared" si="4"/>
        <v>Moderate Usage</v>
      </c>
      <c r="AG88" t="str">
        <f t="shared" si="5"/>
        <v>High Loneliness</v>
      </c>
    </row>
    <row r="89" spans="1:33" x14ac:dyDescent="0.3">
      <c r="A89" t="s">
        <v>132</v>
      </c>
      <c r="B89">
        <v>18</v>
      </c>
      <c r="C89" t="s">
        <v>32</v>
      </c>
      <c r="D89" t="s">
        <v>14</v>
      </c>
      <c r="E89" t="s">
        <v>37</v>
      </c>
      <c r="F89" t="s">
        <v>12</v>
      </c>
      <c r="G89" t="s">
        <v>43</v>
      </c>
      <c r="H89" t="s">
        <v>28</v>
      </c>
      <c r="I89" t="s">
        <v>7</v>
      </c>
      <c r="J89" t="s">
        <v>20</v>
      </c>
      <c r="K89" t="s">
        <v>53</v>
      </c>
      <c r="L89">
        <v>2.5</v>
      </c>
      <c r="M89">
        <v>3.96</v>
      </c>
      <c r="N89">
        <v>1.67</v>
      </c>
      <c r="O89">
        <v>7.39</v>
      </c>
      <c r="P89">
        <v>3</v>
      </c>
      <c r="Q89">
        <v>6.7</v>
      </c>
      <c r="R89">
        <v>7</v>
      </c>
      <c r="S89">
        <v>5</v>
      </c>
      <c r="T89" t="s">
        <v>39</v>
      </c>
      <c r="U89">
        <v>6.2</v>
      </c>
      <c r="V89">
        <v>4.5999999999999996</v>
      </c>
      <c r="W89">
        <v>3.2</v>
      </c>
      <c r="X89">
        <v>4.5</v>
      </c>
      <c r="Y89">
        <v>4.0999999999999996</v>
      </c>
      <c r="Z89">
        <v>5</v>
      </c>
      <c r="AA89">
        <v>6.1</v>
      </c>
      <c r="AB89" t="s">
        <v>44</v>
      </c>
      <c r="AC89" t="s">
        <v>10</v>
      </c>
      <c r="AD89" t="s">
        <v>45</v>
      </c>
      <c r="AE89" t="str">
        <f t="shared" si="3"/>
        <v>15-19</v>
      </c>
      <c r="AF89" t="str">
        <f t="shared" si="4"/>
        <v>Low Usage</v>
      </c>
      <c r="AG89" t="str">
        <f t="shared" si="5"/>
        <v>High Loneliness</v>
      </c>
    </row>
    <row r="90" spans="1:33" x14ac:dyDescent="0.3">
      <c r="A90" t="s">
        <v>133</v>
      </c>
      <c r="B90">
        <v>16</v>
      </c>
      <c r="C90" t="s">
        <v>1</v>
      </c>
      <c r="D90" t="s">
        <v>2</v>
      </c>
      <c r="E90" t="s">
        <v>59</v>
      </c>
      <c r="F90" t="s">
        <v>4</v>
      </c>
      <c r="G90" t="s">
        <v>5</v>
      </c>
      <c r="H90" t="s">
        <v>6</v>
      </c>
      <c r="I90" t="s">
        <v>29</v>
      </c>
      <c r="J90" t="s">
        <v>48</v>
      </c>
      <c r="K90" t="s">
        <v>30</v>
      </c>
      <c r="L90">
        <v>4.09</v>
      </c>
      <c r="M90">
        <v>2.74</v>
      </c>
      <c r="N90">
        <v>4.57</v>
      </c>
      <c r="O90">
        <v>10.69</v>
      </c>
      <c r="P90">
        <v>0</v>
      </c>
      <c r="Q90">
        <v>10</v>
      </c>
      <c r="R90">
        <v>7.7</v>
      </c>
      <c r="S90">
        <v>2.5</v>
      </c>
      <c r="T90" t="s">
        <v>39</v>
      </c>
      <c r="U90">
        <v>5.9</v>
      </c>
      <c r="V90">
        <v>3.2</v>
      </c>
      <c r="W90">
        <v>1.5</v>
      </c>
      <c r="X90">
        <v>10</v>
      </c>
      <c r="Y90">
        <v>7</v>
      </c>
      <c r="Z90">
        <v>7.7</v>
      </c>
      <c r="AA90">
        <v>2</v>
      </c>
      <c r="AB90" t="s">
        <v>44</v>
      </c>
      <c r="AC90" t="s">
        <v>39</v>
      </c>
      <c r="AD90" t="s">
        <v>45</v>
      </c>
      <c r="AE90" t="str">
        <f t="shared" si="3"/>
        <v>15-19</v>
      </c>
      <c r="AF90" t="str">
        <f t="shared" si="4"/>
        <v>High Usage</v>
      </c>
      <c r="AG90" t="str">
        <f t="shared" si="5"/>
        <v>High Loneliness</v>
      </c>
    </row>
    <row r="91" spans="1:33" x14ac:dyDescent="0.3">
      <c r="A91" t="s">
        <v>134</v>
      </c>
      <c r="B91">
        <v>44</v>
      </c>
      <c r="C91" t="s">
        <v>32</v>
      </c>
      <c r="D91" t="s">
        <v>14</v>
      </c>
      <c r="E91" t="s">
        <v>3</v>
      </c>
      <c r="F91" t="s">
        <v>12</v>
      </c>
      <c r="G91" t="s">
        <v>17</v>
      </c>
      <c r="H91" t="s">
        <v>18</v>
      </c>
      <c r="I91" t="s">
        <v>7</v>
      </c>
      <c r="J91" t="s">
        <v>51</v>
      </c>
      <c r="K91" t="s">
        <v>53</v>
      </c>
      <c r="L91">
        <v>3.15</v>
      </c>
      <c r="M91">
        <v>3.25</v>
      </c>
      <c r="N91">
        <v>1.46</v>
      </c>
      <c r="O91">
        <v>6.75</v>
      </c>
      <c r="P91">
        <v>5</v>
      </c>
      <c r="Q91">
        <v>5.7</v>
      </c>
      <c r="R91">
        <v>6.5</v>
      </c>
      <c r="S91">
        <v>3.2</v>
      </c>
      <c r="T91" t="s">
        <v>39</v>
      </c>
      <c r="U91">
        <v>7.2</v>
      </c>
      <c r="V91">
        <v>6.6</v>
      </c>
      <c r="W91">
        <v>0.8</v>
      </c>
      <c r="X91">
        <v>4.9000000000000004</v>
      </c>
      <c r="Y91">
        <v>5.2</v>
      </c>
      <c r="Z91">
        <v>6.6</v>
      </c>
      <c r="AA91">
        <v>2.8</v>
      </c>
      <c r="AB91" t="s">
        <v>21</v>
      </c>
      <c r="AC91" t="s">
        <v>10</v>
      </c>
      <c r="AD91" t="s">
        <v>45</v>
      </c>
      <c r="AE91" t="str">
        <f t="shared" si="3"/>
        <v>35-44</v>
      </c>
      <c r="AF91" t="str">
        <f t="shared" si="4"/>
        <v>Moderate Usage</v>
      </c>
      <c r="AG91" t="str">
        <f t="shared" si="5"/>
        <v>Moderate Loneliness</v>
      </c>
    </row>
    <row r="92" spans="1:33" x14ac:dyDescent="0.3">
      <c r="A92" t="s">
        <v>135</v>
      </c>
      <c r="B92">
        <v>20</v>
      </c>
      <c r="C92" t="s">
        <v>32</v>
      </c>
      <c r="D92" t="s">
        <v>2</v>
      </c>
      <c r="E92" t="s">
        <v>15</v>
      </c>
      <c r="F92" t="s">
        <v>16</v>
      </c>
      <c r="G92" t="s">
        <v>5</v>
      </c>
      <c r="H92" t="s">
        <v>28</v>
      </c>
      <c r="I92" t="s">
        <v>24</v>
      </c>
      <c r="J92" t="s">
        <v>20</v>
      </c>
      <c r="K92" t="s">
        <v>25</v>
      </c>
      <c r="L92">
        <v>0.44</v>
      </c>
      <c r="M92">
        <v>3.05</v>
      </c>
      <c r="N92">
        <v>1.17</v>
      </c>
      <c r="O92">
        <v>4.75</v>
      </c>
      <c r="P92">
        <v>2</v>
      </c>
      <c r="Q92">
        <v>3.6</v>
      </c>
      <c r="R92">
        <v>3.7</v>
      </c>
      <c r="S92">
        <v>6</v>
      </c>
      <c r="T92" t="s">
        <v>10</v>
      </c>
      <c r="U92">
        <v>8</v>
      </c>
      <c r="V92">
        <v>6.8</v>
      </c>
      <c r="W92">
        <v>5.0999999999999996</v>
      </c>
      <c r="X92">
        <v>2.5</v>
      </c>
      <c r="Y92">
        <v>1</v>
      </c>
      <c r="Z92">
        <v>3.6</v>
      </c>
      <c r="AA92">
        <v>6.8</v>
      </c>
      <c r="AB92" t="s">
        <v>11</v>
      </c>
      <c r="AC92" t="s">
        <v>10</v>
      </c>
      <c r="AD92" t="s">
        <v>12</v>
      </c>
      <c r="AE92" t="str">
        <f t="shared" si="3"/>
        <v>20-24</v>
      </c>
      <c r="AF92" t="str">
        <f t="shared" si="4"/>
        <v>Very Low Usage</v>
      </c>
      <c r="AG92" t="str">
        <f t="shared" si="5"/>
        <v>Moderate Loneliness</v>
      </c>
    </row>
    <row r="93" spans="1:33" x14ac:dyDescent="0.3">
      <c r="A93" t="s">
        <v>136</v>
      </c>
      <c r="B93">
        <v>36</v>
      </c>
      <c r="C93" t="s">
        <v>1</v>
      </c>
      <c r="D93" t="s">
        <v>14</v>
      </c>
      <c r="E93" t="s">
        <v>37</v>
      </c>
      <c r="F93" t="s">
        <v>16</v>
      </c>
      <c r="G93" t="s">
        <v>5</v>
      </c>
      <c r="H93" t="s">
        <v>18</v>
      </c>
      <c r="I93" t="s">
        <v>19</v>
      </c>
      <c r="J93" t="s">
        <v>38</v>
      </c>
      <c r="K93" t="s">
        <v>1079</v>
      </c>
      <c r="L93">
        <v>1.1599999999999999</v>
      </c>
      <c r="M93">
        <v>5.85</v>
      </c>
      <c r="N93">
        <v>0.23</v>
      </c>
      <c r="O93">
        <v>3.05</v>
      </c>
      <c r="P93">
        <v>6</v>
      </c>
      <c r="Q93">
        <v>3</v>
      </c>
      <c r="R93">
        <v>3.9</v>
      </c>
      <c r="S93">
        <v>9.1999999999999993</v>
      </c>
      <c r="T93" t="s">
        <v>10</v>
      </c>
      <c r="U93">
        <v>6.7</v>
      </c>
      <c r="V93">
        <v>8.8000000000000007</v>
      </c>
      <c r="W93">
        <v>6.5</v>
      </c>
      <c r="X93">
        <v>1</v>
      </c>
      <c r="Y93">
        <v>1</v>
      </c>
      <c r="Z93">
        <v>2.6</v>
      </c>
      <c r="AA93">
        <v>9</v>
      </c>
      <c r="AB93" t="s">
        <v>21</v>
      </c>
      <c r="AC93" t="s">
        <v>10</v>
      </c>
      <c r="AD93" t="s">
        <v>12</v>
      </c>
      <c r="AE93" t="str">
        <f t="shared" si="3"/>
        <v>35-44</v>
      </c>
      <c r="AF93" t="str">
        <f t="shared" si="4"/>
        <v>Low Usage</v>
      </c>
      <c r="AG93" t="str">
        <f t="shared" si="5"/>
        <v>Low Loneliness</v>
      </c>
    </row>
    <row r="94" spans="1:33" x14ac:dyDescent="0.3">
      <c r="A94" t="s">
        <v>137</v>
      </c>
      <c r="B94">
        <v>24</v>
      </c>
      <c r="C94" t="s">
        <v>1</v>
      </c>
      <c r="D94" t="s">
        <v>2</v>
      </c>
      <c r="E94" t="s">
        <v>37</v>
      </c>
      <c r="F94" t="s">
        <v>16</v>
      </c>
      <c r="G94" t="s">
        <v>5</v>
      </c>
      <c r="H94" t="s">
        <v>28</v>
      </c>
      <c r="I94" t="s">
        <v>24</v>
      </c>
      <c r="J94" t="s">
        <v>48</v>
      </c>
      <c r="K94" t="s">
        <v>30</v>
      </c>
      <c r="L94">
        <v>1.26</v>
      </c>
      <c r="M94">
        <v>5.89</v>
      </c>
      <c r="N94">
        <v>2.4900000000000002</v>
      </c>
      <c r="O94">
        <v>6.67</v>
      </c>
      <c r="P94">
        <v>5</v>
      </c>
      <c r="Q94">
        <v>3.9</v>
      </c>
      <c r="R94">
        <v>5.0999999999999996</v>
      </c>
      <c r="S94">
        <v>9.6999999999999993</v>
      </c>
      <c r="T94" t="s">
        <v>10</v>
      </c>
      <c r="U94">
        <v>8.4</v>
      </c>
      <c r="V94">
        <v>8.1999999999999993</v>
      </c>
      <c r="W94">
        <v>4.3</v>
      </c>
      <c r="X94">
        <v>5.7</v>
      </c>
      <c r="Y94">
        <v>3.3</v>
      </c>
      <c r="Z94">
        <v>4.0999999999999996</v>
      </c>
      <c r="AA94">
        <v>7.1</v>
      </c>
      <c r="AB94" t="s">
        <v>21</v>
      </c>
      <c r="AC94" t="s">
        <v>10</v>
      </c>
      <c r="AD94" t="s">
        <v>12</v>
      </c>
      <c r="AE94" t="str">
        <f t="shared" si="3"/>
        <v>20-24</v>
      </c>
      <c r="AF94" t="str">
        <f t="shared" si="4"/>
        <v>Low Usage</v>
      </c>
      <c r="AG94" t="str">
        <f t="shared" si="5"/>
        <v>Moderate Loneliness</v>
      </c>
    </row>
    <row r="95" spans="1:33" x14ac:dyDescent="0.3">
      <c r="A95" t="s">
        <v>138</v>
      </c>
      <c r="B95">
        <v>18</v>
      </c>
      <c r="C95" t="s">
        <v>32</v>
      </c>
      <c r="D95" t="s">
        <v>47</v>
      </c>
      <c r="E95" t="s">
        <v>37</v>
      </c>
      <c r="F95" t="s">
        <v>16</v>
      </c>
      <c r="G95" t="s">
        <v>17</v>
      </c>
      <c r="H95" t="s">
        <v>33</v>
      </c>
      <c r="I95" t="s">
        <v>19</v>
      </c>
      <c r="J95" t="s">
        <v>20</v>
      </c>
      <c r="K95" t="s">
        <v>30</v>
      </c>
      <c r="L95">
        <v>2.0699999999999998</v>
      </c>
      <c r="M95">
        <v>7.19</v>
      </c>
      <c r="N95">
        <v>2.27</v>
      </c>
      <c r="O95">
        <v>7.18</v>
      </c>
      <c r="P95">
        <v>3</v>
      </c>
      <c r="Q95">
        <v>4.2</v>
      </c>
      <c r="R95">
        <v>2.7</v>
      </c>
      <c r="S95">
        <v>8.4</v>
      </c>
      <c r="T95" t="s">
        <v>10</v>
      </c>
      <c r="U95">
        <v>7.2</v>
      </c>
      <c r="V95">
        <v>7.9</v>
      </c>
      <c r="W95">
        <v>5.8</v>
      </c>
      <c r="X95">
        <v>3.9</v>
      </c>
      <c r="Y95">
        <v>1</v>
      </c>
      <c r="Z95">
        <v>2.6</v>
      </c>
      <c r="AA95">
        <v>5.2</v>
      </c>
      <c r="AB95" t="s">
        <v>11</v>
      </c>
      <c r="AC95" t="s">
        <v>10</v>
      </c>
      <c r="AD95" t="s">
        <v>12</v>
      </c>
      <c r="AE95" t="str">
        <f t="shared" si="3"/>
        <v>15-19</v>
      </c>
      <c r="AF95" t="str">
        <f t="shared" si="4"/>
        <v>Low Usage</v>
      </c>
      <c r="AG95" t="str">
        <f t="shared" si="5"/>
        <v>Moderate Loneliness</v>
      </c>
    </row>
    <row r="96" spans="1:33" x14ac:dyDescent="0.3">
      <c r="A96" t="s">
        <v>139</v>
      </c>
      <c r="B96">
        <v>36</v>
      </c>
      <c r="C96" t="s">
        <v>32</v>
      </c>
      <c r="D96" t="s">
        <v>14</v>
      </c>
      <c r="E96" t="s">
        <v>15</v>
      </c>
      <c r="F96" t="s">
        <v>12</v>
      </c>
      <c r="G96" t="s">
        <v>17</v>
      </c>
      <c r="H96" t="s">
        <v>18</v>
      </c>
      <c r="I96" t="s">
        <v>29</v>
      </c>
      <c r="J96" t="s">
        <v>20</v>
      </c>
      <c r="K96" t="s">
        <v>53</v>
      </c>
      <c r="L96">
        <v>1.29</v>
      </c>
      <c r="M96">
        <v>5.33</v>
      </c>
      <c r="N96">
        <v>2.31</v>
      </c>
      <c r="O96">
        <v>5.45</v>
      </c>
      <c r="P96">
        <v>6</v>
      </c>
      <c r="Q96">
        <v>5.5</v>
      </c>
      <c r="R96">
        <v>5.7</v>
      </c>
      <c r="S96">
        <v>7.5</v>
      </c>
      <c r="T96" t="s">
        <v>10</v>
      </c>
      <c r="U96">
        <v>6.9</v>
      </c>
      <c r="V96">
        <v>8.1</v>
      </c>
      <c r="W96">
        <v>5.4</v>
      </c>
      <c r="X96">
        <v>5.5</v>
      </c>
      <c r="Y96">
        <v>5.4</v>
      </c>
      <c r="Z96">
        <v>7</v>
      </c>
      <c r="AA96">
        <v>4.3</v>
      </c>
      <c r="AB96" t="s">
        <v>44</v>
      </c>
      <c r="AC96" t="s">
        <v>10</v>
      </c>
      <c r="AD96" t="s">
        <v>22</v>
      </c>
      <c r="AE96" t="str">
        <f t="shared" si="3"/>
        <v>35-44</v>
      </c>
      <c r="AF96" t="str">
        <f t="shared" si="4"/>
        <v>Low Usage</v>
      </c>
      <c r="AG96" t="str">
        <f t="shared" si="5"/>
        <v>Moderate Loneliness</v>
      </c>
    </row>
    <row r="97" spans="1:33" x14ac:dyDescent="0.3">
      <c r="A97" t="s">
        <v>140</v>
      </c>
      <c r="B97">
        <v>43</v>
      </c>
      <c r="C97" t="s">
        <v>32</v>
      </c>
      <c r="D97" t="s">
        <v>2</v>
      </c>
      <c r="E97" t="s">
        <v>3</v>
      </c>
      <c r="F97" t="s">
        <v>4</v>
      </c>
      <c r="G97" t="s">
        <v>43</v>
      </c>
      <c r="H97" t="s">
        <v>28</v>
      </c>
      <c r="I97" t="s">
        <v>24</v>
      </c>
      <c r="J97" t="s">
        <v>8</v>
      </c>
      <c r="K97" t="s">
        <v>53</v>
      </c>
      <c r="L97">
        <v>0.17</v>
      </c>
      <c r="M97">
        <v>5.2</v>
      </c>
      <c r="N97">
        <v>0</v>
      </c>
      <c r="O97">
        <v>1</v>
      </c>
      <c r="P97">
        <v>2</v>
      </c>
      <c r="Q97">
        <v>1.3</v>
      </c>
      <c r="R97">
        <v>1</v>
      </c>
      <c r="S97">
        <v>9</v>
      </c>
      <c r="T97" t="s">
        <v>10</v>
      </c>
      <c r="U97">
        <v>6.1</v>
      </c>
      <c r="V97">
        <v>10</v>
      </c>
      <c r="W97">
        <v>7.9</v>
      </c>
      <c r="X97">
        <v>1</v>
      </c>
      <c r="Y97">
        <v>2.5</v>
      </c>
      <c r="Z97">
        <v>1.5</v>
      </c>
      <c r="AA97">
        <v>10</v>
      </c>
      <c r="AB97" t="s">
        <v>11</v>
      </c>
      <c r="AC97" t="s">
        <v>10</v>
      </c>
      <c r="AD97" t="s">
        <v>12</v>
      </c>
      <c r="AE97" t="str">
        <f t="shared" si="3"/>
        <v>35-44</v>
      </c>
      <c r="AF97" t="str">
        <f t="shared" si="4"/>
        <v>Very Low Usage</v>
      </c>
      <c r="AG97" t="str">
        <f t="shared" si="5"/>
        <v>Low Loneliness</v>
      </c>
    </row>
    <row r="98" spans="1:33" x14ac:dyDescent="0.3">
      <c r="A98" t="s">
        <v>141</v>
      </c>
      <c r="B98">
        <v>32</v>
      </c>
      <c r="C98" t="s">
        <v>32</v>
      </c>
      <c r="D98" t="s">
        <v>47</v>
      </c>
      <c r="E98" t="s">
        <v>3</v>
      </c>
      <c r="F98" t="s">
        <v>4</v>
      </c>
      <c r="G98" t="s">
        <v>43</v>
      </c>
      <c r="H98" t="s">
        <v>28</v>
      </c>
      <c r="I98" t="s">
        <v>19</v>
      </c>
      <c r="J98" t="s">
        <v>38</v>
      </c>
      <c r="K98" t="s">
        <v>1079</v>
      </c>
      <c r="L98">
        <v>0.91</v>
      </c>
      <c r="M98">
        <v>3.48</v>
      </c>
      <c r="N98">
        <v>2.91</v>
      </c>
      <c r="O98">
        <v>5.83</v>
      </c>
      <c r="P98">
        <v>3</v>
      </c>
      <c r="Q98">
        <v>5.2</v>
      </c>
      <c r="R98">
        <v>5.5</v>
      </c>
      <c r="S98">
        <v>5.0999999999999996</v>
      </c>
      <c r="T98" t="s">
        <v>10</v>
      </c>
      <c r="U98">
        <v>6.1</v>
      </c>
      <c r="V98">
        <v>4.3</v>
      </c>
      <c r="W98">
        <v>5</v>
      </c>
      <c r="X98">
        <v>4.7</v>
      </c>
      <c r="Y98">
        <v>3.6</v>
      </c>
      <c r="Z98">
        <v>5.4</v>
      </c>
      <c r="AA98">
        <v>4.8</v>
      </c>
      <c r="AB98" t="s">
        <v>11</v>
      </c>
      <c r="AC98" t="s">
        <v>10</v>
      </c>
      <c r="AD98" t="s">
        <v>22</v>
      </c>
      <c r="AE98" t="str">
        <f t="shared" si="3"/>
        <v>25-34</v>
      </c>
      <c r="AF98" t="str">
        <f t="shared" si="4"/>
        <v>Very Low Usage</v>
      </c>
      <c r="AG98" t="str">
        <f t="shared" si="5"/>
        <v>Moderate Loneliness</v>
      </c>
    </row>
    <row r="99" spans="1:33" x14ac:dyDescent="0.3">
      <c r="A99" t="s">
        <v>142</v>
      </c>
      <c r="B99">
        <v>40</v>
      </c>
      <c r="C99" t="s">
        <v>1</v>
      </c>
      <c r="D99" t="s">
        <v>58</v>
      </c>
      <c r="E99" t="s">
        <v>15</v>
      </c>
      <c r="F99" t="s">
        <v>12</v>
      </c>
      <c r="G99" t="s">
        <v>17</v>
      </c>
      <c r="H99" t="s">
        <v>28</v>
      </c>
      <c r="I99" t="s">
        <v>24</v>
      </c>
      <c r="J99" t="s">
        <v>48</v>
      </c>
      <c r="K99" t="s">
        <v>1079</v>
      </c>
      <c r="L99">
        <v>3.93</v>
      </c>
      <c r="M99">
        <v>3.63</v>
      </c>
      <c r="N99">
        <v>2.92</v>
      </c>
      <c r="O99">
        <v>9.99</v>
      </c>
      <c r="P99">
        <v>5</v>
      </c>
      <c r="Q99">
        <v>6.8</v>
      </c>
      <c r="R99">
        <v>6.4</v>
      </c>
      <c r="S99">
        <v>6.1</v>
      </c>
      <c r="T99" t="s">
        <v>10</v>
      </c>
      <c r="U99">
        <v>6.5</v>
      </c>
      <c r="V99">
        <v>7.8</v>
      </c>
      <c r="W99">
        <v>5.9</v>
      </c>
      <c r="X99">
        <v>5.6</v>
      </c>
      <c r="Y99">
        <v>4.5</v>
      </c>
      <c r="Z99">
        <v>2.2999999999999998</v>
      </c>
      <c r="AA99">
        <v>7.1</v>
      </c>
      <c r="AB99" t="s">
        <v>21</v>
      </c>
      <c r="AC99" t="s">
        <v>10</v>
      </c>
      <c r="AD99" t="s">
        <v>45</v>
      </c>
      <c r="AE99" t="str">
        <f t="shared" si="3"/>
        <v>35-44</v>
      </c>
      <c r="AF99" t="str">
        <f t="shared" si="4"/>
        <v>Moderate Usage</v>
      </c>
      <c r="AG99" t="str">
        <f t="shared" si="5"/>
        <v>High Loneliness</v>
      </c>
    </row>
    <row r="100" spans="1:33" x14ac:dyDescent="0.3">
      <c r="A100" t="s">
        <v>143</v>
      </c>
      <c r="B100">
        <v>26</v>
      </c>
      <c r="C100" t="s">
        <v>1</v>
      </c>
      <c r="D100" t="s">
        <v>14</v>
      </c>
      <c r="E100" t="s">
        <v>15</v>
      </c>
      <c r="F100" t="s">
        <v>4</v>
      </c>
      <c r="G100" t="s">
        <v>66</v>
      </c>
      <c r="H100" t="s">
        <v>28</v>
      </c>
      <c r="I100" t="s">
        <v>29</v>
      </c>
      <c r="J100" t="s">
        <v>8</v>
      </c>
      <c r="K100" t="s">
        <v>25</v>
      </c>
      <c r="L100">
        <v>2.83</v>
      </c>
      <c r="M100">
        <v>3.01</v>
      </c>
      <c r="N100">
        <v>3.84</v>
      </c>
      <c r="O100">
        <v>9.49</v>
      </c>
      <c r="P100">
        <v>2</v>
      </c>
      <c r="Q100">
        <v>8.5</v>
      </c>
      <c r="R100">
        <v>5.7</v>
      </c>
      <c r="S100">
        <v>4.9000000000000004</v>
      </c>
      <c r="T100" t="s">
        <v>39</v>
      </c>
      <c r="U100">
        <v>7</v>
      </c>
      <c r="V100">
        <v>6.1</v>
      </c>
      <c r="W100">
        <v>2.6</v>
      </c>
      <c r="X100">
        <v>4.0999999999999996</v>
      </c>
      <c r="Y100">
        <v>7.3</v>
      </c>
      <c r="Z100">
        <v>3.9</v>
      </c>
      <c r="AA100">
        <v>7.2</v>
      </c>
      <c r="AB100" t="s">
        <v>21</v>
      </c>
      <c r="AC100" t="s">
        <v>39</v>
      </c>
      <c r="AD100" t="s">
        <v>45</v>
      </c>
      <c r="AE100" t="str">
        <f t="shared" si="3"/>
        <v>25-34</v>
      </c>
      <c r="AF100" t="str">
        <f t="shared" si="4"/>
        <v>Moderate Usage</v>
      </c>
      <c r="AG100" t="str">
        <f t="shared" si="5"/>
        <v>High Loneliness</v>
      </c>
    </row>
    <row r="101" spans="1:33" x14ac:dyDescent="0.3">
      <c r="A101" t="s">
        <v>144</v>
      </c>
      <c r="B101">
        <v>16</v>
      </c>
      <c r="C101" t="s">
        <v>32</v>
      </c>
      <c r="D101" t="s">
        <v>14</v>
      </c>
      <c r="E101" t="s">
        <v>59</v>
      </c>
      <c r="F101" t="s">
        <v>45</v>
      </c>
      <c r="G101" t="s">
        <v>17</v>
      </c>
      <c r="H101" t="s">
        <v>18</v>
      </c>
      <c r="I101" t="s">
        <v>35</v>
      </c>
      <c r="J101" t="s">
        <v>8</v>
      </c>
      <c r="K101" t="s">
        <v>25</v>
      </c>
      <c r="L101">
        <v>0</v>
      </c>
      <c r="M101">
        <v>5.15</v>
      </c>
      <c r="N101">
        <v>3.11</v>
      </c>
      <c r="O101">
        <v>6.82</v>
      </c>
      <c r="P101">
        <v>6</v>
      </c>
      <c r="Q101">
        <v>4.5999999999999996</v>
      </c>
      <c r="R101">
        <v>1.9</v>
      </c>
      <c r="S101">
        <v>10</v>
      </c>
      <c r="T101" t="s">
        <v>10</v>
      </c>
      <c r="U101">
        <v>7.3</v>
      </c>
      <c r="V101">
        <v>8.9</v>
      </c>
      <c r="W101">
        <v>4.8</v>
      </c>
      <c r="X101">
        <v>2</v>
      </c>
      <c r="Y101">
        <v>1</v>
      </c>
      <c r="Z101">
        <v>2.2999999999999998</v>
      </c>
      <c r="AA101">
        <v>7.6</v>
      </c>
      <c r="AB101" t="s">
        <v>11</v>
      </c>
      <c r="AC101" t="s">
        <v>10</v>
      </c>
      <c r="AD101" t="s">
        <v>12</v>
      </c>
      <c r="AE101" t="str">
        <f t="shared" si="3"/>
        <v>15-19</v>
      </c>
      <c r="AF101" t="str">
        <f t="shared" si="4"/>
        <v>Very Low Usage</v>
      </c>
      <c r="AG101" t="str">
        <f t="shared" si="5"/>
        <v>Moderate Loneliness</v>
      </c>
    </row>
    <row r="102" spans="1:33" x14ac:dyDescent="0.3">
      <c r="A102" t="s">
        <v>145</v>
      </c>
      <c r="B102">
        <v>24</v>
      </c>
      <c r="C102" t="s">
        <v>1</v>
      </c>
      <c r="D102" t="s">
        <v>14</v>
      </c>
      <c r="E102" t="s">
        <v>15</v>
      </c>
      <c r="F102" t="s">
        <v>12</v>
      </c>
      <c r="G102" t="s">
        <v>5</v>
      </c>
      <c r="H102" t="s">
        <v>6</v>
      </c>
      <c r="I102" t="s">
        <v>24</v>
      </c>
      <c r="J102" t="s">
        <v>20</v>
      </c>
      <c r="K102" t="s">
        <v>1079</v>
      </c>
      <c r="L102">
        <v>1.61</v>
      </c>
      <c r="M102">
        <v>5.01</v>
      </c>
      <c r="N102">
        <v>3.87</v>
      </c>
      <c r="O102">
        <v>6.99</v>
      </c>
      <c r="P102">
        <v>3</v>
      </c>
      <c r="Q102">
        <v>6.4</v>
      </c>
      <c r="R102">
        <v>3.9</v>
      </c>
      <c r="S102">
        <v>7</v>
      </c>
      <c r="T102" t="s">
        <v>10</v>
      </c>
      <c r="U102">
        <v>5.4</v>
      </c>
      <c r="V102">
        <v>5.8</v>
      </c>
      <c r="W102">
        <v>0</v>
      </c>
      <c r="X102">
        <v>3.5</v>
      </c>
      <c r="Y102">
        <v>5.3</v>
      </c>
      <c r="Z102">
        <v>5.0999999999999996</v>
      </c>
      <c r="AA102">
        <v>6</v>
      </c>
      <c r="AB102" t="s">
        <v>21</v>
      </c>
      <c r="AC102" t="s">
        <v>10</v>
      </c>
      <c r="AD102" t="s">
        <v>22</v>
      </c>
      <c r="AE102" t="str">
        <f t="shared" si="3"/>
        <v>20-24</v>
      </c>
      <c r="AF102" t="str">
        <f t="shared" si="4"/>
        <v>Low Usage</v>
      </c>
      <c r="AG102" t="str">
        <f t="shared" si="5"/>
        <v>High Loneliness</v>
      </c>
    </row>
    <row r="103" spans="1:33" x14ac:dyDescent="0.3">
      <c r="A103" t="s">
        <v>146</v>
      </c>
      <c r="B103">
        <v>44</v>
      </c>
      <c r="C103" t="s">
        <v>1</v>
      </c>
      <c r="D103" t="s">
        <v>41</v>
      </c>
      <c r="E103" t="s">
        <v>59</v>
      </c>
      <c r="F103" t="s">
        <v>4</v>
      </c>
      <c r="G103" t="s">
        <v>43</v>
      </c>
      <c r="H103" t="s">
        <v>28</v>
      </c>
      <c r="I103" t="s">
        <v>29</v>
      </c>
      <c r="J103" t="s">
        <v>8</v>
      </c>
      <c r="K103" t="s">
        <v>30</v>
      </c>
      <c r="L103">
        <v>2.99</v>
      </c>
      <c r="M103">
        <v>0.98</v>
      </c>
      <c r="N103">
        <v>3.96</v>
      </c>
      <c r="O103">
        <v>9.73</v>
      </c>
      <c r="P103">
        <v>4</v>
      </c>
      <c r="Q103">
        <v>5.8</v>
      </c>
      <c r="R103">
        <v>8.1</v>
      </c>
      <c r="S103">
        <v>2.9</v>
      </c>
      <c r="T103" t="s">
        <v>39</v>
      </c>
      <c r="U103">
        <v>6.3</v>
      </c>
      <c r="V103">
        <v>2.4</v>
      </c>
      <c r="W103">
        <v>0.8</v>
      </c>
      <c r="X103">
        <v>7.2</v>
      </c>
      <c r="Y103">
        <v>9.6</v>
      </c>
      <c r="Z103">
        <v>8.1</v>
      </c>
      <c r="AA103">
        <v>1.2</v>
      </c>
      <c r="AB103" t="s">
        <v>21</v>
      </c>
      <c r="AC103" t="s">
        <v>10</v>
      </c>
      <c r="AD103" t="s">
        <v>45</v>
      </c>
      <c r="AE103" t="str">
        <f t="shared" si="3"/>
        <v>35-44</v>
      </c>
      <c r="AF103" t="str">
        <f t="shared" si="4"/>
        <v>Moderate Usage</v>
      </c>
      <c r="AG103" t="str">
        <f t="shared" si="5"/>
        <v>Moderate Loneliness</v>
      </c>
    </row>
    <row r="104" spans="1:33" x14ac:dyDescent="0.3">
      <c r="A104" t="s">
        <v>147</v>
      </c>
      <c r="B104">
        <v>18</v>
      </c>
      <c r="C104" t="s">
        <v>1</v>
      </c>
      <c r="D104" t="s">
        <v>58</v>
      </c>
      <c r="E104" t="s">
        <v>15</v>
      </c>
      <c r="F104" t="s">
        <v>12</v>
      </c>
      <c r="G104" t="s">
        <v>43</v>
      </c>
      <c r="H104" t="s">
        <v>28</v>
      </c>
      <c r="I104" t="s">
        <v>19</v>
      </c>
      <c r="J104" t="s">
        <v>8</v>
      </c>
      <c r="K104" t="s">
        <v>30</v>
      </c>
      <c r="L104">
        <v>1.85</v>
      </c>
      <c r="M104">
        <v>3.94</v>
      </c>
      <c r="N104">
        <v>1.35</v>
      </c>
      <c r="O104">
        <v>4.2</v>
      </c>
      <c r="P104">
        <v>11</v>
      </c>
      <c r="Q104">
        <v>1</v>
      </c>
      <c r="R104">
        <v>3.3</v>
      </c>
      <c r="S104">
        <v>5.6</v>
      </c>
      <c r="T104" t="s">
        <v>10</v>
      </c>
      <c r="U104">
        <v>7.4</v>
      </c>
      <c r="V104">
        <v>8.4</v>
      </c>
      <c r="W104">
        <v>6.9</v>
      </c>
      <c r="X104">
        <v>1</v>
      </c>
      <c r="Y104">
        <v>1</v>
      </c>
      <c r="Z104">
        <v>1.7</v>
      </c>
      <c r="AA104">
        <v>6.9</v>
      </c>
      <c r="AB104" t="s">
        <v>21</v>
      </c>
      <c r="AC104" t="s">
        <v>10</v>
      </c>
      <c r="AD104" t="s">
        <v>12</v>
      </c>
      <c r="AE104" t="str">
        <f t="shared" si="3"/>
        <v>15-19</v>
      </c>
      <c r="AF104" t="str">
        <f t="shared" si="4"/>
        <v>Low Usage</v>
      </c>
      <c r="AG104" t="str">
        <f t="shared" si="5"/>
        <v>Low Loneliness</v>
      </c>
    </row>
    <row r="105" spans="1:33" x14ac:dyDescent="0.3">
      <c r="A105" t="s">
        <v>148</v>
      </c>
      <c r="B105">
        <v>28</v>
      </c>
      <c r="C105" t="s">
        <v>1</v>
      </c>
      <c r="D105" t="s">
        <v>2</v>
      </c>
      <c r="E105" t="s">
        <v>37</v>
      </c>
      <c r="F105" t="s">
        <v>12</v>
      </c>
      <c r="G105" t="s">
        <v>43</v>
      </c>
      <c r="H105" t="s">
        <v>18</v>
      </c>
      <c r="I105" t="s">
        <v>24</v>
      </c>
      <c r="J105" t="s">
        <v>20</v>
      </c>
      <c r="K105" t="s">
        <v>25</v>
      </c>
      <c r="L105">
        <v>1.06</v>
      </c>
      <c r="M105">
        <v>6.2</v>
      </c>
      <c r="N105">
        <v>0.87</v>
      </c>
      <c r="O105">
        <v>4.1399999999999997</v>
      </c>
      <c r="P105">
        <v>6</v>
      </c>
      <c r="Q105">
        <v>2.4</v>
      </c>
      <c r="R105">
        <v>3.2</v>
      </c>
      <c r="S105">
        <v>7.7</v>
      </c>
      <c r="T105" t="s">
        <v>10</v>
      </c>
      <c r="U105">
        <v>7</v>
      </c>
      <c r="V105">
        <v>8.5</v>
      </c>
      <c r="W105">
        <v>4.2</v>
      </c>
      <c r="X105">
        <v>1</v>
      </c>
      <c r="Y105">
        <v>1</v>
      </c>
      <c r="Z105">
        <v>4</v>
      </c>
      <c r="AA105">
        <v>8.4</v>
      </c>
      <c r="AB105" t="s">
        <v>21</v>
      </c>
      <c r="AC105" t="s">
        <v>10</v>
      </c>
      <c r="AD105" t="s">
        <v>12</v>
      </c>
      <c r="AE105" t="str">
        <f t="shared" si="3"/>
        <v>25-34</v>
      </c>
      <c r="AF105" t="str">
        <f t="shared" si="4"/>
        <v>Low Usage</v>
      </c>
      <c r="AG105" t="str">
        <f t="shared" si="5"/>
        <v>Low Loneliness</v>
      </c>
    </row>
    <row r="106" spans="1:33" x14ac:dyDescent="0.3">
      <c r="A106" t="s">
        <v>149</v>
      </c>
      <c r="B106">
        <v>30</v>
      </c>
      <c r="C106" t="s">
        <v>1</v>
      </c>
      <c r="D106" t="s">
        <v>58</v>
      </c>
      <c r="E106" t="s">
        <v>3</v>
      </c>
      <c r="F106" t="s">
        <v>45</v>
      </c>
      <c r="G106" t="s">
        <v>17</v>
      </c>
      <c r="H106" t="s">
        <v>33</v>
      </c>
      <c r="I106" t="s">
        <v>7</v>
      </c>
      <c r="J106" t="s">
        <v>8</v>
      </c>
      <c r="K106" t="s">
        <v>1079</v>
      </c>
      <c r="L106">
        <v>2.0699999999999998</v>
      </c>
      <c r="M106">
        <v>4.67</v>
      </c>
      <c r="N106">
        <v>4.57</v>
      </c>
      <c r="O106">
        <v>9.74</v>
      </c>
      <c r="P106">
        <v>4</v>
      </c>
      <c r="Q106">
        <v>6.5</v>
      </c>
      <c r="R106">
        <v>4.8</v>
      </c>
      <c r="S106">
        <v>3.1</v>
      </c>
      <c r="T106" t="s">
        <v>10</v>
      </c>
      <c r="U106">
        <v>6.6</v>
      </c>
      <c r="V106">
        <v>7.6</v>
      </c>
      <c r="W106">
        <v>3.7</v>
      </c>
      <c r="X106">
        <v>4.9000000000000004</v>
      </c>
      <c r="Y106">
        <v>6.2</v>
      </c>
      <c r="Z106">
        <v>7</v>
      </c>
      <c r="AA106">
        <v>4.4000000000000004</v>
      </c>
      <c r="AB106" t="s">
        <v>21</v>
      </c>
      <c r="AC106" t="s">
        <v>10</v>
      </c>
      <c r="AD106" t="s">
        <v>22</v>
      </c>
      <c r="AE106" t="str">
        <f t="shared" si="3"/>
        <v>25-34</v>
      </c>
      <c r="AF106" t="str">
        <f t="shared" si="4"/>
        <v>Low Usage</v>
      </c>
      <c r="AG106" t="str">
        <f t="shared" si="5"/>
        <v>High Loneliness</v>
      </c>
    </row>
    <row r="107" spans="1:33" x14ac:dyDescent="0.3">
      <c r="A107" t="s">
        <v>150</v>
      </c>
      <c r="B107">
        <v>29</v>
      </c>
      <c r="C107" t="s">
        <v>1</v>
      </c>
      <c r="D107" t="s">
        <v>2</v>
      </c>
      <c r="E107" t="s">
        <v>15</v>
      </c>
      <c r="F107" t="s">
        <v>4</v>
      </c>
      <c r="G107" t="s">
        <v>43</v>
      </c>
      <c r="H107" t="s">
        <v>28</v>
      </c>
      <c r="I107" t="s">
        <v>19</v>
      </c>
      <c r="J107" t="s">
        <v>20</v>
      </c>
      <c r="K107" t="s">
        <v>53</v>
      </c>
      <c r="L107">
        <v>0</v>
      </c>
      <c r="M107">
        <v>4.41</v>
      </c>
      <c r="N107">
        <v>1.7</v>
      </c>
      <c r="O107">
        <v>4.5999999999999996</v>
      </c>
      <c r="P107">
        <v>4</v>
      </c>
      <c r="Q107">
        <v>2.8</v>
      </c>
      <c r="R107">
        <v>3.4</v>
      </c>
      <c r="S107">
        <v>8</v>
      </c>
      <c r="T107" t="s">
        <v>10</v>
      </c>
      <c r="U107">
        <v>6.1</v>
      </c>
      <c r="V107">
        <v>7.4</v>
      </c>
      <c r="W107">
        <v>5.5</v>
      </c>
      <c r="X107">
        <v>3.3</v>
      </c>
      <c r="Y107">
        <v>4.5999999999999996</v>
      </c>
      <c r="Z107">
        <v>4.2</v>
      </c>
      <c r="AA107">
        <v>8.4</v>
      </c>
      <c r="AB107" t="s">
        <v>11</v>
      </c>
      <c r="AC107" t="s">
        <v>10</v>
      </c>
      <c r="AD107" t="s">
        <v>12</v>
      </c>
      <c r="AE107" t="str">
        <f t="shared" si="3"/>
        <v>25-34</v>
      </c>
      <c r="AF107" t="str">
        <f t="shared" si="4"/>
        <v>Very Low Usage</v>
      </c>
      <c r="AG107" t="str">
        <f t="shared" si="5"/>
        <v>Low Loneliness</v>
      </c>
    </row>
    <row r="108" spans="1:33" x14ac:dyDescent="0.3">
      <c r="A108" t="s">
        <v>151</v>
      </c>
      <c r="B108">
        <v>22</v>
      </c>
      <c r="C108" t="s">
        <v>1</v>
      </c>
      <c r="D108" t="s">
        <v>2</v>
      </c>
      <c r="E108" t="s">
        <v>37</v>
      </c>
      <c r="F108" t="s">
        <v>4</v>
      </c>
      <c r="G108" t="s">
        <v>17</v>
      </c>
      <c r="H108" t="s">
        <v>28</v>
      </c>
      <c r="I108" t="s">
        <v>35</v>
      </c>
      <c r="J108" t="s">
        <v>8</v>
      </c>
      <c r="K108" t="s">
        <v>53</v>
      </c>
      <c r="L108">
        <v>2.15</v>
      </c>
      <c r="M108">
        <v>5.91</v>
      </c>
      <c r="N108">
        <v>2.9</v>
      </c>
      <c r="O108">
        <v>7.15</v>
      </c>
      <c r="P108">
        <v>5</v>
      </c>
      <c r="Q108">
        <v>4.7</v>
      </c>
      <c r="R108">
        <v>2.7</v>
      </c>
      <c r="S108">
        <v>5.0999999999999996</v>
      </c>
      <c r="T108" t="s">
        <v>10</v>
      </c>
      <c r="U108">
        <v>7.7</v>
      </c>
      <c r="V108">
        <v>5</v>
      </c>
      <c r="W108">
        <v>6.1</v>
      </c>
      <c r="X108">
        <v>3.4</v>
      </c>
      <c r="Y108">
        <v>2.7</v>
      </c>
      <c r="Z108">
        <v>5.8</v>
      </c>
      <c r="AA108">
        <v>7.6</v>
      </c>
      <c r="AB108" t="s">
        <v>11</v>
      </c>
      <c r="AC108" t="s">
        <v>10</v>
      </c>
      <c r="AD108" t="s">
        <v>45</v>
      </c>
      <c r="AE108" t="str">
        <f t="shared" si="3"/>
        <v>20-24</v>
      </c>
      <c r="AF108" t="str">
        <f t="shared" si="4"/>
        <v>Low Usage</v>
      </c>
      <c r="AG108" t="str">
        <f t="shared" si="5"/>
        <v>Moderate Loneliness</v>
      </c>
    </row>
    <row r="109" spans="1:33" x14ac:dyDescent="0.3">
      <c r="A109" t="s">
        <v>152</v>
      </c>
      <c r="B109">
        <v>28</v>
      </c>
      <c r="C109" t="s">
        <v>1</v>
      </c>
      <c r="D109" t="s">
        <v>14</v>
      </c>
      <c r="E109" t="s">
        <v>3</v>
      </c>
      <c r="F109" t="s">
        <v>16</v>
      </c>
      <c r="G109" t="s">
        <v>5</v>
      </c>
      <c r="H109" t="s">
        <v>18</v>
      </c>
      <c r="I109" t="s">
        <v>29</v>
      </c>
      <c r="J109" t="s">
        <v>8</v>
      </c>
      <c r="K109" t="s">
        <v>1079</v>
      </c>
      <c r="L109">
        <v>4.09</v>
      </c>
      <c r="M109">
        <v>3.35</v>
      </c>
      <c r="N109">
        <v>3.39</v>
      </c>
      <c r="O109">
        <v>9.2100000000000009</v>
      </c>
      <c r="P109">
        <v>1</v>
      </c>
      <c r="Q109">
        <v>6.6</v>
      </c>
      <c r="R109">
        <v>8</v>
      </c>
      <c r="S109">
        <v>4.7</v>
      </c>
      <c r="T109" t="s">
        <v>10</v>
      </c>
      <c r="U109">
        <v>5.8</v>
      </c>
      <c r="V109">
        <v>2.4</v>
      </c>
      <c r="W109">
        <v>0</v>
      </c>
      <c r="X109">
        <v>8.6</v>
      </c>
      <c r="Y109">
        <v>10</v>
      </c>
      <c r="Z109">
        <v>6.1</v>
      </c>
      <c r="AA109">
        <v>3.9</v>
      </c>
      <c r="AB109" t="s">
        <v>21</v>
      </c>
      <c r="AC109" t="s">
        <v>39</v>
      </c>
      <c r="AD109" t="s">
        <v>45</v>
      </c>
      <c r="AE109" t="str">
        <f t="shared" si="3"/>
        <v>25-34</v>
      </c>
      <c r="AF109" t="str">
        <f t="shared" si="4"/>
        <v>High Usage</v>
      </c>
      <c r="AG109" t="str">
        <f t="shared" si="5"/>
        <v>High Loneliness</v>
      </c>
    </row>
    <row r="110" spans="1:33" x14ac:dyDescent="0.3">
      <c r="A110" t="s">
        <v>153</v>
      </c>
      <c r="B110">
        <v>37</v>
      </c>
      <c r="C110" t="s">
        <v>32</v>
      </c>
      <c r="D110" t="s">
        <v>47</v>
      </c>
      <c r="E110" t="s">
        <v>37</v>
      </c>
      <c r="F110" t="s">
        <v>12</v>
      </c>
      <c r="G110" t="s">
        <v>5</v>
      </c>
      <c r="H110" t="s">
        <v>28</v>
      </c>
      <c r="I110" t="s">
        <v>19</v>
      </c>
      <c r="J110" t="s">
        <v>48</v>
      </c>
      <c r="K110" t="s">
        <v>1079</v>
      </c>
      <c r="L110">
        <v>0.93</v>
      </c>
      <c r="M110">
        <v>4.6900000000000004</v>
      </c>
      <c r="N110">
        <v>0.39</v>
      </c>
      <c r="O110">
        <v>2.3199999999999998</v>
      </c>
      <c r="P110">
        <v>6</v>
      </c>
      <c r="Q110">
        <v>5</v>
      </c>
      <c r="R110">
        <v>1</v>
      </c>
      <c r="S110">
        <v>8.6</v>
      </c>
      <c r="T110" t="s">
        <v>39</v>
      </c>
      <c r="U110">
        <v>7.4</v>
      </c>
      <c r="V110">
        <v>10</v>
      </c>
      <c r="W110">
        <v>5.6</v>
      </c>
      <c r="X110">
        <v>4.5999999999999996</v>
      </c>
      <c r="Y110">
        <v>2.2999999999999998</v>
      </c>
      <c r="Z110">
        <v>4.2</v>
      </c>
      <c r="AA110">
        <v>8.1</v>
      </c>
      <c r="AB110" t="s">
        <v>21</v>
      </c>
      <c r="AC110" t="s">
        <v>10</v>
      </c>
      <c r="AD110" t="s">
        <v>12</v>
      </c>
      <c r="AE110" t="str">
        <f t="shared" si="3"/>
        <v>35-44</v>
      </c>
      <c r="AF110" t="str">
        <f t="shared" si="4"/>
        <v>Very Low Usage</v>
      </c>
      <c r="AG110" t="str">
        <f t="shared" si="5"/>
        <v>Moderate Loneliness</v>
      </c>
    </row>
    <row r="111" spans="1:33" x14ac:dyDescent="0.3">
      <c r="A111" t="s">
        <v>154</v>
      </c>
      <c r="B111">
        <v>42</v>
      </c>
      <c r="C111" t="s">
        <v>32</v>
      </c>
      <c r="D111" t="s">
        <v>14</v>
      </c>
      <c r="E111" t="s">
        <v>59</v>
      </c>
      <c r="F111" t="s">
        <v>4</v>
      </c>
      <c r="G111" t="s">
        <v>5</v>
      </c>
      <c r="H111" t="s">
        <v>28</v>
      </c>
      <c r="I111" t="s">
        <v>35</v>
      </c>
      <c r="J111" t="s">
        <v>20</v>
      </c>
      <c r="K111" t="s">
        <v>1079</v>
      </c>
      <c r="L111">
        <v>3.44</v>
      </c>
      <c r="M111">
        <v>0</v>
      </c>
      <c r="N111">
        <v>3.64</v>
      </c>
      <c r="O111">
        <v>8.86</v>
      </c>
      <c r="P111">
        <v>0</v>
      </c>
      <c r="Q111">
        <v>10</v>
      </c>
      <c r="R111">
        <v>8</v>
      </c>
      <c r="S111">
        <v>3.8</v>
      </c>
      <c r="T111" t="s">
        <v>39</v>
      </c>
      <c r="U111">
        <v>6.8</v>
      </c>
      <c r="V111">
        <v>3.2</v>
      </c>
      <c r="W111">
        <v>2.7</v>
      </c>
      <c r="X111">
        <v>7.2</v>
      </c>
      <c r="Y111">
        <v>4.9000000000000004</v>
      </c>
      <c r="Z111">
        <v>9.6999999999999993</v>
      </c>
      <c r="AA111">
        <v>3.3</v>
      </c>
      <c r="AB111" t="s">
        <v>21</v>
      </c>
      <c r="AC111" t="s">
        <v>10</v>
      </c>
      <c r="AD111" t="s">
        <v>45</v>
      </c>
      <c r="AE111" t="str">
        <f t="shared" si="3"/>
        <v>35-44</v>
      </c>
      <c r="AF111" t="str">
        <f t="shared" si="4"/>
        <v>Moderate Usage</v>
      </c>
      <c r="AG111" t="str">
        <f t="shared" si="5"/>
        <v>High Loneliness</v>
      </c>
    </row>
    <row r="112" spans="1:33" x14ac:dyDescent="0.3">
      <c r="A112" t="s">
        <v>155</v>
      </c>
      <c r="B112">
        <v>39</v>
      </c>
      <c r="C112" t="s">
        <v>32</v>
      </c>
      <c r="D112" t="s">
        <v>47</v>
      </c>
      <c r="E112" t="s">
        <v>37</v>
      </c>
      <c r="F112" t="s">
        <v>4</v>
      </c>
      <c r="G112" t="s">
        <v>17</v>
      </c>
      <c r="H112" t="s">
        <v>33</v>
      </c>
      <c r="I112" t="s">
        <v>35</v>
      </c>
      <c r="J112" t="s">
        <v>8</v>
      </c>
      <c r="K112" t="s">
        <v>53</v>
      </c>
      <c r="L112">
        <v>0.82</v>
      </c>
      <c r="M112">
        <v>2.7</v>
      </c>
      <c r="N112">
        <v>1.86</v>
      </c>
      <c r="O112">
        <v>3.37</v>
      </c>
      <c r="P112">
        <v>3</v>
      </c>
      <c r="Q112">
        <v>2.7</v>
      </c>
      <c r="R112">
        <v>2.5</v>
      </c>
      <c r="S112">
        <v>8.1</v>
      </c>
      <c r="T112" t="s">
        <v>10</v>
      </c>
      <c r="U112">
        <v>6.8</v>
      </c>
      <c r="V112">
        <v>8.6999999999999993</v>
      </c>
      <c r="W112">
        <v>3.1</v>
      </c>
      <c r="X112">
        <v>2.1</v>
      </c>
      <c r="Y112">
        <v>5.2</v>
      </c>
      <c r="Z112">
        <v>6.1</v>
      </c>
      <c r="AA112">
        <v>6</v>
      </c>
      <c r="AB112" t="s">
        <v>21</v>
      </c>
      <c r="AC112" t="s">
        <v>10</v>
      </c>
      <c r="AD112" t="s">
        <v>12</v>
      </c>
      <c r="AE112" t="str">
        <f t="shared" si="3"/>
        <v>35-44</v>
      </c>
      <c r="AF112" t="str">
        <f t="shared" si="4"/>
        <v>Very Low Usage</v>
      </c>
      <c r="AG112" t="str">
        <f t="shared" si="5"/>
        <v>Low Loneliness</v>
      </c>
    </row>
    <row r="113" spans="1:33" x14ac:dyDescent="0.3">
      <c r="A113" t="s">
        <v>156</v>
      </c>
      <c r="B113">
        <v>44</v>
      </c>
      <c r="C113" t="s">
        <v>32</v>
      </c>
      <c r="D113" t="s">
        <v>47</v>
      </c>
      <c r="E113" t="s">
        <v>37</v>
      </c>
      <c r="F113" t="s">
        <v>4</v>
      </c>
      <c r="G113" t="s">
        <v>43</v>
      </c>
      <c r="H113" t="s">
        <v>33</v>
      </c>
      <c r="I113" t="s">
        <v>24</v>
      </c>
      <c r="J113" t="s">
        <v>8</v>
      </c>
      <c r="K113" t="s">
        <v>25</v>
      </c>
      <c r="L113">
        <v>1.39</v>
      </c>
      <c r="M113">
        <v>4.58</v>
      </c>
      <c r="N113">
        <v>1.57</v>
      </c>
      <c r="O113">
        <v>4.62</v>
      </c>
      <c r="P113">
        <v>7</v>
      </c>
      <c r="Q113">
        <v>1</v>
      </c>
      <c r="R113">
        <v>1.3</v>
      </c>
      <c r="S113">
        <v>8.8000000000000007</v>
      </c>
      <c r="T113" t="s">
        <v>39</v>
      </c>
      <c r="U113">
        <v>8</v>
      </c>
      <c r="V113">
        <v>8.5</v>
      </c>
      <c r="W113">
        <v>6.8</v>
      </c>
      <c r="X113">
        <v>3.4</v>
      </c>
      <c r="Y113">
        <v>1.1000000000000001</v>
      </c>
      <c r="Z113">
        <v>5.4</v>
      </c>
      <c r="AA113">
        <v>7</v>
      </c>
      <c r="AB113" t="s">
        <v>11</v>
      </c>
      <c r="AC113" t="s">
        <v>39</v>
      </c>
      <c r="AD113" t="s">
        <v>12</v>
      </c>
      <c r="AE113" t="str">
        <f t="shared" si="3"/>
        <v>35-44</v>
      </c>
      <c r="AF113" t="str">
        <f t="shared" si="4"/>
        <v>Low Usage</v>
      </c>
      <c r="AG113" t="str">
        <f t="shared" si="5"/>
        <v>Low Loneliness</v>
      </c>
    </row>
    <row r="114" spans="1:33" x14ac:dyDescent="0.3">
      <c r="A114" t="s">
        <v>157</v>
      </c>
      <c r="B114">
        <v>22</v>
      </c>
      <c r="C114" t="s">
        <v>32</v>
      </c>
      <c r="D114" t="s">
        <v>2</v>
      </c>
      <c r="E114" t="s">
        <v>37</v>
      </c>
      <c r="F114" t="s">
        <v>45</v>
      </c>
      <c r="G114" t="s">
        <v>17</v>
      </c>
      <c r="H114" t="s">
        <v>18</v>
      </c>
      <c r="I114" t="s">
        <v>7</v>
      </c>
      <c r="J114" t="s">
        <v>20</v>
      </c>
      <c r="K114" t="s">
        <v>53</v>
      </c>
      <c r="L114">
        <v>3.71</v>
      </c>
      <c r="M114">
        <v>4.0999999999999996</v>
      </c>
      <c r="N114">
        <v>2.37</v>
      </c>
      <c r="O114">
        <v>6.27</v>
      </c>
      <c r="P114">
        <v>3</v>
      </c>
      <c r="Q114">
        <v>6.2</v>
      </c>
      <c r="R114">
        <v>6</v>
      </c>
      <c r="S114">
        <v>5.5</v>
      </c>
      <c r="T114" t="s">
        <v>10</v>
      </c>
      <c r="U114">
        <v>6.5</v>
      </c>
      <c r="V114">
        <v>4.2</v>
      </c>
      <c r="W114">
        <v>1.2</v>
      </c>
      <c r="X114">
        <v>3.9</v>
      </c>
      <c r="Y114">
        <v>5.8</v>
      </c>
      <c r="Z114">
        <v>6.3</v>
      </c>
      <c r="AA114">
        <v>6.5</v>
      </c>
      <c r="AB114" t="s">
        <v>44</v>
      </c>
      <c r="AC114" t="s">
        <v>39</v>
      </c>
      <c r="AD114" t="s">
        <v>22</v>
      </c>
      <c r="AE114" t="str">
        <f t="shared" si="3"/>
        <v>20-24</v>
      </c>
      <c r="AF114" t="str">
        <f t="shared" si="4"/>
        <v>Moderate Usage</v>
      </c>
      <c r="AG114" t="str">
        <f t="shared" si="5"/>
        <v>High Loneliness</v>
      </c>
    </row>
    <row r="115" spans="1:33" x14ac:dyDescent="0.3">
      <c r="A115" t="s">
        <v>158</v>
      </c>
      <c r="B115">
        <v>35</v>
      </c>
      <c r="C115" t="s">
        <v>1</v>
      </c>
      <c r="D115" t="s">
        <v>14</v>
      </c>
      <c r="E115" t="s">
        <v>3</v>
      </c>
      <c r="F115" t="s">
        <v>16</v>
      </c>
      <c r="G115" t="s">
        <v>17</v>
      </c>
      <c r="H115" t="s">
        <v>33</v>
      </c>
      <c r="I115" t="s">
        <v>29</v>
      </c>
      <c r="J115" t="s">
        <v>8</v>
      </c>
      <c r="K115" t="s">
        <v>53</v>
      </c>
      <c r="L115">
        <v>2.15</v>
      </c>
      <c r="M115">
        <v>4.6399999999999997</v>
      </c>
      <c r="N115">
        <v>2.63</v>
      </c>
      <c r="O115">
        <v>5.47</v>
      </c>
      <c r="P115">
        <v>6</v>
      </c>
      <c r="Q115">
        <v>6.8</v>
      </c>
      <c r="R115">
        <v>5.8</v>
      </c>
      <c r="S115">
        <v>7.6</v>
      </c>
      <c r="T115" t="s">
        <v>10</v>
      </c>
      <c r="U115">
        <v>9.8000000000000007</v>
      </c>
      <c r="V115">
        <v>8.6999999999999993</v>
      </c>
      <c r="W115">
        <v>5.5</v>
      </c>
      <c r="X115">
        <v>3.6</v>
      </c>
      <c r="Y115">
        <v>2.2000000000000002</v>
      </c>
      <c r="Z115">
        <v>4.5</v>
      </c>
      <c r="AA115">
        <v>6.7</v>
      </c>
      <c r="AB115" t="s">
        <v>44</v>
      </c>
      <c r="AC115" t="s">
        <v>10</v>
      </c>
      <c r="AD115" t="s">
        <v>22</v>
      </c>
      <c r="AE115" t="str">
        <f t="shared" si="3"/>
        <v>35-44</v>
      </c>
      <c r="AF115" t="str">
        <f t="shared" si="4"/>
        <v>Low Usage</v>
      </c>
      <c r="AG115" t="str">
        <f t="shared" si="5"/>
        <v>High Loneliness</v>
      </c>
    </row>
    <row r="116" spans="1:33" x14ac:dyDescent="0.3">
      <c r="A116" t="s">
        <v>159</v>
      </c>
      <c r="B116">
        <v>30</v>
      </c>
      <c r="C116" t="s">
        <v>32</v>
      </c>
      <c r="D116" t="s">
        <v>14</v>
      </c>
      <c r="E116" t="s">
        <v>37</v>
      </c>
      <c r="F116" t="s">
        <v>4</v>
      </c>
      <c r="G116" t="s">
        <v>5</v>
      </c>
      <c r="H116" t="s">
        <v>33</v>
      </c>
      <c r="I116" t="s">
        <v>7</v>
      </c>
      <c r="J116" t="s">
        <v>8</v>
      </c>
      <c r="K116" t="s">
        <v>1079</v>
      </c>
      <c r="L116">
        <v>2.29</v>
      </c>
      <c r="M116">
        <v>3.52</v>
      </c>
      <c r="N116">
        <v>3.69</v>
      </c>
      <c r="O116">
        <v>8.84</v>
      </c>
      <c r="P116">
        <v>5</v>
      </c>
      <c r="Q116">
        <v>5</v>
      </c>
      <c r="R116">
        <v>5.5</v>
      </c>
      <c r="S116">
        <v>5.8</v>
      </c>
      <c r="T116" t="s">
        <v>10</v>
      </c>
      <c r="U116">
        <v>7.4</v>
      </c>
      <c r="V116">
        <v>8.1</v>
      </c>
      <c r="W116">
        <v>0.8</v>
      </c>
      <c r="X116">
        <v>2.5</v>
      </c>
      <c r="Y116">
        <v>3.1</v>
      </c>
      <c r="Z116">
        <v>2</v>
      </c>
      <c r="AA116">
        <v>5</v>
      </c>
      <c r="AB116" t="s">
        <v>21</v>
      </c>
      <c r="AC116" t="s">
        <v>10</v>
      </c>
      <c r="AD116" t="s">
        <v>12</v>
      </c>
      <c r="AE116" t="str">
        <f t="shared" si="3"/>
        <v>25-34</v>
      </c>
      <c r="AF116" t="str">
        <f t="shared" si="4"/>
        <v>Low Usage</v>
      </c>
      <c r="AG116" t="str">
        <f t="shared" si="5"/>
        <v>Moderate Loneliness</v>
      </c>
    </row>
    <row r="117" spans="1:33" x14ac:dyDescent="0.3">
      <c r="A117" t="s">
        <v>160</v>
      </c>
      <c r="B117">
        <v>27</v>
      </c>
      <c r="C117" t="s">
        <v>32</v>
      </c>
      <c r="D117" t="s">
        <v>14</v>
      </c>
      <c r="E117" t="s">
        <v>37</v>
      </c>
      <c r="F117" t="s">
        <v>16</v>
      </c>
      <c r="G117" t="s">
        <v>5</v>
      </c>
      <c r="H117" t="s">
        <v>28</v>
      </c>
      <c r="I117" t="s">
        <v>29</v>
      </c>
      <c r="J117" t="s">
        <v>8</v>
      </c>
      <c r="K117" t="s">
        <v>53</v>
      </c>
      <c r="L117">
        <v>0.69</v>
      </c>
      <c r="M117">
        <v>4.6100000000000003</v>
      </c>
      <c r="N117">
        <v>0.06</v>
      </c>
      <c r="O117">
        <v>3.49</v>
      </c>
      <c r="P117">
        <v>6</v>
      </c>
      <c r="Q117">
        <v>3.6</v>
      </c>
      <c r="R117">
        <v>1</v>
      </c>
      <c r="S117">
        <v>8.3000000000000007</v>
      </c>
      <c r="T117" t="s">
        <v>10</v>
      </c>
      <c r="U117">
        <v>6.5</v>
      </c>
      <c r="V117">
        <v>7.7</v>
      </c>
      <c r="W117">
        <v>3.6</v>
      </c>
      <c r="X117">
        <v>4.0999999999999996</v>
      </c>
      <c r="Y117">
        <v>1</v>
      </c>
      <c r="Z117">
        <v>2.2000000000000002</v>
      </c>
      <c r="AA117">
        <v>7.5</v>
      </c>
      <c r="AB117" t="s">
        <v>11</v>
      </c>
      <c r="AC117" t="s">
        <v>39</v>
      </c>
      <c r="AD117" t="s">
        <v>12</v>
      </c>
      <c r="AE117" t="str">
        <f t="shared" si="3"/>
        <v>25-34</v>
      </c>
      <c r="AF117" t="str">
        <f t="shared" si="4"/>
        <v>Very Low Usage</v>
      </c>
      <c r="AG117" t="str">
        <f t="shared" si="5"/>
        <v>Moderate Loneliness</v>
      </c>
    </row>
    <row r="118" spans="1:33" x14ac:dyDescent="0.3">
      <c r="A118" t="s">
        <v>161</v>
      </c>
      <c r="B118">
        <v>32</v>
      </c>
      <c r="C118" t="s">
        <v>32</v>
      </c>
      <c r="D118" t="s">
        <v>14</v>
      </c>
      <c r="E118" t="s">
        <v>3</v>
      </c>
      <c r="F118" t="s">
        <v>12</v>
      </c>
      <c r="G118" t="s">
        <v>43</v>
      </c>
      <c r="H118" t="s">
        <v>28</v>
      </c>
      <c r="I118" t="s">
        <v>29</v>
      </c>
      <c r="J118" t="s">
        <v>51</v>
      </c>
      <c r="K118" t="s">
        <v>30</v>
      </c>
      <c r="L118">
        <v>0.53</v>
      </c>
      <c r="M118">
        <v>3.86</v>
      </c>
      <c r="N118">
        <v>0.48</v>
      </c>
      <c r="O118">
        <v>2.73</v>
      </c>
      <c r="P118">
        <v>3</v>
      </c>
      <c r="Q118">
        <v>4.7</v>
      </c>
      <c r="R118">
        <v>5.6</v>
      </c>
      <c r="S118">
        <v>4.4000000000000004</v>
      </c>
      <c r="T118" t="s">
        <v>10</v>
      </c>
      <c r="U118">
        <v>8.5</v>
      </c>
      <c r="V118">
        <v>7.5</v>
      </c>
      <c r="W118">
        <v>3.7</v>
      </c>
      <c r="X118">
        <v>5.4</v>
      </c>
      <c r="Y118">
        <v>2.2999999999999998</v>
      </c>
      <c r="Z118">
        <v>4.5</v>
      </c>
      <c r="AA118">
        <v>4.0999999999999996</v>
      </c>
      <c r="AB118" t="s">
        <v>11</v>
      </c>
      <c r="AC118" t="s">
        <v>10</v>
      </c>
      <c r="AD118" t="s">
        <v>12</v>
      </c>
      <c r="AE118" t="str">
        <f t="shared" si="3"/>
        <v>25-34</v>
      </c>
      <c r="AF118" t="str">
        <f t="shared" si="4"/>
        <v>Very Low Usage</v>
      </c>
      <c r="AG118" t="str">
        <f t="shared" si="5"/>
        <v>Moderate Loneliness</v>
      </c>
    </row>
    <row r="119" spans="1:33" x14ac:dyDescent="0.3">
      <c r="A119" t="s">
        <v>162</v>
      </c>
      <c r="B119">
        <v>29</v>
      </c>
      <c r="C119" t="s">
        <v>1</v>
      </c>
      <c r="D119" t="s">
        <v>14</v>
      </c>
      <c r="E119" t="s">
        <v>15</v>
      </c>
      <c r="F119" t="s">
        <v>12</v>
      </c>
      <c r="G119" t="s">
        <v>17</v>
      </c>
      <c r="H119" t="s">
        <v>28</v>
      </c>
      <c r="I119" t="s">
        <v>29</v>
      </c>
      <c r="J119" t="s">
        <v>48</v>
      </c>
      <c r="K119" t="s">
        <v>1079</v>
      </c>
      <c r="L119">
        <v>0</v>
      </c>
      <c r="M119">
        <v>6.06</v>
      </c>
      <c r="N119">
        <v>1.68</v>
      </c>
      <c r="O119">
        <v>3.74</v>
      </c>
      <c r="P119">
        <v>7</v>
      </c>
      <c r="Q119">
        <v>1</v>
      </c>
      <c r="R119">
        <v>1</v>
      </c>
      <c r="S119">
        <v>10</v>
      </c>
      <c r="T119" t="s">
        <v>10</v>
      </c>
      <c r="U119">
        <v>9.4</v>
      </c>
      <c r="V119">
        <v>10</v>
      </c>
      <c r="W119">
        <v>6.8</v>
      </c>
      <c r="X119">
        <v>2.2999999999999998</v>
      </c>
      <c r="Y119">
        <v>1</v>
      </c>
      <c r="Z119">
        <v>1.1000000000000001</v>
      </c>
      <c r="AA119">
        <v>9.4</v>
      </c>
      <c r="AB119" t="s">
        <v>11</v>
      </c>
      <c r="AC119" t="s">
        <v>10</v>
      </c>
      <c r="AD119" t="s">
        <v>12</v>
      </c>
      <c r="AE119" t="str">
        <f t="shared" si="3"/>
        <v>25-34</v>
      </c>
      <c r="AF119" t="str">
        <f t="shared" si="4"/>
        <v>Very Low Usage</v>
      </c>
      <c r="AG119" t="str">
        <f t="shared" si="5"/>
        <v>Low Loneliness</v>
      </c>
    </row>
    <row r="120" spans="1:33" x14ac:dyDescent="0.3">
      <c r="A120" t="s">
        <v>163</v>
      </c>
      <c r="B120">
        <v>35</v>
      </c>
      <c r="C120" t="s">
        <v>1</v>
      </c>
      <c r="D120" t="s">
        <v>41</v>
      </c>
      <c r="E120" t="s">
        <v>37</v>
      </c>
      <c r="F120" t="s">
        <v>12</v>
      </c>
      <c r="G120" t="s">
        <v>17</v>
      </c>
      <c r="H120" t="s">
        <v>28</v>
      </c>
      <c r="I120" t="s">
        <v>19</v>
      </c>
      <c r="J120" t="s">
        <v>48</v>
      </c>
      <c r="K120" t="s">
        <v>1079</v>
      </c>
      <c r="L120">
        <v>2.7</v>
      </c>
      <c r="M120">
        <v>3.92</v>
      </c>
      <c r="N120">
        <v>1.26</v>
      </c>
      <c r="O120">
        <v>6.16</v>
      </c>
      <c r="P120">
        <v>5</v>
      </c>
      <c r="Q120">
        <v>6.6</v>
      </c>
      <c r="R120">
        <v>4.4000000000000004</v>
      </c>
      <c r="S120">
        <v>8.5</v>
      </c>
      <c r="T120" t="s">
        <v>10</v>
      </c>
      <c r="U120">
        <v>6.9</v>
      </c>
      <c r="V120">
        <v>6.6</v>
      </c>
      <c r="W120">
        <v>0.9</v>
      </c>
      <c r="X120">
        <v>4.4000000000000004</v>
      </c>
      <c r="Y120">
        <v>5.0999999999999996</v>
      </c>
      <c r="Z120">
        <v>4.4000000000000004</v>
      </c>
      <c r="AA120">
        <v>6.2</v>
      </c>
      <c r="AB120" t="s">
        <v>44</v>
      </c>
      <c r="AC120" t="s">
        <v>10</v>
      </c>
      <c r="AD120" t="s">
        <v>12</v>
      </c>
      <c r="AE120" t="str">
        <f t="shared" si="3"/>
        <v>35-44</v>
      </c>
      <c r="AF120" t="str">
        <f t="shared" si="4"/>
        <v>Moderate Usage</v>
      </c>
      <c r="AG120" t="str">
        <f t="shared" si="5"/>
        <v>High Loneliness</v>
      </c>
    </row>
    <row r="121" spans="1:33" x14ac:dyDescent="0.3">
      <c r="A121" t="s">
        <v>164</v>
      </c>
      <c r="B121">
        <v>38</v>
      </c>
      <c r="C121" t="s">
        <v>1</v>
      </c>
      <c r="D121" t="s">
        <v>2</v>
      </c>
      <c r="E121" t="s">
        <v>15</v>
      </c>
      <c r="F121" t="s">
        <v>4</v>
      </c>
      <c r="G121" t="s">
        <v>43</v>
      </c>
      <c r="H121" t="s">
        <v>33</v>
      </c>
      <c r="I121" t="s">
        <v>29</v>
      </c>
      <c r="J121" t="s">
        <v>48</v>
      </c>
      <c r="K121" t="s">
        <v>1079</v>
      </c>
      <c r="L121">
        <v>4.21</v>
      </c>
      <c r="M121">
        <v>2.54</v>
      </c>
      <c r="N121">
        <v>3.42</v>
      </c>
      <c r="O121">
        <v>10.08</v>
      </c>
      <c r="P121">
        <v>2</v>
      </c>
      <c r="Q121">
        <v>8.3000000000000007</v>
      </c>
      <c r="R121">
        <v>6.6</v>
      </c>
      <c r="S121">
        <v>4.5</v>
      </c>
      <c r="T121" t="s">
        <v>39</v>
      </c>
      <c r="U121">
        <v>5.7</v>
      </c>
      <c r="V121">
        <v>6.3</v>
      </c>
      <c r="W121">
        <v>4</v>
      </c>
      <c r="X121">
        <v>6.1</v>
      </c>
      <c r="Y121">
        <v>6.1</v>
      </c>
      <c r="Z121">
        <v>7.6</v>
      </c>
      <c r="AA121">
        <v>3.8</v>
      </c>
      <c r="AB121" t="s">
        <v>44</v>
      </c>
      <c r="AC121" t="s">
        <v>39</v>
      </c>
      <c r="AD121" t="s">
        <v>45</v>
      </c>
      <c r="AE121" t="str">
        <f t="shared" si="3"/>
        <v>35-44</v>
      </c>
      <c r="AF121" t="str">
        <f t="shared" si="4"/>
        <v>High Usage</v>
      </c>
      <c r="AG121" t="str">
        <f t="shared" si="5"/>
        <v>High Loneliness</v>
      </c>
    </row>
    <row r="122" spans="1:33" x14ac:dyDescent="0.3">
      <c r="A122" t="s">
        <v>165</v>
      </c>
      <c r="B122">
        <v>40</v>
      </c>
      <c r="C122" t="s">
        <v>1</v>
      </c>
      <c r="D122" t="s">
        <v>14</v>
      </c>
      <c r="E122" t="s">
        <v>15</v>
      </c>
      <c r="F122" t="s">
        <v>4</v>
      </c>
      <c r="G122" t="s">
        <v>5</v>
      </c>
      <c r="H122" t="s">
        <v>6</v>
      </c>
      <c r="I122" t="s">
        <v>29</v>
      </c>
      <c r="J122" t="s">
        <v>48</v>
      </c>
      <c r="K122" t="s">
        <v>53</v>
      </c>
      <c r="L122">
        <v>0.05</v>
      </c>
      <c r="M122">
        <v>4.2699999999999996</v>
      </c>
      <c r="N122">
        <v>1.34</v>
      </c>
      <c r="O122">
        <v>3.74</v>
      </c>
      <c r="P122">
        <v>8</v>
      </c>
      <c r="Q122">
        <v>1.8</v>
      </c>
      <c r="R122">
        <v>1</v>
      </c>
      <c r="S122">
        <v>9.4</v>
      </c>
      <c r="T122" t="s">
        <v>10</v>
      </c>
      <c r="U122">
        <v>7</v>
      </c>
      <c r="V122">
        <v>7.9</v>
      </c>
      <c r="W122">
        <v>7.2</v>
      </c>
      <c r="X122">
        <v>1</v>
      </c>
      <c r="Y122">
        <v>1</v>
      </c>
      <c r="Z122">
        <v>2.2000000000000002</v>
      </c>
      <c r="AA122">
        <v>9.5</v>
      </c>
      <c r="AB122" t="s">
        <v>11</v>
      </c>
      <c r="AC122" t="s">
        <v>10</v>
      </c>
      <c r="AD122" t="s">
        <v>12</v>
      </c>
      <c r="AE122" t="str">
        <f t="shared" si="3"/>
        <v>35-44</v>
      </c>
      <c r="AF122" t="str">
        <f t="shared" si="4"/>
        <v>Very Low Usage</v>
      </c>
      <c r="AG122" t="str">
        <f t="shared" si="5"/>
        <v>Low Loneliness</v>
      </c>
    </row>
    <row r="123" spans="1:33" x14ac:dyDescent="0.3">
      <c r="A123" t="s">
        <v>166</v>
      </c>
      <c r="B123">
        <v>39</v>
      </c>
      <c r="C123" t="s">
        <v>32</v>
      </c>
      <c r="D123" t="s">
        <v>14</v>
      </c>
      <c r="E123" t="s">
        <v>3</v>
      </c>
      <c r="F123" t="s">
        <v>16</v>
      </c>
      <c r="G123" t="s">
        <v>17</v>
      </c>
      <c r="H123" t="s">
        <v>6</v>
      </c>
      <c r="I123" t="s">
        <v>29</v>
      </c>
      <c r="J123" t="s">
        <v>20</v>
      </c>
      <c r="K123" t="s">
        <v>53</v>
      </c>
      <c r="L123">
        <v>1.25</v>
      </c>
      <c r="M123">
        <v>4.24</v>
      </c>
      <c r="N123">
        <v>2.0299999999999998</v>
      </c>
      <c r="O123">
        <v>3.95</v>
      </c>
      <c r="P123">
        <v>4</v>
      </c>
      <c r="Q123">
        <v>2.1</v>
      </c>
      <c r="R123">
        <v>3.8</v>
      </c>
      <c r="S123">
        <v>7.2</v>
      </c>
      <c r="T123" t="s">
        <v>10</v>
      </c>
      <c r="U123">
        <v>7.7</v>
      </c>
      <c r="V123">
        <v>6.8</v>
      </c>
      <c r="W123">
        <v>7.3</v>
      </c>
      <c r="X123">
        <v>2.1</v>
      </c>
      <c r="Y123">
        <v>1.6</v>
      </c>
      <c r="Z123">
        <v>4.4000000000000004</v>
      </c>
      <c r="AA123">
        <v>5.7</v>
      </c>
      <c r="AB123" t="s">
        <v>21</v>
      </c>
      <c r="AC123" t="s">
        <v>10</v>
      </c>
      <c r="AD123" t="s">
        <v>12</v>
      </c>
      <c r="AE123" t="str">
        <f t="shared" si="3"/>
        <v>35-44</v>
      </c>
      <c r="AF123" t="str">
        <f t="shared" si="4"/>
        <v>Low Usage</v>
      </c>
      <c r="AG123" t="str">
        <f t="shared" si="5"/>
        <v>Low Loneliness</v>
      </c>
    </row>
    <row r="124" spans="1:33" x14ac:dyDescent="0.3">
      <c r="A124" t="s">
        <v>167</v>
      </c>
      <c r="B124">
        <v>42</v>
      </c>
      <c r="C124" t="s">
        <v>32</v>
      </c>
      <c r="D124" t="s">
        <v>2</v>
      </c>
      <c r="E124" t="s">
        <v>15</v>
      </c>
      <c r="F124" t="s">
        <v>45</v>
      </c>
      <c r="G124" t="s">
        <v>5</v>
      </c>
      <c r="H124" t="s">
        <v>33</v>
      </c>
      <c r="I124" t="s">
        <v>29</v>
      </c>
      <c r="J124" t="s">
        <v>48</v>
      </c>
      <c r="K124" t="s">
        <v>9</v>
      </c>
      <c r="L124">
        <v>1.24</v>
      </c>
      <c r="M124">
        <v>4.9400000000000004</v>
      </c>
      <c r="N124">
        <v>1.55</v>
      </c>
      <c r="O124">
        <v>2.34</v>
      </c>
      <c r="P124">
        <v>4</v>
      </c>
      <c r="Q124">
        <v>5.6</v>
      </c>
      <c r="R124">
        <v>2.9</v>
      </c>
      <c r="S124">
        <v>7.7</v>
      </c>
      <c r="T124" t="s">
        <v>39</v>
      </c>
      <c r="U124">
        <v>7</v>
      </c>
      <c r="V124">
        <v>8.1</v>
      </c>
      <c r="W124">
        <v>6.1</v>
      </c>
      <c r="X124">
        <v>4.5</v>
      </c>
      <c r="Y124">
        <v>2.6</v>
      </c>
      <c r="Z124">
        <v>4.5</v>
      </c>
      <c r="AA124">
        <v>6.4</v>
      </c>
      <c r="AB124" t="s">
        <v>11</v>
      </c>
      <c r="AC124" t="s">
        <v>10</v>
      </c>
      <c r="AD124" t="s">
        <v>12</v>
      </c>
      <c r="AE124" t="str">
        <f t="shared" si="3"/>
        <v>35-44</v>
      </c>
      <c r="AF124" t="str">
        <f t="shared" si="4"/>
        <v>Low Usage</v>
      </c>
      <c r="AG124" t="str">
        <f t="shared" si="5"/>
        <v>Moderate Loneliness</v>
      </c>
    </row>
    <row r="125" spans="1:33" x14ac:dyDescent="0.3">
      <c r="A125" t="s">
        <v>168</v>
      </c>
      <c r="B125">
        <v>42</v>
      </c>
      <c r="C125" t="s">
        <v>1</v>
      </c>
      <c r="D125" t="s">
        <v>2</v>
      </c>
      <c r="E125" t="s">
        <v>37</v>
      </c>
      <c r="F125" t="s">
        <v>4</v>
      </c>
      <c r="G125" t="s">
        <v>5</v>
      </c>
      <c r="H125" t="s">
        <v>28</v>
      </c>
      <c r="I125" t="s">
        <v>24</v>
      </c>
      <c r="J125" t="s">
        <v>8</v>
      </c>
      <c r="K125" t="s">
        <v>1079</v>
      </c>
      <c r="L125">
        <v>0</v>
      </c>
      <c r="M125">
        <v>6.65</v>
      </c>
      <c r="N125">
        <v>1.06</v>
      </c>
      <c r="O125">
        <v>2.04</v>
      </c>
      <c r="P125">
        <v>4</v>
      </c>
      <c r="Q125">
        <v>1</v>
      </c>
      <c r="R125">
        <v>1</v>
      </c>
      <c r="S125">
        <v>9.3000000000000007</v>
      </c>
      <c r="T125" t="s">
        <v>10</v>
      </c>
      <c r="U125">
        <v>7.3</v>
      </c>
      <c r="V125">
        <v>9.6</v>
      </c>
      <c r="W125">
        <v>4.7</v>
      </c>
      <c r="X125">
        <v>5.5</v>
      </c>
      <c r="Y125">
        <v>1</v>
      </c>
      <c r="Z125">
        <v>1.9</v>
      </c>
      <c r="AA125">
        <v>10</v>
      </c>
      <c r="AB125" t="s">
        <v>11</v>
      </c>
      <c r="AC125" t="s">
        <v>39</v>
      </c>
      <c r="AD125" t="s">
        <v>12</v>
      </c>
      <c r="AE125" t="str">
        <f t="shared" si="3"/>
        <v>35-44</v>
      </c>
      <c r="AF125" t="str">
        <f t="shared" si="4"/>
        <v>Very Low Usage</v>
      </c>
      <c r="AG125" t="str">
        <f t="shared" si="5"/>
        <v>Low Loneliness</v>
      </c>
    </row>
    <row r="126" spans="1:33" x14ac:dyDescent="0.3">
      <c r="A126" t="s">
        <v>169</v>
      </c>
      <c r="B126">
        <v>42</v>
      </c>
      <c r="C126" t="s">
        <v>89</v>
      </c>
      <c r="D126" t="s">
        <v>2</v>
      </c>
      <c r="E126" t="s">
        <v>15</v>
      </c>
      <c r="F126" t="s">
        <v>4</v>
      </c>
      <c r="G126" t="s">
        <v>5</v>
      </c>
      <c r="H126" t="s">
        <v>28</v>
      </c>
      <c r="I126" t="s">
        <v>19</v>
      </c>
      <c r="J126" t="s">
        <v>20</v>
      </c>
      <c r="K126" t="s">
        <v>1079</v>
      </c>
      <c r="L126">
        <v>0</v>
      </c>
      <c r="M126">
        <v>5.43</v>
      </c>
      <c r="N126">
        <v>2.97</v>
      </c>
      <c r="O126">
        <v>4.8099999999999996</v>
      </c>
      <c r="P126">
        <v>7</v>
      </c>
      <c r="Q126">
        <v>1</v>
      </c>
      <c r="R126">
        <v>1</v>
      </c>
      <c r="S126">
        <v>9.6</v>
      </c>
      <c r="T126" t="s">
        <v>10</v>
      </c>
      <c r="U126">
        <v>9.1</v>
      </c>
      <c r="V126">
        <v>8.6999999999999993</v>
      </c>
      <c r="W126">
        <v>4.9000000000000004</v>
      </c>
      <c r="X126">
        <v>1</v>
      </c>
      <c r="Y126">
        <v>1</v>
      </c>
      <c r="Z126">
        <v>2.8</v>
      </c>
      <c r="AA126">
        <v>10</v>
      </c>
      <c r="AB126" t="s">
        <v>11</v>
      </c>
      <c r="AC126" t="s">
        <v>10</v>
      </c>
      <c r="AD126" t="s">
        <v>12</v>
      </c>
      <c r="AE126" t="str">
        <f t="shared" si="3"/>
        <v>35-44</v>
      </c>
      <c r="AF126" t="str">
        <f t="shared" si="4"/>
        <v>Very Low Usage</v>
      </c>
      <c r="AG126" t="str">
        <f t="shared" si="5"/>
        <v>Low Loneliness</v>
      </c>
    </row>
    <row r="127" spans="1:33" x14ac:dyDescent="0.3">
      <c r="A127" t="s">
        <v>170</v>
      </c>
      <c r="B127">
        <v>27</v>
      </c>
      <c r="C127" t="s">
        <v>32</v>
      </c>
      <c r="D127" t="s">
        <v>58</v>
      </c>
      <c r="E127" t="s">
        <v>3</v>
      </c>
      <c r="F127" t="s">
        <v>12</v>
      </c>
      <c r="G127" t="s">
        <v>5</v>
      </c>
      <c r="H127" t="s">
        <v>33</v>
      </c>
      <c r="I127" t="s">
        <v>29</v>
      </c>
      <c r="J127" t="s">
        <v>48</v>
      </c>
      <c r="K127" t="s">
        <v>53</v>
      </c>
      <c r="L127">
        <v>0</v>
      </c>
      <c r="M127">
        <v>5.5</v>
      </c>
      <c r="N127">
        <v>3.1</v>
      </c>
      <c r="O127">
        <v>6.06</v>
      </c>
      <c r="P127">
        <v>7</v>
      </c>
      <c r="Q127">
        <v>2.2000000000000002</v>
      </c>
      <c r="R127">
        <v>1.1000000000000001</v>
      </c>
      <c r="S127">
        <v>9</v>
      </c>
      <c r="T127" t="s">
        <v>10</v>
      </c>
      <c r="U127">
        <v>9.1999999999999993</v>
      </c>
      <c r="V127">
        <v>9.6999999999999993</v>
      </c>
      <c r="W127">
        <v>4.8</v>
      </c>
      <c r="X127">
        <v>2.8</v>
      </c>
      <c r="Y127">
        <v>3.4</v>
      </c>
      <c r="Z127">
        <v>1.5</v>
      </c>
      <c r="AA127">
        <v>8.9</v>
      </c>
      <c r="AB127" t="s">
        <v>11</v>
      </c>
      <c r="AC127" t="s">
        <v>10</v>
      </c>
      <c r="AD127" t="s">
        <v>12</v>
      </c>
      <c r="AE127" t="str">
        <f t="shared" si="3"/>
        <v>25-34</v>
      </c>
      <c r="AF127" t="str">
        <f t="shared" si="4"/>
        <v>Very Low Usage</v>
      </c>
      <c r="AG127" t="str">
        <f t="shared" si="5"/>
        <v>Low Loneliness</v>
      </c>
    </row>
    <row r="128" spans="1:33" x14ac:dyDescent="0.3">
      <c r="A128" t="s">
        <v>171</v>
      </c>
      <c r="B128">
        <v>23</v>
      </c>
      <c r="C128" t="s">
        <v>1</v>
      </c>
      <c r="D128" t="s">
        <v>2</v>
      </c>
      <c r="E128" t="s">
        <v>15</v>
      </c>
      <c r="F128" t="s">
        <v>12</v>
      </c>
      <c r="G128" t="s">
        <v>43</v>
      </c>
      <c r="H128" t="s">
        <v>18</v>
      </c>
      <c r="I128" t="s">
        <v>24</v>
      </c>
      <c r="J128" t="s">
        <v>20</v>
      </c>
      <c r="K128" t="s">
        <v>1079</v>
      </c>
      <c r="L128">
        <v>0.34</v>
      </c>
      <c r="M128">
        <v>4.83</v>
      </c>
      <c r="N128">
        <v>1.56</v>
      </c>
      <c r="O128">
        <v>4.1399999999999997</v>
      </c>
      <c r="P128">
        <v>3</v>
      </c>
      <c r="Q128">
        <v>4.3</v>
      </c>
      <c r="R128">
        <v>2.5</v>
      </c>
      <c r="S128">
        <v>7.2</v>
      </c>
      <c r="T128" t="s">
        <v>10</v>
      </c>
      <c r="U128">
        <v>6.7</v>
      </c>
      <c r="V128">
        <v>5.6</v>
      </c>
      <c r="W128">
        <v>7.6</v>
      </c>
      <c r="X128">
        <v>3.8</v>
      </c>
      <c r="Y128">
        <v>4.2</v>
      </c>
      <c r="Z128">
        <v>4.2</v>
      </c>
      <c r="AA128">
        <v>6.3</v>
      </c>
      <c r="AB128" t="s">
        <v>21</v>
      </c>
      <c r="AC128" t="s">
        <v>10</v>
      </c>
      <c r="AD128" t="s">
        <v>12</v>
      </c>
      <c r="AE128" t="str">
        <f t="shared" si="3"/>
        <v>20-24</v>
      </c>
      <c r="AF128" t="str">
        <f t="shared" si="4"/>
        <v>Very Low Usage</v>
      </c>
      <c r="AG128" t="str">
        <f t="shared" si="5"/>
        <v>Moderate Loneliness</v>
      </c>
    </row>
    <row r="129" spans="1:33" x14ac:dyDescent="0.3">
      <c r="A129" t="s">
        <v>172</v>
      </c>
      <c r="B129">
        <v>43</v>
      </c>
      <c r="C129" t="s">
        <v>1</v>
      </c>
      <c r="D129" t="s">
        <v>41</v>
      </c>
      <c r="E129" t="s">
        <v>37</v>
      </c>
      <c r="F129" t="s">
        <v>4</v>
      </c>
      <c r="G129" t="s">
        <v>43</v>
      </c>
      <c r="H129" t="s">
        <v>18</v>
      </c>
      <c r="I129" t="s">
        <v>35</v>
      </c>
      <c r="J129" t="s">
        <v>8</v>
      </c>
      <c r="K129" t="s">
        <v>30</v>
      </c>
      <c r="L129">
        <v>3.69</v>
      </c>
      <c r="M129">
        <v>2.59</v>
      </c>
      <c r="N129">
        <v>4.7</v>
      </c>
      <c r="O129">
        <v>10.92</v>
      </c>
      <c r="P129">
        <v>3</v>
      </c>
      <c r="Q129">
        <v>8.6</v>
      </c>
      <c r="R129">
        <v>9.6999999999999993</v>
      </c>
      <c r="S129">
        <v>3.7</v>
      </c>
      <c r="T129" t="s">
        <v>39</v>
      </c>
      <c r="U129">
        <v>6.9</v>
      </c>
      <c r="V129">
        <v>2.9</v>
      </c>
      <c r="W129">
        <v>2.7</v>
      </c>
      <c r="X129">
        <v>7.3</v>
      </c>
      <c r="Y129">
        <v>6.9</v>
      </c>
      <c r="Z129">
        <v>7.3</v>
      </c>
      <c r="AA129">
        <v>5.3</v>
      </c>
      <c r="AB129" t="s">
        <v>21</v>
      </c>
      <c r="AC129" t="s">
        <v>10</v>
      </c>
      <c r="AD129" t="s">
        <v>45</v>
      </c>
      <c r="AE129" t="str">
        <f t="shared" si="3"/>
        <v>35-44</v>
      </c>
      <c r="AF129" t="str">
        <f t="shared" si="4"/>
        <v>Moderate Usage</v>
      </c>
      <c r="AG129" t="str">
        <f t="shared" si="5"/>
        <v>High Loneliness</v>
      </c>
    </row>
    <row r="130" spans="1:33" x14ac:dyDescent="0.3">
      <c r="A130" t="s">
        <v>173</v>
      </c>
      <c r="B130">
        <v>29</v>
      </c>
      <c r="C130" t="s">
        <v>1</v>
      </c>
      <c r="D130" t="s">
        <v>58</v>
      </c>
      <c r="E130" t="s">
        <v>37</v>
      </c>
      <c r="F130" t="s">
        <v>4</v>
      </c>
      <c r="G130" t="s">
        <v>5</v>
      </c>
      <c r="H130" t="s">
        <v>33</v>
      </c>
      <c r="I130" t="s">
        <v>24</v>
      </c>
      <c r="J130" t="s">
        <v>8</v>
      </c>
      <c r="K130" t="s">
        <v>30</v>
      </c>
      <c r="L130">
        <v>0.54</v>
      </c>
      <c r="M130">
        <v>3.92</v>
      </c>
      <c r="N130">
        <v>1.48</v>
      </c>
      <c r="O130">
        <v>3.13</v>
      </c>
      <c r="P130">
        <v>6</v>
      </c>
      <c r="Q130">
        <v>1</v>
      </c>
      <c r="R130">
        <v>1</v>
      </c>
      <c r="S130">
        <v>9.1999999999999993</v>
      </c>
      <c r="T130" t="s">
        <v>10</v>
      </c>
      <c r="U130">
        <v>8.3000000000000007</v>
      </c>
      <c r="V130">
        <v>8.9</v>
      </c>
      <c r="W130">
        <v>6</v>
      </c>
      <c r="X130">
        <v>2.7</v>
      </c>
      <c r="Y130">
        <v>3.6</v>
      </c>
      <c r="Z130">
        <v>1</v>
      </c>
      <c r="AA130">
        <v>7.9</v>
      </c>
      <c r="AB130" t="s">
        <v>11</v>
      </c>
      <c r="AC130" t="s">
        <v>10</v>
      </c>
      <c r="AD130" t="s">
        <v>12</v>
      </c>
      <c r="AE130" t="str">
        <f t="shared" si="3"/>
        <v>25-34</v>
      </c>
      <c r="AF130" t="str">
        <f t="shared" si="4"/>
        <v>Very Low Usage</v>
      </c>
      <c r="AG130" t="str">
        <f t="shared" si="5"/>
        <v>Low Loneliness</v>
      </c>
    </row>
    <row r="131" spans="1:33" x14ac:dyDescent="0.3">
      <c r="A131" t="s">
        <v>174</v>
      </c>
      <c r="B131">
        <v>27</v>
      </c>
      <c r="C131" t="s">
        <v>1</v>
      </c>
      <c r="D131" t="s">
        <v>14</v>
      </c>
      <c r="E131" t="s">
        <v>3</v>
      </c>
      <c r="F131" t="s">
        <v>16</v>
      </c>
      <c r="G131" t="s">
        <v>17</v>
      </c>
      <c r="H131" t="s">
        <v>33</v>
      </c>
      <c r="I131" t="s">
        <v>29</v>
      </c>
      <c r="J131" t="s">
        <v>48</v>
      </c>
      <c r="K131" t="s">
        <v>25</v>
      </c>
      <c r="L131">
        <v>3.86</v>
      </c>
      <c r="M131">
        <v>4.6900000000000004</v>
      </c>
      <c r="N131">
        <v>2.77</v>
      </c>
      <c r="O131">
        <v>8.57</v>
      </c>
      <c r="P131">
        <v>4</v>
      </c>
      <c r="Q131">
        <v>5.0999999999999996</v>
      </c>
      <c r="R131">
        <v>6.1</v>
      </c>
      <c r="S131">
        <v>5.9</v>
      </c>
      <c r="T131" t="s">
        <v>10</v>
      </c>
      <c r="U131">
        <v>7.1</v>
      </c>
      <c r="V131">
        <v>8.1999999999999993</v>
      </c>
      <c r="W131">
        <v>5.7</v>
      </c>
      <c r="X131">
        <v>3.7</v>
      </c>
      <c r="Y131">
        <v>4.3</v>
      </c>
      <c r="Z131">
        <v>4.9000000000000004</v>
      </c>
      <c r="AA131">
        <v>6.7</v>
      </c>
      <c r="AB131" t="s">
        <v>21</v>
      </c>
      <c r="AC131" t="s">
        <v>10</v>
      </c>
      <c r="AD131" t="s">
        <v>45</v>
      </c>
      <c r="AE131" t="str">
        <f t="shared" ref="AE131:AE194" si="6">IF(B131&lt;20,"15-19",IF(B131&lt;25,"20-24",IF(B131&lt;35,"25-34","35-44")))</f>
        <v>25-34</v>
      </c>
      <c r="AF131" t="str">
        <f t="shared" ref="AF131:AF194" si="7">IF(L131&lt;=1,"Very Low Usage",IF(L131&lt;=2.5,"Low Usage",IF(L131&lt;=4,"Moderate Usage","High Usage")))</f>
        <v>Moderate Usage</v>
      </c>
      <c r="AG131" t="str">
        <f t="shared" ref="AG131:AG194" si="8">IF(Q131&lt;=3,"Low Loneliness",IF(Q131&lt;=6,"Moderate Loneliness","High Loneliness"))</f>
        <v>Moderate Loneliness</v>
      </c>
    </row>
    <row r="132" spans="1:33" x14ac:dyDescent="0.3">
      <c r="A132" t="s">
        <v>175</v>
      </c>
      <c r="B132">
        <v>15</v>
      </c>
      <c r="C132" t="s">
        <v>1</v>
      </c>
      <c r="D132" t="s">
        <v>41</v>
      </c>
      <c r="E132" t="s">
        <v>15</v>
      </c>
      <c r="F132" t="s">
        <v>12</v>
      </c>
      <c r="G132" t="s">
        <v>43</v>
      </c>
      <c r="H132" t="s">
        <v>6</v>
      </c>
      <c r="I132" t="s">
        <v>24</v>
      </c>
      <c r="J132" t="s">
        <v>48</v>
      </c>
      <c r="K132" t="s">
        <v>53</v>
      </c>
      <c r="L132">
        <v>2</v>
      </c>
      <c r="M132">
        <v>4.51</v>
      </c>
      <c r="N132">
        <v>1.81</v>
      </c>
      <c r="O132">
        <v>5.87</v>
      </c>
      <c r="P132">
        <v>3</v>
      </c>
      <c r="Q132">
        <v>4.0999999999999996</v>
      </c>
      <c r="R132">
        <v>5.8</v>
      </c>
      <c r="S132">
        <v>4.9000000000000004</v>
      </c>
      <c r="T132" t="s">
        <v>10</v>
      </c>
      <c r="U132">
        <v>6.1</v>
      </c>
      <c r="V132">
        <v>9.1999999999999993</v>
      </c>
      <c r="W132">
        <v>2</v>
      </c>
      <c r="X132">
        <v>4.4000000000000004</v>
      </c>
      <c r="Y132">
        <v>7.3</v>
      </c>
      <c r="Z132">
        <v>6.2</v>
      </c>
      <c r="AA132">
        <v>4.9000000000000004</v>
      </c>
      <c r="AB132" t="s">
        <v>21</v>
      </c>
      <c r="AC132" t="s">
        <v>10</v>
      </c>
      <c r="AD132" t="s">
        <v>22</v>
      </c>
      <c r="AE132" t="str">
        <f t="shared" si="6"/>
        <v>15-19</v>
      </c>
      <c r="AF132" t="str">
        <f t="shared" si="7"/>
        <v>Low Usage</v>
      </c>
      <c r="AG132" t="str">
        <f t="shared" si="8"/>
        <v>Moderate Loneliness</v>
      </c>
    </row>
    <row r="133" spans="1:33" x14ac:dyDescent="0.3">
      <c r="A133" t="s">
        <v>176</v>
      </c>
      <c r="B133">
        <v>39</v>
      </c>
      <c r="C133" t="s">
        <v>1</v>
      </c>
      <c r="D133" t="s">
        <v>14</v>
      </c>
      <c r="E133" t="s">
        <v>15</v>
      </c>
      <c r="F133" t="s">
        <v>12</v>
      </c>
      <c r="G133" t="s">
        <v>5</v>
      </c>
      <c r="H133" t="s">
        <v>28</v>
      </c>
      <c r="I133" t="s">
        <v>29</v>
      </c>
      <c r="J133" t="s">
        <v>51</v>
      </c>
      <c r="K133" t="s">
        <v>53</v>
      </c>
      <c r="L133">
        <v>2.84</v>
      </c>
      <c r="M133">
        <v>2.39</v>
      </c>
      <c r="N133">
        <v>4.62</v>
      </c>
      <c r="O133">
        <v>8.6999999999999993</v>
      </c>
      <c r="P133">
        <v>2</v>
      </c>
      <c r="Q133">
        <v>10</v>
      </c>
      <c r="R133">
        <v>8.9</v>
      </c>
      <c r="S133">
        <v>3.3</v>
      </c>
      <c r="T133" t="s">
        <v>10</v>
      </c>
      <c r="U133">
        <v>5.6</v>
      </c>
      <c r="V133">
        <v>4.0999999999999996</v>
      </c>
      <c r="W133">
        <v>2.8</v>
      </c>
      <c r="X133">
        <v>9.3000000000000007</v>
      </c>
      <c r="Y133">
        <v>9.1999999999999993</v>
      </c>
      <c r="Z133">
        <v>7.3</v>
      </c>
      <c r="AA133">
        <v>2.2000000000000002</v>
      </c>
      <c r="AB133" t="s">
        <v>44</v>
      </c>
      <c r="AC133" t="s">
        <v>39</v>
      </c>
      <c r="AD133" t="s">
        <v>45</v>
      </c>
      <c r="AE133" t="str">
        <f t="shared" si="6"/>
        <v>35-44</v>
      </c>
      <c r="AF133" t="str">
        <f t="shared" si="7"/>
        <v>Moderate Usage</v>
      </c>
      <c r="AG133" t="str">
        <f t="shared" si="8"/>
        <v>High Loneliness</v>
      </c>
    </row>
    <row r="134" spans="1:33" x14ac:dyDescent="0.3">
      <c r="A134" t="s">
        <v>177</v>
      </c>
      <c r="B134">
        <v>21</v>
      </c>
      <c r="C134" t="s">
        <v>1</v>
      </c>
      <c r="D134" t="s">
        <v>47</v>
      </c>
      <c r="E134" t="s">
        <v>37</v>
      </c>
      <c r="F134" t="s">
        <v>4</v>
      </c>
      <c r="G134" t="s">
        <v>5</v>
      </c>
      <c r="H134" t="s">
        <v>33</v>
      </c>
      <c r="I134" t="s">
        <v>29</v>
      </c>
      <c r="J134" t="s">
        <v>8</v>
      </c>
      <c r="K134" t="s">
        <v>25</v>
      </c>
      <c r="L134">
        <v>1.98</v>
      </c>
      <c r="M134">
        <v>3.41</v>
      </c>
      <c r="N134">
        <v>2.76</v>
      </c>
      <c r="O134">
        <v>5.68</v>
      </c>
      <c r="P134">
        <v>5</v>
      </c>
      <c r="Q134">
        <v>6.6</v>
      </c>
      <c r="R134">
        <v>5.4</v>
      </c>
      <c r="S134">
        <v>5.9</v>
      </c>
      <c r="T134" t="s">
        <v>10</v>
      </c>
      <c r="U134">
        <v>5.6</v>
      </c>
      <c r="V134">
        <v>5.2</v>
      </c>
      <c r="W134">
        <v>4.0999999999999996</v>
      </c>
      <c r="X134">
        <v>6.3</v>
      </c>
      <c r="Y134">
        <v>4.8</v>
      </c>
      <c r="Z134">
        <v>3.8</v>
      </c>
      <c r="AA134">
        <v>4.5</v>
      </c>
      <c r="AB134" t="s">
        <v>44</v>
      </c>
      <c r="AC134" t="s">
        <v>39</v>
      </c>
      <c r="AD134" t="s">
        <v>22</v>
      </c>
      <c r="AE134" t="str">
        <f t="shared" si="6"/>
        <v>20-24</v>
      </c>
      <c r="AF134" t="str">
        <f t="shared" si="7"/>
        <v>Low Usage</v>
      </c>
      <c r="AG134" t="str">
        <f t="shared" si="8"/>
        <v>High Loneliness</v>
      </c>
    </row>
    <row r="135" spans="1:33" x14ac:dyDescent="0.3">
      <c r="A135" t="s">
        <v>178</v>
      </c>
      <c r="B135">
        <v>23</v>
      </c>
      <c r="C135" t="s">
        <v>1</v>
      </c>
      <c r="D135" t="s">
        <v>14</v>
      </c>
      <c r="E135" t="s">
        <v>37</v>
      </c>
      <c r="F135" t="s">
        <v>12</v>
      </c>
      <c r="G135" t="s">
        <v>17</v>
      </c>
      <c r="H135" t="s">
        <v>6</v>
      </c>
      <c r="I135" t="s">
        <v>29</v>
      </c>
      <c r="J135" t="s">
        <v>48</v>
      </c>
      <c r="K135" t="s">
        <v>9</v>
      </c>
      <c r="L135">
        <v>2.21</v>
      </c>
      <c r="M135">
        <v>1.53</v>
      </c>
      <c r="N135">
        <v>2.75</v>
      </c>
      <c r="O135">
        <v>6.73</v>
      </c>
      <c r="P135">
        <v>3</v>
      </c>
      <c r="Q135">
        <v>7.1</v>
      </c>
      <c r="R135">
        <v>5.4</v>
      </c>
      <c r="S135">
        <v>6.6</v>
      </c>
      <c r="T135" t="s">
        <v>39</v>
      </c>
      <c r="U135">
        <v>5.5</v>
      </c>
      <c r="V135">
        <v>5.6</v>
      </c>
      <c r="W135">
        <v>4.7</v>
      </c>
      <c r="X135">
        <v>6.1</v>
      </c>
      <c r="Y135">
        <v>6.3</v>
      </c>
      <c r="Z135">
        <v>5</v>
      </c>
      <c r="AA135">
        <v>4.7</v>
      </c>
      <c r="AB135" t="s">
        <v>21</v>
      </c>
      <c r="AC135" t="s">
        <v>10</v>
      </c>
      <c r="AD135" t="s">
        <v>45</v>
      </c>
      <c r="AE135" t="str">
        <f t="shared" si="6"/>
        <v>20-24</v>
      </c>
      <c r="AF135" t="str">
        <f t="shared" si="7"/>
        <v>Low Usage</v>
      </c>
      <c r="AG135" t="str">
        <f t="shared" si="8"/>
        <v>High Loneliness</v>
      </c>
    </row>
    <row r="136" spans="1:33" x14ac:dyDescent="0.3">
      <c r="A136" t="s">
        <v>179</v>
      </c>
      <c r="B136">
        <v>38</v>
      </c>
      <c r="C136" t="s">
        <v>32</v>
      </c>
      <c r="D136" t="s">
        <v>58</v>
      </c>
      <c r="E136" t="s">
        <v>37</v>
      </c>
      <c r="F136" t="s">
        <v>12</v>
      </c>
      <c r="G136" t="s">
        <v>43</v>
      </c>
      <c r="H136" t="s">
        <v>28</v>
      </c>
      <c r="I136" t="s">
        <v>7</v>
      </c>
      <c r="J136" t="s">
        <v>20</v>
      </c>
      <c r="K136" t="s">
        <v>53</v>
      </c>
      <c r="L136">
        <v>2.5299999999999998</v>
      </c>
      <c r="M136">
        <v>4.01</v>
      </c>
      <c r="N136">
        <v>2.4300000000000002</v>
      </c>
      <c r="O136">
        <v>7.62</v>
      </c>
      <c r="P136">
        <v>2</v>
      </c>
      <c r="Q136">
        <v>7.5</v>
      </c>
      <c r="R136">
        <v>3.8</v>
      </c>
      <c r="S136">
        <v>5</v>
      </c>
      <c r="T136" t="s">
        <v>10</v>
      </c>
      <c r="U136">
        <v>7</v>
      </c>
      <c r="V136">
        <v>5.6</v>
      </c>
      <c r="W136">
        <v>4.4000000000000004</v>
      </c>
      <c r="X136">
        <v>6.5</v>
      </c>
      <c r="Y136">
        <v>5.2</v>
      </c>
      <c r="Z136">
        <v>4.5999999999999996</v>
      </c>
      <c r="AA136">
        <v>5.8</v>
      </c>
      <c r="AB136" t="s">
        <v>21</v>
      </c>
      <c r="AC136" t="s">
        <v>39</v>
      </c>
      <c r="AD136" t="s">
        <v>45</v>
      </c>
      <c r="AE136" t="str">
        <f t="shared" si="6"/>
        <v>35-44</v>
      </c>
      <c r="AF136" t="str">
        <f t="shared" si="7"/>
        <v>Moderate Usage</v>
      </c>
      <c r="AG136" t="str">
        <f t="shared" si="8"/>
        <v>High Loneliness</v>
      </c>
    </row>
    <row r="137" spans="1:33" x14ac:dyDescent="0.3">
      <c r="A137" t="s">
        <v>180</v>
      </c>
      <c r="B137">
        <v>15</v>
      </c>
      <c r="C137" t="s">
        <v>1</v>
      </c>
      <c r="D137" t="s">
        <v>58</v>
      </c>
      <c r="E137" t="s">
        <v>15</v>
      </c>
      <c r="F137" t="s">
        <v>16</v>
      </c>
      <c r="G137" t="s">
        <v>5</v>
      </c>
      <c r="H137" t="s">
        <v>33</v>
      </c>
      <c r="I137" t="s">
        <v>29</v>
      </c>
      <c r="J137" t="s">
        <v>51</v>
      </c>
      <c r="K137" t="s">
        <v>1079</v>
      </c>
      <c r="L137">
        <v>0.68</v>
      </c>
      <c r="M137">
        <v>6.5</v>
      </c>
      <c r="N137">
        <v>2.58</v>
      </c>
      <c r="O137">
        <v>4.3499999999999996</v>
      </c>
      <c r="P137">
        <v>3</v>
      </c>
      <c r="Q137">
        <v>5.4</v>
      </c>
      <c r="R137">
        <v>2.5</v>
      </c>
      <c r="S137">
        <v>7.1</v>
      </c>
      <c r="T137" t="s">
        <v>10</v>
      </c>
      <c r="U137">
        <v>7.2</v>
      </c>
      <c r="V137">
        <v>9.9</v>
      </c>
      <c r="W137">
        <v>5</v>
      </c>
      <c r="X137">
        <v>3.4</v>
      </c>
      <c r="Y137">
        <v>1</v>
      </c>
      <c r="Z137">
        <v>4</v>
      </c>
      <c r="AA137">
        <v>6.2</v>
      </c>
      <c r="AB137" t="s">
        <v>11</v>
      </c>
      <c r="AC137" t="s">
        <v>10</v>
      </c>
      <c r="AD137" t="s">
        <v>12</v>
      </c>
      <c r="AE137" t="str">
        <f t="shared" si="6"/>
        <v>15-19</v>
      </c>
      <c r="AF137" t="str">
        <f t="shared" si="7"/>
        <v>Very Low Usage</v>
      </c>
      <c r="AG137" t="str">
        <f t="shared" si="8"/>
        <v>Moderate Loneliness</v>
      </c>
    </row>
    <row r="138" spans="1:33" x14ac:dyDescent="0.3">
      <c r="A138" t="s">
        <v>181</v>
      </c>
      <c r="B138">
        <v>26</v>
      </c>
      <c r="C138" t="s">
        <v>32</v>
      </c>
      <c r="D138" t="s">
        <v>47</v>
      </c>
      <c r="E138" t="s">
        <v>3</v>
      </c>
      <c r="F138" t="s">
        <v>12</v>
      </c>
      <c r="G138" t="s">
        <v>17</v>
      </c>
      <c r="H138" t="s">
        <v>28</v>
      </c>
      <c r="I138" t="s">
        <v>29</v>
      </c>
      <c r="J138" t="s">
        <v>20</v>
      </c>
      <c r="K138" t="s">
        <v>53</v>
      </c>
      <c r="L138">
        <v>1.05</v>
      </c>
      <c r="M138">
        <v>3.52</v>
      </c>
      <c r="N138">
        <v>1.1599999999999999</v>
      </c>
      <c r="O138">
        <v>4</v>
      </c>
      <c r="P138">
        <v>6</v>
      </c>
      <c r="Q138">
        <v>5.9</v>
      </c>
      <c r="R138">
        <v>3.5</v>
      </c>
      <c r="S138">
        <v>7</v>
      </c>
      <c r="T138" t="s">
        <v>10</v>
      </c>
      <c r="U138">
        <v>6.6</v>
      </c>
      <c r="V138">
        <v>6.1</v>
      </c>
      <c r="W138">
        <v>2.6</v>
      </c>
      <c r="X138">
        <v>4.7</v>
      </c>
      <c r="Y138">
        <v>2.8</v>
      </c>
      <c r="Z138">
        <v>4.2</v>
      </c>
      <c r="AA138">
        <v>6.4</v>
      </c>
      <c r="AB138" t="s">
        <v>11</v>
      </c>
      <c r="AC138" t="s">
        <v>10</v>
      </c>
      <c r="AD138" t="s">
        <v>22</v>
      </c>
      <c r="AE138" t="str">
        <f t="shared" si="6"/>
        <v>25-34</v>
      </c>
      <c r="AF138" t="str">
        <f t="shared" si="7"/>
        <v>Low Usage</v>
      </c>
      <c r="AG138" t="str">
        <f t="shared" si="8"/>
        <v>Moderate Loneliness</v>
      </c>
    </row>
    <row r="139" spans="1:33" x14ac:dyDescent="0.3">
      <c r="A139" t="s">
        <v>182</v>
      </c>
      <c r="B139">
        <v>22</v>
      </c>
      <c r="C139" t="s">
        <v>1</v>
      </c>
      <c r="D139" t="s">
        <v>47</v>
      </c>
      <c r="E139" t="s">
        <v>15</v>
      </c>
      <c r="F139" t="s">
        <v>16</v>
      </c>
      <c r="G139" t="s">
        <v>17</v>
      </c>
      <c r="H139" t="s">
        <v>6</v>
      </c>
      <c r="I139" t="s">
        <v>29</v>
      </c>
      <c r="J139" t="s">
        <v>20</v>
      </c>
      <c r="K139" t="s">
        <v>53</v>
      </c>
      <c r="L139">
        <v>3.57</v>
      </c>
      <c r="M139">
        <v>4.12</v>
      </c>
      <c r="N139">
        <v>2.86</v>
      </c>
      <c r="O139">
        <v>9.7799999999999994</v>
      </c>
      <c r="P139">
        <v>1</v>
      </c>
      <c r="Q139">
        <v>7.8</v>
      </c>
      <c r="R139">
        <v>7.1</v>
      </c>
      <c r="S139">
        <v>2.2999999999999998</v>
      </c>
      <c r="T139" t="s">
        <v>39</v>
      </c>
      <c r="U139">
        <v>5.0999999999999996</v>
      </c>
      <c r="V139">
        <v>5.9</v>
      </c>
      <c r="W139">
        <v>1.8</v>
      </c>
      <c r="X139">
        <v>7.6</v>
      </c>
      <c r="Y139">
        <v>4.5999999999999996</v>
      </c>
      <c r="Z139">
        <v>5</v>
      </c>
      <c r="AA139">
        <v>4.0999999999999996</v>
      </c>
      <c r="AB139" t="s">
        <v>21</v>
      </c>
      <c r="AC139" t="s">
        <v>10</v>
      </c>
      <c r="AD139" t="s">
        <v>45</v>
      </c>
      <c r="AE139" t="str">
        <f t="shared" si="6"/>
        <v>20-24</v>
      </c>
      <c r="AF139" t="str">
        <f t="shared" si="7"/>
        <v>Moderate Usage</v>
      </c>
      <c r="AG139" t="str">
        <f t="shared" si="8"/>
        <v>High Loneliness</v>
      </c>
    </row>
    <row r="140" spans="1:33" x14ac:dyDescent="0.3">
      <c r="A140" t="s">
        <v>183</v>
      </c>
      <c r="B140">
        <v>38</v>
      </c>
      <c r="C140" t="s">
        <v>89</v>
      </c>
      <c r="D140" t="s">
        <v>14</v>
      </c>
      <c r="E140" t="s">
        <v>37</v>
      </c>
      <c r="F140" t="s">
        <v>4</v>
      </c>
      <c r="G140" t="s">
        <v>43</v>
      </c>
      <c r="H140" t="s">
        <v>28</v>
      </c>
      <c r="I140" t="s">
        <v>7</v>
      </c>
      <c r="J140" t="s">
        <v>20</v>
      </c>
      <c r="K140" t="s">
        <v>1079</v>
      </c>
      <c r="L140">
        <v>0</v>
      </c>
      <c r="M140">
        <v>7.39</v>
      </c>
      <c r="N140">
        <v>1.23</v>
      </c>
      <c r="O140">
        <v>2.71</v>
      </c>
      <c r="P140">
        <v>6</v>
      </c>
      <c r="Q140">
        <v>1</v>
      </c>
      <c r="R140">
        <v>1</v>
      </c>
      <c r="S140">
        <v>10</v>
      </c>
      <c r="T140" t="s">
        <v>10</v>
      </c>
      <c r="U140">
        <v>7.1</v>
      </c>
      <c r="V140">
        <v>8.5</v>
      </c>
      <c r="W140">
        <v>7.7</v>
      </c>
      <c r="X140">
        <v>1</v>
      </c>
      <c r="Y140">
        <v>1</v>
      </c>
      <c r="Z140">
        <v>1</v>
      </c>
      <c r="AA140">
        <v>10</v>
      </c>
      <c r="AB140" t="s">
        <v>11</v>
      </c>
      <c r="AC140" t="s">
        <v>10</v>
      </c>
      <c r="AD140" t="s">
        <v>12</v>
      </c>
      <c r="AE140" t="str">
        <f t="shared" si="6"/>
        <v>35-44</v>
      </c>
      <c r="AF140" t="str">
        <f t="shared" si="7"/>
        <v>Very Low Usage</v>
      </c>
      <c r="AG140" t="str">
        <f t="shared" si="8"/>
        <v>Low Loneliness</v>
      </c>
    </row>
    <row r="141" spans="1:33" x14ac:dyDescent="0.3">
      <c r="A141" t="s">
        <v>184</v>
      </c>
      <c r="B141">
        <v>25</v>
      </c>
      <c r="C141" t="s">
        <v>1</v>
      </c>
      <c r="D141" t="s">
        <v>14</v>
      </c>
      <c r="E141" t="s">
        <v>37</v>
      </c>
      <c r="F141" t="s">
        <v>12</v>
      </c>
      <c r="G141" t="s">
        <v>17</v>
      </c>
      <c r="H141" t="s">
        <v>18</v>
      </c>
      <c r="I141" t="s">
        <v>24</v>
      </c>
      <c r="J141" t="s">
        <v>48</v>
      </c>
      <c r="K141" t="s">
        <v>53</v>
      </c>
      <c r="L141">
        <v>0</v>
      </c>
      <c r="M141">
        <v>3.61</v>
      </c>
      <c r="N141">
        <v>1.67</v>
      </c>
      <c r="O141">
        <v>3.68</v>
      </c>
      <c r="P141">
        <v>3</v>
      </c>
      <c r="Q141">
        <v>2.9</v>
      </c>
      <c r="R141">
        <v>1.4</v>
      </c>
      <c r="S141">
        <v>4.7</v>
      </c>
      <c r="T141" t="s">
        <v>10</v>
      </c>
      <c r="U141">
        <v>5.7</v>
      </c>
      <c r="V141">
        <v>7.2</v>
      </c>
      <c r="W141">
        <v>7.6</v>
      </c>
      <c r="X141">
        <v>3.6</v>
      </c>
      <c r="Y141">
        <v>3.5</v>
      </c>
      <c r="Z141">
        <v>3</v>
      </c>
      <c r="AA141">
        <v>5.3</v>
      </c>
      <c r="AB141" t="s">
        <v>21</v>
      </c>
      <c r="AC141" t="s">
        <v>10</v>
      </c>
      <c r="AD141" t="s">
        <v>12</v>
      </c>
      <c r="AE141" t="str">
        <f t="shared" si="6"/>
        <v>25-34</v>
      </c>
      <c r="AF141" t="str">
        <f t="shared" si="7"/>
        <v>Very Low Usage</v>
      </c>
      <c r="AG141" t="str">
        <f t="shared" si="8"/>
        <v>Low Loneliness</v>
      </c>
    </row>
    <row r="142" spans="1:33" x14ac:dyDescent="0.3">
      <c r="A142" t="s">
        <v>185</v>
      </c>
      <c r="B142">
        <v>33</v>
      </c>
      <c r="C142" t="s">
        <v>1</v>
      </c>
      <c r="D142" t="s">
        <v>14</v>
      </c>
      <c r="E142" t="s">
        <v>3</v>
      </c>
      <c r="F142" t="s">
        <v>4</v>
      </c>
      <c r="G142" t="s">
        <v>66</v>
      </c>
      <c r="H142" t="s">
        <v>28</v>
      </c>
      <c r="I142" t="s">
        <v>29</v>
      </c>
      <c r="J142" t="s">
        <v>38</v>
      </c>
      <c r="K142" t="s">
        <v>25</v>
      </c>
      <c r="L142">
        <v>0</v>
      </c>
      <c r="M142">
        <v>5.07</v>
      </c>
      <c r="N142">
        <v>1.05</v>
      </c>
      <c r="O142">
        <v>2.95</v>
      </c>
      <c r="P142">
        <v>6</v>
      </c>
      <c r="Q142">
        <v>3</v>
      </c>
      <c r="R142">
        <v>1</v>
      </c>
      <c r="S142">
        <v>10</v>
      </c>
      <c r="T142" t="s">
        <v>10</v>
      </c>
      <c r="U142">
        <v>8</v>
      </c>
      <c r="V142">
        <v>8.9</v>
      </c>
      <c r="W142">
        <v>3.8</v>
      </c>
      <c r="X142">
        <v>1.8</v>
      </c>
      <c r="Y142">
        <v>1</v>
      </c>
      <c r="Z142">
        <v>2.8</v>
      </c>
      <c r="AA142">
        <v>7.6</v>
      </c>
      <c r="AB142" t="s">
        <v>21</v>
      </c>
      <c r="AC142" t="s">
        <v>10</v>
      </c>
      <c r="AD142" t="s">
        <v>12</v>
      </c>
      <c r="AE142" t="str">
        <f t="shared" si="6"/>
        <v>25-34</v>
      </c>
      <c r="AF142" t="str">
        <f t="shared" si="7"/>
        <v>Very Low Usage</v>
      </c>
      <c r="AG142" t="str">
        <f t="shared" si="8"/>
        <v>Low Loneliness</v>
      </c>
    </row>
    <row r="143" spans="1:33" x14ac:dyDescent="0.3">
      <c r="A143" t="s">
        <v>186</v>
      </c>
      <c r="B143">
        <v>31</v>
      </c>
      <c r="C143" t="s">
        <v>27</v>
      </c>
      <c r="D143" t="s">
        <v>14</v>
      </c>
      <c r="E143" t="s">
        <v>3</v>
      </c>
      <c r="F143" t="s">
        <v>16</v>
      </c>
      <c r="G143" t="s">
        <v>5</v>
      </c>
      <c r="H143" t="s">
        <v>33</v>
      </c>
      <c r="I143" t="s">
        <v>19</v>
      </c>
      <c r="J143" t="s">
        <v>8</v>
      </c>
      <c r="K143" t="s">
        <v>1079</v>
      </c>
      <c r="L143">
        <v>1.87</v>
      </c>
      <c r="M143">
        <v>2.35</v>
      </c>
      <c r="N143">
        <v>3.77</v>
      </c>
      <c r="O143">
        <v>7.45</v>
      </c>
      <c r="P143">
        <v>7</v>
      </c>
      <c r="Q143">
        <v>6.4</v>
      </c>
      <c r="R143">
        <v>4.3</v>
      </c>
      <c r="S143">
        <v>7</v>
      </c>
      <c r="T143" t="s">
        <v>10</v>
      </c>
      <c r="U143">
        <v>4.5</v>
      </c>
      <c r="V143">
        <v>6.6</v>
      </c>
      <c r="W143">
        <v>1.8</v>
      </c>
      <c r="X143">
        <v>4.0999999999999996</v>
      </c>
      <c r="Y143">
        <v>4.8</v>
      </c>
      <c r="Z143">
        <v>4.5999999999999996</v>
      </c>
      <c r="AA143">
        <v>3.5</v>
      </c>
      <c r="AB143" t="s">
        <v>21</v>
      </c>
      <c r="AC143" t="s">
        <v>10</v>
      </c>
      <c r="AD143" t="s">
        <v>12</v>
      </c>
      <c r="AE143" t="str">
        <f t="shared" si="6"/>
        <v>25-34</v>
      </c>
      <c r="AF143" t="str">
        <f t="shared" si="7"/>
        <v>Low Usage</v>
      </c>
      <c r="AG143" t="str">
        <f t="shared" si="8"/>
        <v>High Loneliness</v>
      </c>
    </row>
    <row r="144" spans="1:33" x14ac:dyDescent="0.3">
      <c r="A144" t="s">
        <v>187</v>
      </c>
      <c r="B144">
        <v>22</v>
      </c>
      <c r="C144" t="s">
        <v>32</v>
      </c>
      <c r="D144" t="s">
        <v>2</v>
      </c>
      <c r="E144" t="s">
        <v>37</v>
      </c>
      <c r="F144" t="s">
        <v>4</v>
      </c>
      <c r="G144" t="s">
        <v>5</v>
      </c>
      <c r="H144" t="s">
        <v>28</v>
      </c>
      <c r="I144" t="s">
        <v>19</v>
      </c>
      <c r="J144" t="s">
        <v>8</v>
      </c>
      <c r="K144" t="s">
        <v>53</v>
      </c>
      <c r="L144">
        <v>1.39</v>
      </c>
      <c r="M144">
        <v>4.4000000000000004</v>
      </c>
      <c r="N144">
        <v>3.39</v>
      </c>
      <c r="O144">
        <v>8.4499999999999993</v>
      </c>
      <c r="P144">
        <v>5</v>
      </c>
      <c r="Q144">
        <v>3.2</v>
      </c>
      <c r="R144">
        <v>4.3</v>
      </c>
      <c r="S144">
        <v>3</v>
      </c>
      <c r="T144" t="s">
        <v>10</v>
      </c>
      <c r="U144">
        <v>7.7</v>
      </c>
      <c r="V144">
        <v>7.3</v>
      </c>
      <c r="W144">
        <v>2.1</v>
      </c>
      <c r="X144">
        <v>3.6</v>
      </c>
      <c r="Y144">
        <v>3.4</v>
      </c>
      <c r="Z144">
        <v>4.7</v>
      </c>
      <c r="AA144">
        <v>6</v>
      </c>
      <c r="AB144" t="s">
        <v>21</v>
      </c>
      <c r="AC144" t="s">
        <v>10</v>
      </c>
      <c r="AD144" t="s">
        <v>12</v>
      </c>
      <c r="AE144" t="str">
        <f t="shared" si="6"/>
        <v>20-24</v>
      </c>
      <c r="AF144" t="str">
        <f t="shared" si="7"/>
        <v>Low Usage</v>
      </c>
      <c r="AG144" t="str">
        <f t="shared" si="8"/>
        <v>Moderate Loneliness</v>
      </c>
    </row>
    <row r="145" spans="1:33" x14ac:dyDescent="0.3">
      <c r="A145" t="s">
        <v>188</v>
      </c>
      <c r="B145">
        <v>17</v>
      </c>
      <c r="C145" t="s">
        <v>32</v>
      </c>
      <c r="D145" t="s">
        <v>14</v>
      </c>
      <c r="E145" t="s">
        <v>37</v>
      </c>
      <c r="F145" t="s">
        <v>16</v>
      </c>
      <c r="G145" t="s">
        <v>17</v>
      </c>
      <c r="H145" t="s">
        <v>28</v>
      </c>
      <c r="I145" t="s">
        <v>24</v>
      </c>
      <c r="J145" t="s">
        <v>38</v>
      </c>
      <c r="K145" t="s">
        <v>53</v>
      </c>
      <c r="L145">
        <v>2.02</v>
      </c>
      <c r="M145">
        <v>3.76</v>
      </c>
      <c r="N145">
        <v>1</v>
      </c>
      <c r="O145">
        <v>5.33</v>
      </c>
      <c r="P145">
        <v>2</v>
      </c>
      <c r="Q145">
        <v>7.2</v>
      </c>
      <c r="R145">
        <v>6.1</v>
      </c>
      <c r="S145">
        <v>6.4</v>
      </c>
      <c r="T145" t="s">
        <v>39</v>
      </c>
      <c r="U145">
        <v>7</v>
      </c>
      <c r="V145">
        <v>5.6</v>
      </c>
      <c r="W145">
        <v>2.1</v>
      </c>
      <c r="X145">
        <v>5.6</v>
      </c>
      <c r="Y145">
        <v>6.3</v>
      </c>
      <c r="Z145">
        <v>6.4</v>
      </c>
      <c r="AA145">
        <v>4.3</v>
      </c>
      <c r="AB145" t="s">
        <v>21</v>
      </c>
      <c r="AC145" t="s">
        <v>39</v>
      </c>
      <c r="AD145" t="s">
        <v>22</v>
      </c>
      <c r="AE145" t="str">
        <f t="shared" si="6"/>
        <v>15-19</v>
      </c>
      <c r="AF145" t="str">
        <f t="shared" si="7"/>
        <v>Low Usage</v>
      </c>
      <c r="AG145" t="str">
        <f t="shared" si="8"/>
        <v>High Loneliness</v>
      </c>
    </row>
    <row r="146" spans="1:33" x14ac:dyDescent="0.3">
      <c r="A146" t="s">
        <v>189</v>
      </c>
      <c r="B146">
        <v>17</v>
      </c>
      <c r="C146" t="s">
        <v>1</v>
      </c>
      <c r="D146" t="s">
        <v>41</v>
      </c>
      <c r="E146" t="s">
        <v>15</v>
      </c>
      <c r="F146" t="s">
        <v>12</v>
      </c>
      <c r="G146" t="s">
        <v>17</v>
      </c>
      <c r="H146" t="s">
        <v>18</v>
      </c>
      <c r="I146" t="s">
        <v>29</v>
      </c>
      <c r="J146" t="s">
        <v>20</v>
      </c>
      <c r="K146" t="s">
        <v>25</v>
      </c>
      <c r="L146">
        <v>1.54</v>
      </c>
      <c r="M146">
        <v>2.8</v>
      </c>
      <c r="N146">
        <v>2.2599999999999998</v>
      </c>
      <c r="O146">
        <v>4.2300000000000004</v>
      </c>
      <c r="P146">
        <v>3</v>
      </c>
      <c r="Q146">
        <v>6</v>
      </c>
      <c r="R146">
        <v>3.5</v>
      </c>
      <c r="S146">
        <v>7.6</v>
      </c>
      <c r="T146" t="s">
        <v>10</v>
      </c>
      <c r="U146">
        <v>7</v>
      </c>
      <c r="V146">
        <v>6.7</v>
      </c>
      <c r="W146">
        <v>5.6</v>
      </c>
      <c r="X146">
        <v>2.2000000000000002</v>
      </c>
      <c r="Y146">
        <v>3.9</v>
      </c>
      <c r="Z146">
        <v>5.5</v>
      </c>
      <c r="AA146">
        <v>6.8</v>
      </c>
      <c r="AB146" t="s">
        <v>21</v>
      </c>
      <c r="AC146" t="s">
        <v>10</v>
      </c>
      <c r="AD146" t="s">
        <v>22</v>
      </c>
      <c r="AE146" t="str">
        <f t="shared" si="6"/>
        <v>15-19</v>
      </c>
      <c r="AF146" t="str">
        <f t="shared" si="7"/>
        <v>Low Usage</v>
      </c>
      <c r="AG146" t="str">
        <f t="shared" si="8"/>
        <v>Moderate Loneliness</v>
      </c>
    </row>
    <row r="147" spans="1:33" x14ac:dyDescent="0.3">
      <c r="A147" t="s">
        <v>190</v>
      </c>
      <c r="B147">
        <v>15</v>
      </c>
      <c r="C147" t="s">
        <v>1</v>
      </c>
      <c r="D147" t="s">
        <v>2</v>
      </c>
      <c r="E147" t="s">
        <v>3</v>
      </c>
      <c r="F147" t="s">
        <v>16</v>
      </c>
      <c r="G147" t="s">
        <v>43</v>
      </c>
      <c r="H147" t="s">
        <v>6</v>
      </c>
      <c r="I147" t="s">
        <v>7</v>
      </c>
      <c r="J147" t="s">
        <v>20</v>
      </c>
      <c r="K147" t="s">
        <v>53</v>
      </c>
      <c r="L147">
        <v>0</v>
      </c>
      <c r="M147">
        <v>6.09</v>
      </c>
      <c r="N147">
        <v>0</v>
      </c>
      <c r="O147">
        <v>3.53</v>
      </c>
      <c r="P147">
        <v>4</v>
      </c>
      <c r="Q147">
        <v>1</v>
      </c>
      <c r="R147">
        <v>1</v>
      </c>
      <c r="S147">
        <v>8.6999999999999993</v>
      </c>
      <c r="T147" t="s">
        <v>10</v>
      </c>
      <c r="U147">
        <v>8.1</v>
      </c>
      <c r="V147">
        <v>7.5</v>
      </c>
      <c r="W147">
        <v>7.8</v>
      </c>
      <c r="X147">
        <v>2.2999999999999998</v>
      </c>
      <c r="Y147">
        <v>1</v>
      </c>
      <c r="Z147">
        <v>1</v>
      </c>
      <c r="AA147">
        <v>6.2</v>
      </c>
      <c r="AB147" t="s">
        <v>11</v>
      </c>
      <c r="AC147" t="s">
        <v>10</v>
      </c>
      <c r="AD147" t="s">
        <v>12</v>
      </c>
      <c r="AE147" t="str">
        <f t="shared" si="6"/>
        <v>15-19</v>
      </c>
      <c r="AF147" t="str">
        <f t="shared" si="7"/>
        <v>Very Low Usage</v>
      </c>
      <c r="AG147" t="str">
        <f t="shared" si="8"/>
        <v>Low Loneliness</v>
      </c>
    </row>
    <row r="148" spans="1:33" x14ac:dyDescent="0.3">
      <c r="A148" t="s">
        <v>191</v>
      </c>
      <c r="B148">
        <v>41</v>
      </c>
      <c r="C148" t="s">
        <v>32</v>
      </c>
      <c r="D148" t="s">
        <v>47</v>
      </c>
      <c r="E148" t="s">
        <v>37</v>
      </c>
      <c r="F148" t="s">
        <v>12</v>
      </c>
      <c r="G148" t="s">
        <v>17</v>
      </c>
      <c r="H148" t="s">
        <v>28</v>
      </c>
      <c r="I148" t="s">
        <v>29</v>
      </c>
      <c r="J148" t="s">
        <v>20</v>
      </c>
      <c r="K148" t="s">
        <v>30</v>
      </c>
      <c r="L148">
        <v>0</v>
      </c>
      <c r="M148">
        <v>6.29</v>
      </c>
      <c r="N148">
        <v>0.61</v>
      </c>
      <c r="O148">
        <v>2.89</v>
      </c>
      <c r="P148">
        <v>5</v>
      </c>
      <c r="Q148">
        <v>1.9</v>
      </c>
      <c r="R148">
        <v>1</v>
      </c>
      <c r="S148">
        <v>7.5</v>
      </c>
      <c r="T148" t="s">
        <v>10</v>
      </c>
      <c r="U148">
        <v>7.8</v>
      </c>
      <c r="V148">
        <v>9.9</v>
      </c>
      <c r="W148">
        <v>2.7</v>
      </c>
      <c r="X148">
        <v>2.6</v>
      </c>
      <c r="Y148">
        <v>1.8</v>
      </c>
      <c r="Z148">
        <v>2.1</v>
      </c>
      <c r="AA148">
        <v>9.6</v>
      </c>
      <c r="AB148" t="s">
        <v>21</v>
      </c>
      <c r="AC148" t="s">
        <v>10</v>
      </c>
      <c r="AD148" t="s">
        <v>12</v>
      </c>
      <c r="AE148" t="str">
        <f t="shared" si="6"/>
        <v>35-44</v>
      </c>
      <c r="AF148" t="str">
        <f t="shared" si="7"/>
        <v>Very Low Usage</v>
      </c>
      <c r="AG148" t="str">
        <f t="shared" si="8"/>
        <v>Low Loneliness</v>
      </c>
    </row>
    <row r="149" spans="1:33" x14ac:dyDescent="0.3">
      <c r="A149" t="s">
        <v>192</v>
      </c>
      <c r="B149">
        <v>19</v>
      </c>
      <c r="C149" t="s">
        <v>27</v>
      </c>
      <c r="D149" t="s">
        <v>14</v>
      </c>
      <c r="E149" t="s">
        <v>37</v>
      </c>
      <c r="F149" t="s">
        <v>16</v>
      </c>
      <c r="G149" t="s">
        <v>43</v>
      </c>
      <c r="H149" t="s">
        <v>28</v>
      </c>
      <c r="I149" t="s">
        <v>24</v>
      </c>
      <c r="J149" t="s">
        <v>8</v>
      </c>
      <c r="K149" t="s">
        <v>1079</v>
      </c>
      <c r="L149">
        <v>2.0299999999999998</v>
      </c>
      <c r="M149">
        <v>4.66</v>
      </c>
      <c r="N149">
        <v>2.4900000000000002</v>
      </c>
      <c r="O149">
        <v>6.15</v>
      </c>
      <c r="P149">
        <v>2</v>
      </c>
      <c r="Q149">
        <v>4.9000000000000004</v>
      </c>
      <c r="R149">
        <v>4.0999999999999996</v>
      </c>
      <c r="S149">
        <v>4.9000000000000004</v>
      </c>
      <c r="T149" t="s">
        <v>10</v>
      </c>
      <c r="U149">
        <v>7.2</v>
      </c>
      <c r="V149">
        <v>7.5</v>
      </c>
      <c r="W149">
        <v>2.2000000000000002</v>
      </c>
      <c r="X149">
        <v>5.0999999999999996</v>
      </c>
      <c r="Y149">
        <v>4.2</v>
      </c>
      <c r="Z149">
        <v>6.3</v>
      </c>
      <c r="AA149">
        <v>5.4</v>
      </c>
      <c r="AB149" t="s">
        <v>21</v>
      </c>
      <c r="AC149" t="s">
        <v>10</v>
      </c>
      <c r="AD149" t="s">
        <v>45</v>
      </c>
      <c r="AE149" t="str">
        <f t="shared" si="6"/>
        <v>15-19</v>
      </c>
      <c r="AF149" t="str">
        <f t="shared" si="7"/>
        <v>Low Usage</v>
      </c>
      <c r="AG149" t="str">
        <f t="shared" si="8"/>
        <v>Moderate Loneliness</v>
      </c>
    </row>
    <row r="150" spans="1:33" x14ac:dyDescent="0.3">
      <c r="A150" t="s">
        <v>193</v>
      </c>
      <c r="B150">
        <v>24</v>
      </c>
      <c r="C150" t="s">
        <v>32</v>
      </c>
      <c r="D150" t="s">
        <v>58</v>
      </c>
      <c r="E150" t="s">
        <v>3</v>
      </c>
      <c r="F150" t="s">
        <v>4</v>
      </c>
      <c r="G150" t="s">
        <v>17</v>
      </c>
      <c r="H150" t="s">
        <v>33</v>
      </c>
      <c r="I150" t="s">
        <v>29</v>
      </c>
      <c r="J150" t="s">
        <v>48</v>
      </c>
      <c r="K150" t="s">
        <v>30</v>
      </c>
      <c r="L150">
        <v>0.55000000000000004</v>
      </c>
      <c r="M150">
        <v>5.3</v>
      </c>
      <c r="N150">
        <v>1.37</v>
      </c>
      <c r="O150">
        <v>5.28</v>
      </c>
      <c r="P150">
        <v>6</v>
      </c>
      <c r="Q150">
        <v>3.3</v>
      </c>
      <c r="R150">
        <v>3.3</v>
      </c>
      <c r="S150">
        <v>6.6</v>
      </c>
      <c r="T150" t="s">
        <v>10</v>
      </c>
      <c r="U150">
        <v>7.7</v>
      </c>
      <c r="V150">
        <v>9.5</v>
      </c>
      <c r="W150">
        <v>2.8</v>
      </c>
      <c r="X150">
        <v>4</v>
      </c>
      <c r="Y150">
        <v>1</v>
      </c>
      <c r="Z150">
        <v>2.9</v>
      </c>
      <c r="AA150">
        <v>7.1</v>
      </c>
      <c r="AB150" t="s">
        <v>11</v>
      </c>
      <c r="AC150" t="s">
        <v>10</v>
      </c>
      <c r="AD150" t="s">
        <v>12</v>
      </c>
      <c r="AE150" t="str">
        <f t="shared" si="6"/>
        <v>20-24</v>
      </c>
      <c r="AF150" t="str">
        <f t="shared" si="7"/>
        <v>Very Low Usage</v>
      </c>
      <c r="AG150" t="str">
        <f t="shared" si="8"/>
        <v>Moderate Loneliness</v>
      </c>
    </row>
    <row r="151" spans="1:33" x14ac:dyDescent="0.3">
      <c r="A151" t="s">
        <v>194</v>
      </c>
      <c r="B151">
        <v>21</v>
      </c>
      <c r="C151" t="s">
        <v>32</v>
      </c>
      <c r="D151" t="s">
        <v>58</v>
      </c>
      <c r="E151" t="s">
        <v>3</v>
      </c>
      <c r="F151" t="s">
        <v>45</v>
      </c>
      <c r="G151" t="s">
        <v>17</v>
      </c>
      <c r="H151" t="s">
        <v>18</v>
      </c>
      <c r="I151" t="s">
        <v>19</v>
      </c>
      <c r="J151" t="s">
        <v>48</v>
      </c>
      <c r="K151" t="s">
        <v>1079</v>
      </c>
      <c r="L151">
        <v>0.93</v>
      </c>
      <c r="M151">
        <v>3.36</v>
      </c>
      <c r="N151">
        <v>0.94</v>
      </c>
      <c r="O151">
        <v>3.1</v>
      </c>
      <c r="P151">
        <v>5</v>
      </c>
      <c r="Q151">
        <v>2.7</v>
      </c>
      <c r="R151">
        <v>1.6</v>
      </c>
      <c r="S151">
        <v>8.8000000000000007</v>
      </c>
      <c r="T151" t="s">
        <v>39</v>
      </c>
      <c r="U151">
        <v>8.5</v>
      </c>
      <c r="V151">
        <v>9.6999999999999993</v>
      </c>
      <c r="W151">
        <v>3.3</v>
      </c>
      <c r="X151">
        <v>3.2</v>
      </c>
      <c r="Y151">
        <v>2.5</v>
      </c>
      <c r="Z151">
        <v>3.1</v>
      </c>
      <c r="AA151">
        <v>8.1999999999999993</v>
      </c>
      <c r="AB151" t="s">
        <v>21</v>
      </c>
      <c r="AC151" t="s">
        <v>10</v>
      </c>
      <c r="AD151" t="s">
        <v>12</v>
      </c>
      <c r="AE151" t="str">
        <f t="shared" si="6"/>
        <v>20-24</v>
      </c>
      <c r="AF151" t="str">
        <f t="shared" si="7"/>
        <v>Very Low Usage</v>
      </c>
      <c r="AG151" t="str">
        <f t="shared" si="8"/>
        <v>Low Loneliness</v>
      </c>
    </row>
    <row r="152" spans="1:33" x14ac:dyDescent="0.3">
      <c r="A152" t="s">
        <v>195</v>
      </c>
      <c r="B152">
        <v>40</v>
      </c>
      <c r="C152" t="s">
        <v>1</v>
      </c>
      <c r="D152" t="s">
        <v>2</v>
      </c>
      <c r="E152" t="s">
        <v>37</v>
      </c>
      <c r="F152" t="s">
        <v>4</v>
      </c>
      <c r="G152" t="s">
        <v>17</v>
      </c>
      <c r="H152" t="s">
        <v>6</v>
      </c>
      <c r="I152" t="s">
        <v>19</v>
      </c>
      <c r="J152" t="s">
        <v>8</v>
      </c>
      <c r="K152" t="s">
        <v>53</v>
      </c>
      <c r="L152">
        <v>0.38</v>
      </c>
      <c r="M152">
        <v>2.85</v>
      </c>
      <c r="N152">
        <v>2.36</v>
      </c>
      <c r="O152">
        <v>6.46</v>
      </c>
      <c r="P152">
        <v>3</v>
      </c>
      <c r="Q152">
        <v>4.9000000000000004</v>
      </c>
      <c r="R152">
        <v>6.7</v>
      </c>
      <c r="S152">
        <v>3.5</v>
      </c>
      <c r="T152" t="s">
        <v>39</v>
      </c>
      <c r="U152">
        <v>7.7</v>
      </c>
      <c r="V152">
        <v>5.3</v>
      </c>
      <c r="W152">
        <v>2.5</v>
      </c>
      <c r="X152">
        <v>5.8</v>
      </c>
      <c r="Y152">
        <v>5.4</v>
      </c>
      <c r="Z152">
        <v>6</v>
      </c>
      <c r="AA152">
        <v>5.8</v>
      </c>
      <c r="AB152" t="s">
        <v>44</v>
      </c>
      <c r="AC152" t="s">
        <v>10</v>
      </c>
      <c r="AD152" t="s">
        <v>45</v>
      </c>
      <c r="AE152" t="str">
        <f t="shared" si="6"/>
        <v>35-44</v>
      </c>
      <c r="AF152" t="str">
        <f t="shared" si="7"/>
        <v>Very Low Usage</v>
      </c>
      <c r="AG152" t="str">
        <f t="shared" si="8"/>
        <v>Moderate Loneliness</v>
      </c>
    </row>
    <row r="153" spans="1:33" x14ac:dyDescent="0.3">
      <c r="A153" t="s">
        <v>196</v>
      </c>
      <c r="B153">
        <v>23</v>
      </c>
      <c r="C153" t="s">
        <v>32</v>
      </c>
      <c r="D153" t="s">
        <v>2</v>
      </c>
      <c r="E153" t="s">
        <v>37</v>
      </c>
      <c r="F153" t="s">
        <v>12</v>
      </c>
      <c r="G153" t="s">
        <v>5</v>
      </c>
      <c r="H153" t="s">
        <v>28</v>
      </c>
      <c r="I153" t="s">
        <v>19</v>
      </c>
      <c r="J153" t="s">
        <v>8</v>
      </c>
      <c r="K153" t="s">
        <v>53</v>
      </c>
      <c r="L153">
        <v>1.57</v>
      </c>
      <c r="M153">
        <v>3.52</v>
      </c>
      <c r="N153">
        <v>3.99</v>
      </c>
      <c r="O153">
        <v>7.65</v>
      </c>
      <c r="P153">
        <v>3</v>
      </c>
      <c r="Q153">
        <v>5.8</v>
      </c>
      <c r="R153">
        <v>5.4</v>
      </c>
      <c r="S153">
        <v>5.7</v>
      </c>
      <c r="T153" t="s">
        <v>10</v>
      </c>
      <c r="U153">
        <v>7.8</v>
      </c>
      <c r="V153">
        <v>6.8</v>
      </c>
      <c r="W153">
        <v>2.5</v>
      </c>
      <c r="X153">
        <v>7.2</v>
      </c>
      <c r="Y153">
        <v>5.8</v>
      </c>
      <c r="Z153">
        <v>5.7</v>
      </c>
      <c r="AA153">
        <v>3.8</v>
      </c>
      <c r="AB153" t="s">
        <v>44</v>
      </c>
      <c r="AC153" t="s">
        <v>10</v>
      </c>
      <c r="AD153" t="s">
        <v>22</v>
      </c>
      <c r="AE153" t="str">
        <f t="shared" si="6"/>
        <v>20-24</v>
      </c>
      <c r="AF153" t="str">
        <f t="shared" si="7"/>
        <v>Low Usage</v>
      </c>
      <c r="AG153" t="str">
        <f t="shared" si="8"/>
        <v>Moderate Loneliness</v>
      </c>
    </row>
    <row r="154" spans="1:33" x14ac:dyDescent="0.3">
      <c r="A154" t="s">
        <v>197</v>
      </c>
      <c r="B154">
        <v>42</v>
      </c>
      <c r="C154" t="s">
        <v>1</v>
      </c>
      <c r="D154" t="s">
        <v>47</v>
      </c>
      <c r="E154" t="s">
        <v>37</v>
      </c>
      <c r="F154" t="s">
        <v>12</v>
      </c>
      <c r="G154" t="s">
        <v>66</v>
      </c>
      <c r="H154" t="s">
        <v>33</v>
      </c>
      <c r="I154" t="s">
        <v>29</v>
      </c>
      <c r="J154" t="s">
        <v>51</v>
      </c>
      <c r="K154" t="s">
        <v>53</v>
      </c>
      <c r="L154">
        <v>2.92</v>
      </c>
      <c r="M154">
        <v>3.48</v>
      </c>
      <c r="N154">
        <v>5.83</v>
      </c>
      <c r="O154">
        <v>11.76</v>
      </c>
      <c r="P154">
        <v>0</v>
      </c>
      <c r="Q154">
        <v>7.9</v>
      </c>
      <c r="R154">
        <v>7.2</v>
      </c>
      <c r="S154">
        <v>2.2000000000000002</v>
      </c>
      <c r="T154" t="s">
        <v>10</v>
      </c>
      <c r="U154">
        <v>5</v>
      </c>
      <c r="V154">
        <v>3.3</v>
      </c>
      <c r="W154">
        <v>2.6</v>
      </c>
      <c r="X154">
        <v>6.8</v>
      </c>
      <c r="Y154">
        <v>7.8</v>
      </c>
      <c r="Z154">
        <v>8.1999999999999993</v>
      </c>
      <c r="AA154">
        <v>1.8</v>
      </c>
      <c r="AB154" t="s">
        <v>44</v>
      </c>
      <c r="AC154" t="s">
        <v>10</v>
      </c>
      <c r="AD154" t="s">
        <v>45</v>
      </c>
      <c r="AE154" t="str">
        <f t="shared" si="6"/>
        <v>35-44</v>
      </c>
      <c r="AF154" t="str">
        <f t="shared" si="7"/>
        <v>Moderate Usage</v>
      </c>
      <c r="AG154" t="str">
        <f t="shared" si="8"/>
        <v>High Loneliness</v>
      </c>
    </row>
    <row r="155" spans="1:33" x14ac:dyDescent="0.3">
      <c r="A155" t="s">
        <v>198</v>
      </c>
      <c r="B155">
        <v>21</v>
      </c>
      <c r="C155" t="s">
        <v>1</v>
      </c>
      <c r="D155" t="s">
        <v>14</v>
      </c>
      <c r="E155" t="s">
        <v>37</v>
      </c>
      <c r="F155" t="s">
        <v>16</v>
      </c>
      <c r="G155" t="s">
        <v>17</v>
      </c>
      <c r="H155" t="s">
        <v>28</v>
      </c>
      <c r="I155" t="s">
        <v>7</v>
      </c>
      <c r="J155" t="s">
        <v>8</v>
      </c>
      <c r="K155" t="s">
        <v>1079</v>
      </c>
      <c r="L155">
        <v>1.26</v>
      </c>
      <c r="M155">
        <v>4.3499999999999996</v>
      </c>
      <c r="N155">
        <v>0.12</v>
      </c>
      <c r="O155">
        <v>6.45</v>
      </c>
      <c r="P155">
        <v>3</v>
      </c>
      <c r="Q155">
        <v>4.7</v>
      </c>
      <c r="R155">
        <v>6</v>
      </c>
      <c r="S155">
        <v>6.7</v>
      </c>
      <c r="T155" t="s">
        <v>10</v>
      </c>
      <c r="U155">
        <v>7.9</v>
      </c>
      <c r="V155">
        <v>5.3</v>
      </c>
      <c r="W155">
        <v>1.5</v>
      </c>
      <c r="X155">
        <v>2.6</v>
      </c>
      <c r="Y155">
        <v>1</v>
      </c>
      <c r="Z155">
        <v>3.8</v>
      </c>
      <c r="AA155">
        <v>6.2</v>
      </c>
      <c r="AB155" t="s">
        <v>21</v>
      </c>
      <c r="AC155" t="s">
        <v>10</v>
      </c>
      <c r="AD155" t="s">
        <v>12</v>
      </c>
      <c r="AE155" t="str">
        <f t="shared" si="6"/>
        <v>20-24</v>
      </c>
      <c r="AF155" t="str">
        <f t="shared" si="7"/>
        <v>Low Usage</v>
      </c>
      <c r="AG155" t="str">
        <f t="shared" si="8"/>
        <v>Moderate Loneliness</v>
      </c>
    </row>
    <row r="156" spans="1:33" x14ac:dyDescent="0.3">
      <c r="A156" t="s">
        <v>199</v>
      </c>
      <c r="B156">
        <v>23</v>
      </c>
      <c r="C156" t="s">
        <v>1</v>
      </c>
      <c r="D156" t="s">
        <v>2</v>
      </c>
      <c r="E156" t="s">
        <v>37</v>
      </c>
      <c r="F156" t="s">
        <v>4</v>
      </c>
      <c r="G156" t="s">
        <v>17</v>
      </c>
      <c r="H156" t="s">
        <v>28</v>
      </c>
      <c r="I156" t="s">
        <v>29</v>
      </c>
      <c r="J156" t="s">
        <v>51</v>
      </c>
      <c r="K156" t="s">
        <v>30</v>
      </c>
      <c r="L156">
        <v>1.68</v>
      </c>
      <c r="M156">
        <v>5.13</v>
      </c>
      <c r="N156">
        <v>1.53</v>
      </c>
      <c r="O156">
        <v>5.4</v>
      </c>
      <c r="P156">
        <v>3</v>
      </c>
      <c r="Q156">
        <v>4</v>
      </c>
      <c r="R156">
        <v>4.5</v>
      </c>
      <c r="S156">
        <v>5.2</v>
      </c>
      <c r="T156" t="s">
        <v>10</v>
      </c>
      <c r="U156">
        <v>7.9</v>
      </c>
      <c r="V156">
        <v>8.8000000000000007</v>
      </c>
      <c r="W156">
        <v>4</v>
      </c>
      <c r="X156">
        <v>3.8</v>
      </c>
      <c r="Y156">
        <v>1</v>
      </c>
      <c r="Z156">
        <v>1.5</v>
      </c>
      <c r="AA156">
        <v>6.4</v>
      </c>
      <c r="AB156" t="s">
        <v>21</v>
      </c>
      <c r="AC156" t="s">
        <v>10</v>
      </c>
      <c r="AD156" t="s">
        <v>22</v>
      </c>
      <c r="AE156" t="str">
        <f t="shared" si="6"/>
        <v>20-24</v>
      </c>
      <c r="AF156" t="str">
        <f t="shared" si="7"/>
        <v>Low Usage</v>
      </c>
      <c r="AG156" t="str">
        <f t="shared" si="8"/>
        <v>Moderate Loneliness</v>
      </c>
    </row>
    <row r="157" spans="1:33" x14ac:dyDescent="0.3">
      <c r="A157" t="s">
        <v>200</v>
      </c>
      <c r="B157">
        <v>22</v>
      </c>
      <c r="C157" t="s">
        <v>32</v>
      </c>
      <c r="D157" t="s">
        <v>14</v>
      </c>
      <c r="E157" t="s">
        <v>3</v>
      </c>
      <c r="F157" t="s">
        <v>16</v>
      </c>
      <c r="G157" t="s">
        <v>17</v>
      </c>
      <c r="H157" t="s">
        <v>33</v>
      </c>
      <c r="I157" t="s">
        <v>24</v>
      </c>
      <c r="J157" t="s">
        <v>8</v>
      </c>
      <c r="K157" t="s">
        <v>53</v>
      </c>
      <c r="L157">
        <v>1.95</v>
      </c>
      <c r="M157">
        <v>2.61</v>
      </c>
      <c r="N157">
        <v>3.65</v>
      </c>
      <c r="O157">
        <v>7.5</v>
      </c>
      <c r="P157">
        <v>2</v>
      </c>
      <c r="Q157">
        <v>6.3</v>
      </c>
      <c r="R157">
        <v>4.8</v>
      </c>
      <c r="S157">
        <v>3.7</v>
      </c>
      <c r="T157" t="s">
        <v>10</v>
      </c>
      <c r="U157">
        <v>6.1</v>
      </c>
      <c r="V157">
        <v>6.6</v>
      </c>
      <c r="W157">
        <v>5.5</v>
      </c>
      <c r="X157">
        <v>5.8</v>
      </c>
      <c r="Y157">
        <v>3.7</v>
      </c>
      <c r="Z157">
        <v>7.1</v>
      </c>
      <c r="AA157">
        <v>3.5</v>
      </c>
      <c r="AB157" t="s">
        <v>44</v>
      </c>
      <c r="AC157" t="s">
        <v>10</v>
      </c>
      <c r="AD157" t="s">
        <v>22</v>
      </c>
      <c r="AE157" t="str">
        <f t="shared" si="6"/>
        <v>20-24</v>
      </c>
      <c r="AF157" t="str">
        <f t="shared" si="7"/>
        <v>Low Usage</v>
      </c>
      <c r="AG157" t="str">
        <f t="shared" si="8"/>
        <v>High Loneliness</v>
      </c>
    </row>
    <row r="158" spans="1:33" x14ac:dyDescent="0.3">
      <c r="A158" t="s">
        <v>201</v>
      </c>
      <c r="B158">
        <v>26</v>
      </c>
      <c r="C158" t="s">
        <v>1</v>
      </c>
      <c r="D158" t="s">
        <v>14</v>
      </c>
      <c r="E158" t="s">
        <v>37</v>
      </c>
      <c r="F158" t="s">
        <v>12</v>
      </c>
      <c r="G158" t="s">
        <v>5</v>
      </c>
      <c r="H158" t="s">
        <v>18</v>
      </c>
      <c r="I158" t="s">
        <v>7</v>
      </c>
      <c r="J158" t="s">
        <v>20</v>
      </c>
      <c r="K158" t="s">
        <v>53</v>
      </c>
      <c r="L158">
        <v>1.45</v>
      </c>
      <c r="M158">
        <v>3.46</v>
      </c>
      <c r="N158">
        <v>1.91</v>
      </c>
      <c r="O158">
        <v>4.29</v>
      </c>
      <c r="P158">
        <v>5</v>
      </c>
      <c r="Q158">
        <v>2.1</v>
      </c>
      <c r="R158">
        <v>2.8</v>
      </c>
      <c r="S158">
        <v>8.8000000000000007</v>
      </c>
      <c r="T158" t="s">
        <v>10</v>
      </c>
      <c r="U158">
        <v>6.6</v>
      </c>
      <c r="V158">
        <v>7.5</v>
      </c>
      <c r="W158">
        <v>6.8</v>
      </c>
      <c r="X158">
        <v>4.5</v>
      </c>
      <c r="Y158">
        <v>2.9</v>
      </c>
      <c r="Z158">
        <v>4.7</v>
      </c>
      <c r="AA158">
        <v>7</v>
      </c>
      <c r="AB158" t="s">
        <v>21</v>
      </c>
      <c r="AC158" t="s">
        <v>10</v>
      </c>
      <c r="AD158" t="s">
        <v>12</v>
      </c>
      <c r="AE158" t="str">
        <f t="shared" si="6"/>
        <v>25-34</v>
      </c>
      <c r="AF158" t="str">
        <f t="shared" si="7"/>
        <v>Low Usage</v>
      </c>
      <c r="AG158" t="str">
        <f t="shared" si="8"/>
        <v>Low Loneliness</v>
      </c>
    </row>
    <row r="159" spans="1:33" x14ac:dyDescent="0.3">
      <c r="A159" t="s">
        <v>202</v>
      </c>
      <c r="B159">
        <v>16</v>
      </c>
      <c r="C159" t="s">
        <v>1</v>
      </c>
      <c r="D159" t="s">
        <v>14</v>
      </c>
      <c r="E159" t="s">
        <v>59</v>
      </c>
      <c r="F159" t="s">
        <v>4</v>
      </c>
      <c r="G159" t="s">
        <v>17</v>
      </c>
      <c r="H159" t="s">
        <v>33</v>
      </c>
      <c r="I159" t="s">
        <v>19</v>
      </c>
      <c r="J159" t="s">
        <v>38</v>
      </c>
      <c r="K159" t="s">
        <v>1079</v>
      </c>
      <c r="L159">
        <v>1.33</v>
      </c>
      <c r="M159">
        <v>3.3</v>
      </c>
      <c r="N159">
        <v>0.86</v>
      </c>
      <c r="O159">
        <v>4.07</v>
      </c>
      <c r="P159">
        <v>8</v>
      </c>
      <c r="Q159">
        <v>2.5</v>
      </c>
      <c r="R159">
        <v>1</v>
      </c>
      <c r="S159">
        <v>6.9</v>
      </c>
      <c r="T159" t="s">
        <v>10</v>
      </c>
      <c r="U159">
        <v>7</v>
      </c>
      <c r="V159">
        <v>7.4</v>
      </c>
      <c r="W159">
        <v>7.1</v>
      </c>
      <c r="X159">
        <v>1.4</v>
      </c>
      <c r="Y159">
        <v>4.2</v>
      </c>
      <c r="Z159">
        <v>4.3</v>
      </c>
      <c r="AA159">
        <v>6.2</v>
      </c>
      <c r="AB159" t="s">
        <v>21</v>
      </c>
      <c r="AC159" t="s">
        <v>10</v>
      </c>
      <c r="AD159" t="s">
        <v>12</v>
      </c>
      <c r="AE159" t="str">
        <f t="shared" si="6"/>
        <v>15-19</v>
      </c>
      <c r="AF159" t="str">
        <f t="shared" si="7"/>
        <v>Low Usage</v>
      </c>
      <c r="AG159" t="str">
        <f t="shared" si="8"/>
        <v>Low Loneliness</v>
      </c>
    </row>
    <row r="160" spans="1:33" x14ac:dyDescent="0.3">
      <c r="A160" t="s">
        <v>203</v>
      </c>
      <c r="B160">
        <v>15</v>
      </c>
      <c r="C160" t="s">
        <v>32</v>
      </c>
      <c r="D160" t="s">
        <v>14</v>
      </c>
      <c r="E160" t="s">
        <v>37</v>
      </c>
      <c r="F160" t="s">
        <v>12</v>
      </c>
      <c r="G160" t="s">
        <v>43</v>
      </c>
      <c r="H160" t="s">
        <v>28</v>
      </c>
      <c r="I160" t="s">
        <v>24</v>
      </c>
      <c r="J160" t="s">
        <v>48</v>
      </c>
      <c r="K160" t="s">
        <v>30</v>
      </c>
      <c r="L160">
        <v>1.35</v>
      </c>
      <c r="M160">
        <v>3.8</v>
      </c>
      <c r="N160">
        <v>1.82</v>
      </c>
      <c r="O160">
        <v>4.13</v>
      </c>
      <c r="P160">
        <v>3</v>
      </c>
      <c r="Q160">
        <v>3.8</v>
      </c>
      <c r="R160">
        <v>2.1</v>
      </c>
      <c r="S160">
        <v>6.8</v>
      </c>
      <c r="T160" t="s">
        <v>10</v>
      </c>
      <c r="U160">
        <v>6.2</v>
      </c>
      <c r="V160">
        <v>7.4</v>
      </c>
      <c r="W160">
        <v>4.8</v>
      </c>
      <c r="X160">
        <v>4</v>
      </c>
      <c r="Y160">
        <v>1.7</v>
      </c>
      <c r="Z160">
        <v>4.5</v>
      </c>
      <c r="AA160">
        <v>6.5</v>
      </c>
      <c r="AB160" t="s">
        <v>11</v>
      </c>
      <c r="AC160" t="s">
        <v>39</v>
      </c>
      <c r="AD160" t="s">
        <v>12</v>
      </c>
      <c r="AE160" t="str">
        <f t="shared" si="6"/>
        <v>15-19</v>
      </c>
      <c r="AF160" t="str">
        <f t="shared" si="7"/>
        <v>Low Usage</v>
      </c>
      <c r="AG160" t="str">
        <f t="shared" si="8"/>
        <v>Moderate Loneliness</v>
      </c>
    </row>
    <row r="161" spans="1:33" x14ac:dyDescent="0.3">
      <c r="A161" t="s">
        <v>204</v>
      </c>
      <c r="B161">
        <v>30</v>
      </c>
      <c r="C161" t="s">
        <v>1</v>
      </c>
      <c r="D161" t="s">
        <v>14</v>
      </c>
      <c r="E161" t="s">
        <v>15</v>
      </c>
      <c r="F161" t="s">
        <v>45</v>
      </c>
      <c r="G161" t="s">
        <v>5</v>
      </c>
      <c r="H161" t="s">
        <v>18</v>
      </c>
      <c r="I161" t="s">
        <v>24</v>
      </c>
      <c r="J161" t="s">
        <v>20</v>
      </c>
      <c r="K161" t="s">
        <v>9</v>
      </c>
      <c r="L161">
        <v>4.1100000000000003</v>
      </c>
      <c r="M161">
        <v>4.24</v>
      </c>
      <c r="N161">
        <v>4.45</v>
      </c>
      <c r="O161">
        <v>10.38</v>
      </c>
      <c r="P161">
        <v>1</v>
      </c>
      <c r="Q161">
        <v>8.6999999999999993</v>
      </c>
      <c r="R161">
        <v>7.1</v>
      </c>
      <c r="S161">
        <v>5</v>
      </c>
      <c r="T161" t="s">
        <v>10</v>
      </c>
      <c r="U161">
        <v>4.5999999999999996</v>
      </c>
      <c r="V161">
        <v>3.1</v>
      </c>
      <c r="W161">
        <v>1</v>
      </c>
      <c r="X161">
        <v>6.4</v>
      </c>
      <c r="Y161">
        <v>6.7</v>
      </c>
      <c r="Z161">
        <v>7.4</v>
      </c>
      <c r="AA161">
        <v>4.9000000000000004</v>
      </c>
      <c r="AB161" t="s">
        <v>21</v>
      </c>
      <c r="AC161" t="s">
        <v>39</v>
      </c>
      <c r="AD161" t="s">
        <v>45</v>
      </c>
      <c r="AE161" t="str">
        <f t="shared" si="6"/>
        <v>25-34</v>
      </c>
      <c r="AF161" t="str">
        <f t="shared" si="7"/>
        <v>High Usage</v>
      </c>
      <c r="AG161" t="str">
        <f t="shared" si="8"/>
        <v>High Loneliness</v>
      </c>
    </row>
    <row r="162" spans="1:33" x14ac:dyDescent="0.3">
      <c r="A162" t="s">
        <v>205</v>
      </c>
      <c r="B162">
        <v>37</v>
      </c>
      <c r="C162" t="s">
        <v>32</v>
      </c>
      <c r="D162" t="s">
        <v>14</v>
      </c>
      <c r="E162" t="s">
        <v>37</v>
      </c>
      <c r="F162" t="s">
        <v>16</v>
      </c>
      <c r="G162" t="s">
        <v>5</v>
      </c>
      <c r="H162" t="s">
        <v>18</v>
      </c>
      <c r="I162" t="s">
        <v>19</v>
      </c>
      <c r="J162" t="s">
        <v>48</v>
      </c>
      <c r="K162" t="s">
        <v>30</v>
      </c>
      <c r="L162">
        <v>2.61</v>
      </c>
      <c r="M162">
        <v>2.82</v>
      </c>
      <c r="N162">
        <v>2.9</v>
      </c>
      <c r="O162">
        <v>10.4</v>
      </c>
      <c r="P162">
        <v>3</v>
      </c>
      <c r="Q162">
        <v>6.1</v>
      </c>
      <c r="R162">
        <v>6.1</v>
      </c>
      <c r="S162">
        <v>4.4000000000000004</v>
      </c>
      <c r="T162" t="s">
        <v>39</v>
      </c>
      <c r="U162">
        <v>7</v>
      </c>
      <c r="V162">
        <v>5.8</v>
      </c>
      <c r="W162">
        <v>3.4</v>
      </c>
      <c r="X162">
        <v>6.9</v>
      </c>
      <c r="Y162">
        <v>5.4</v>
      </c>
      <c r="Z162">
        <v>5.2</v>
      </c>
      <c r="AA162">
        <v>4.5</v>
      </c>
      <c r="AB162" t="s">
        <v>44</v>
      </c>
      <c r="AC162" t="s">
        <v>10</v>
      </c>
      <c r="AD162" t="s">
        <v>45</v>
      </c>
      <c r="AE162" t="str">
        <f t="shared" si="6"/>
        <v>35-44</v>
      </c>
      <c r="AF162" t="str">
        <f t="shared" si="7"/>
        <v>Moderate Usage</v>
      </c>
      <c r="AG162" t="str">
        <f t="shared" si="8"/>
        <v>High Loneliness</v>
      </c>
    </row>
    <row r="163" spans="1:33" x14ac:dyDescent="0.3">
      <c r="A163" t="s">
        <v>206</v>
      </c>
      <c r="B163">
        <v>37</v>
      </c>
      <c r="C163" t="s">
        <v>1</v>
      </c>
      <c r="D163" t="s">
        <v>41</v>
      </c>
      <c r="E163" t="s">
        <v>15</v>
      </c>
      <c r="F163" t="s">
        <v>45</v>
      </c>
      <c r="G163" t="s">
        <v>17</v>
      </c>
      <c r="H163" t="s">
        <v>6</v>
      </c>
      <c r="I163" t="s">
        <v>7</v>
      </c>
      <c r="J163" t="s">
        <v>8</v>
      </c>
      <c r="K163" t="s">
        <v>1079</v>
      </c>
      <c r="L163">
        <v>2.44</v>
      </c>
      <c r="M163">
        <v>3.47</v>
      </c>
      <c r="N163">
        <v>3.26</v>
      </c>
      <c r="O163">
        <v>7.82</v>
      </c>
      <c r="P163">
        <v>2</v>
      </c>
      <c r="Q163">
        <v>7.2</v>
      </c>
      <c r="R163">
        <v>6.3</v>
      </c>
      <c r="S163">
        <v>4.0999999999999996</v>
      </c>
      <c r="T163" t="s">
        <v>39</v>
      </c>
      <c r="U163">
        <v>6.5</v>
      </c>
      <c r="V163">
        <v>3.9</v>
      </c>
      <c r="W163">
        <v>6.8</v>
      </c>
      <c r="X163">
        <v>7.7</v>
      </c>
      <c r="Y163">
        <v>4.5999999999999996</v>
      </c>
      <c r="Z163">
        <v>4.0999999999999996</v>
      </c>
      <c r="AA163">
        <v>3.6</v>
      </c>
      <c r="AB163" t="s">
        <v>21</v>
      </c>
      <c r="AC163" t="s">
        <v>39</v>
      </c>
      <c r="AD163" t="s">
        <v>45</v>
      </c>
      <c r="AE163" t="str">
        <f t="shared" si="6"/>
        <v>35-44</v>
      </c>
      <c r="AF163" t="str">
        <f t="shared" si="7"/>
        <v>Low Usage</v>
      </c>
      <c r="AG163" t="str">
        <f t="shared" si="8"/>
        <v>High Loneliness</v>
      </c>
    </row>
    <row r="164" spans="1:33" x14ac:dyDescent="0.3">
      <c r="A164" t="s">
        <v>207</v>
      </c>
      <c r="B164">
        <v>44</v>
      </c>
      <c r="C164" t="s">
        <v>32</v>
      </c>
      <c r="D164" t="s">
        <v>2</v>
      </c>
      <c r="E164" t="s">
        <v>15</v>
      </c>
      <c r="F164" t="s">
        <v>4</v>
      </c>
      <c r="G164" t="s">
        <v>66</v>
      </c>
      <c r="H164" t="s">
        <v>28</v>
      </c>
      <c r="I164" t="s">
        <v>29</v>
      </c>
      <c r="J164" t="s">
        <v>8</v>
      </c>
      <c r="K164" t="s">
        <v>30</v>
      </c>
      <c r="L164">
        <v>3.9</v>
      </c>
      <c r="M164">
        <v>2.79</v>
      </c>
      <c r="N164">
        <v>4.09</v>
      </c>
      <c r="O164">
        <v>9.44</v>
      </c>
      <c r="P164">
        <v>2</v>
      </c>
      <c r="Q164">
        <v>9.6999999999999993</v>
      </c>
      <c r="R164">
        <v>8.8000000000000007</v>
      </c>
      <c r="S164">
        <v>4.4000000000000004</v>
      </c>
      <c r="T164" t="s">
        <v>39</v>
      </c>
      <c r="U164">
        <v>5.9</v>
      </c>
      <c r="V164">
        <v>2.6</v>
      </c>
      <c r="W164">
        <v>1.3</v>
      </c>
      <c r="X164">
        <v>8.3000000000000007</v>
      </c>
      <c r="Y164">
        <v>7.5</v>
      </c>
      <c r="Z164">
        <v>9.6999999999999993</v>
      </c>
      <c r="AA164">
        <v>2.6</v>
      </c>
      <c r="AB164" t="s">
        <v>44</v>
      </c>
      <c r="AC164" t="s">
        <v>39</v>
      </c>
      <c r="AD164" t="s">
        <v>45</v>
      </c>
      <c r="AE164" t="str">
        <f t="shared" si="6"/>
        <v>35-44</v>
      </c>
      <c r="AF164" t="str">
        <f t="shared" si="7"/>
        <v>Moderate Usage</v>
      </c>
      <c r="AG164" t="str">
        <f t="shared" si="8"/>
        <v>High Loneliness</v>
      </c>
    </row>
    <row r="165" spans="1:33" x14ac:dyDescent="0.3">
      <c r="A165" t="s">
        <v>208</v>
      </c>
      <c r="B165">
        <v>38</v>
      </c>
      <c r="C165" t="s">
        <v>32</v>
      </c>
      <c r="D165" t="s">
        <v>41</v>
      </c>
      <c r="E165" t="s">
        <v>37</v>
      </c>
      <c r="F165" t="s">
        <v>16</v>
      </c>
      <c r="G165" t="s">
        <v>17</v>
      </c>
      <c r="H165" t="s">
        <v>28</v>
      </c>
      <c r="I165" t="s">
        <v>24</v>
      </c>
      <c r="J165" t="s">
        <v>38</v>
      </c>
      <c r="K165" t="s">
        <v>9</v>
      </c>
      <c r="L165">
        <v>3.83</v>
      </c>
      <c r="M165">
        <v>1.92</v>
      </c>
      <c r="N165">
        <v>2.88</v>
      </c>
      <c r="O165">
        <v>8.5</v>
      </c>
      <c r="P165">
        <v>2</v>
      </c>
      <c r="Q165">
        <v>5.8</v>
      </c>
      <c r="R165">
        <v>7.5</v>
      </c>
      <c r="S165">
        <v>4.2</v>
      </c>
      <c r="T165" t="s">
        <v>39</v>
      </c>
      <c r="U165">
        <v>7.2</v>
      </c>
      <c r="V165">
        <v>3.3</v>
      </c>
      <c r="W165">
        <v>5.7</v>
      </c>
      <c r="X165">
        <v>5.6</v>
      </c>
      <c r="Y165">
        <v>6.7</v>
      </c>
      <c r="Z165">
        <v>6.6</v>
      </c>
      <c r="AA165">
        <v>4.4000000000000004</v>
      </c>
      <c r="AB165" t="s">
        <v>21</v>
      </c>
      <c r="AC165" t="s">
        <v>10</v>
      </c>
      <c r="AD165" t="s">
        <v>45</v>
      </c>
      <c r="AE165" t="str">
        <f t="shared" si="6"/>
        <v>35-44</v>
      </c>
      <c r="AF165" t="str">
        <f t="shared" si="7"/>
        <v>Moderate Usage</v>
      </c>
      <c r="AG165" t="str">
        <f t="shared" si="8"/>
        <v>Moderate Loneliness</v>
      </c>
    </row>
    <row r="166" spans="1:33" x14ac:dyDescent="0.3">
      <c r="A166" t="s">
        <v>209</v>
      </c>
      <c r="B166">
        <v>19</v>
      </c>
      <c r="C166" t="s">
        <v>1</v>
      </c>
      <c r="D166" t="s">
        <v>2</v>
      </c>
      <c r="E166" t="s">
        <v>59</v>
      </c>
      <c r="F166" t="s">
        <v>16</v>
      </c>
      <c r="G166" t="s">
        <v>17</v>
      </c>
      <c r="H166" t="s">
        <v>28</v>
      </c>
      <c r="I166" t="s">
        <v>24</v>
      </c>
      <c r="J166" t="s">
        <v>48</v>
      </c>
      <c r="K166" t="s">
        <v>25</v>
      </c>
      <c r="L166">
        <v>0.41</v>
      </c>
      <c r="M166">
        <v>4.8099999999999996</v>
      </c>
      <c r="N166">
        <v>2.19</v>
      </c>
      <c r="O166">
        <v>4.18</v>
      </c>
      <c r="P166">
        <v>5</v>
      </c>
      <c r="Q166">
        <v>1.4</v>
      </c>
      <c r="R166">
        <v>2.1</v>
      </c>
      <c r="S166">
        <v>8.6999999999999993</v>
      </c>
      <c r="T166" t="s">
        <v>10</v>
      </c>
      <c r="U166">
        <v>7.6</v>
      </c>
      <c r="V166">
        <v>10</v>
      </c>
      <c r="W166">
        <v>1.7</v>
      </c>
      <c r="X166">
        <v>1.3</v>
      </c>
      <c r="Y166">
        <v>1</v>
      </c>
      <c r="Z166">
        <v>1.1000000000000001</v>
      </c>
      <c r="AA166">
        <v>8</v>
      </c>
      <c r="AB166" t="s">
        <v>11</v>
      </c>
      <c r="AC166" t="s">
        <v>39</v>
      </c>
      <c r="AD166" t="s">
        <v>12</v>
      </c>
      <c r="AE166" t="str">
        <f t="shared" si="6"/>
        <v>15-19</v>
      </c>
      <c r="AF166" t="str">
        <f t="shared" si="7"/>
        <v>Very Low Usage</v>
      </c>
      <c r="AG166" t="str">
        <f t="shared" si="8"/>
        <v>Low Loneliness</v>
      </c>
    </row>
    <row r="167" spans="1:33" x14ac:dyDescent="0.3">
      <c r="A167" t="s">
        <v>210</v>
      </c>
      <c r="B167">
        <v>17</v>
      </c>
      <c r="C167" t="s">
        <v>1</v>
      </c>
      <c r="D167" t="s">
        <v>14</v>
      </c>
      <c r="E167" t="s">
        <v>3</v>
      </c>
      <c r="F167" t="s">
        <v>4</v>
      </c>
      <c r="G167" t="s">
        <v>5</v>
      </c>
      <c r="H167" t="s">
        <v>18</v>
      </c>
      <c r="I167" t="s">
        <v>19</v>
      </c>
      <c r="J167" t="s">
        <v>48</v>
      </c>
      <c r="K167" t="s">
        <v>1079</v>
      </c>
      <c r="L167">
        <v>2.83</v>
      </c>
      <c r="M167">
        <v>3.65</v>
      </c>
      <c r="N167">
        <v>2.91</v>
      </c>
      <c r="O167">
        <v>8.7899999999999991</v>
      </c>
      <c r="P167">
        <v>2</v>
      </c>
      <c r="Q167">
        <v>7.1</v>
      </c>
      <c r="R167">
        <v>5.3</v>
      </c>
      <c r="S167">
        <v>5.5</v>
      </c>
      <c r="T167" t="s">
        <v>10</v>
      </c>
      <c r="U167">
        <v>7.1</v>
      </c>
      <c r="V167">
        <v>5</v>
      </c>
      <c r="W167">
        <v>3.8</v>
      </c>
      <c r="X167">
        <v>5.8</v>
      </c>
      <c r="Y167">
        <v>6.3</v>
      </c>
      <c r="Z167">
        <v>5.3</v>
      </c>
      <c r="AA167">
        <v>3.6</v>
      </c>
      <c r="AB167" t="s">
        <v>21</v>
      </c>
      <c r="AC167" t="s">
        <v>10</v>
      </c>
      <c r="AD167" t="s">
        <v>22</v>
      </c>
      <c r="AE167" t="str">
        <f t="shared" si="6"/>
        <v>15-19</v>
      </c>
      <c r="AF167" t="str">
        <f t="shared" si="7"/>
        <v>Moderate Usage</v>
      </c>
      <c r="AG167" t="str">
        <f t="shared" si="8"/>
        <v>High Loneliness</v>
      </c>
    </row>
    <row r="168" spans="1:33" x14ac:dyDescent="0.3">
      <c r="A168" t="s">
        <v>211</v>
      </c>
      <c r="B168">
        <v>26</v>
      </c>
      <c r="C168" t="s">
        <v>1</v>
      </c>
      <c r="D168" t="s">
        <v>2</v>
      </c>
      <c r="E168" t="s">
        <v>3</v>
      </c>
      <c r="F168" t="s">
        <v>16</v>
      </c>
      <c r="G168" t="s">
        <v>5</v>
      </c>
      <c r="H168" t="s">
        <v>28</v>
      </c>
      <c r="I168" t="s">
        <v>29</v>
      </c>
      <c r="J168" t="s">
        <v>8</v>
      </c>
      <c r="K168" t="s">
        <v>53</v>
      </c>
      <c r="L168">
        <v>2.12</v>
      </c>
      <c r="M168">
        <v>3.31</v>
      </c>
      <c r="N168">
        <v>2.5099999999999998</v>
      </c>
      <c r="O168">
        <v>6.54</v>
      </c>
      <c r="P168">
        <v>3</v>
      </c>
      <c r="Q168">
        <v>7.1</v>
      </c>
      <c r="R168">
        <v>7.3</v>
      </c>
      <c r="S168">
        <v>4</v>
      </c>
      <c r="T168" t="s">
        <v>39</v>
      </c>
      <c r="U168">
        <v>5.6</v>
      </c>
      <c r="V168">
        <v>6.1</v>
      </c>
      <c r="W168">
        <v>3.8</v>
      </c>
      <c r="X168">
        <v>5.5</v>
      </c>
      <c r="Y168">
        <v>6</v>
      </c>
      <c r="Z168">
        <v>7.1</v>
      </c>
      <c r="AA168">
        <v>2.1</v>
      </c>
      <c r="AB168" t="s">
        <v>21</v>
      </c>
      <c r="AC168" t="s">
        <v>10</v>
      </c>
      <c r="AD168" t="s">
        <v>45</v>
      </c>
      <c r="AE168" t="str">
        <f t="shared" si="6"/>
        <v>25-34</v>
      </c>
      <c r="AF168" t="str">
        <f t="shared" si="7"/>
        <v>Low Usage</v>
      </c>
      <c r="AG168" t="str">
        <f t="shared" si="8"/>
        <v>High Loneliness</v>
      </c>
    </row>
    <row r="169" spans="1:33" x14ac:dyDescent="0.3">
      <c r="A169" t="s">
        <v>212</v>
      </c>
      <c r="B169">
        <v>22</v>
      </c>
      <c r="C169" t="s">
        <v>1</v>
      </c>
      <c r="D169" t="s">
        <v>2</v>
      </c>
      <c r="E169" t="s">
        <v>15</v>
      </c>
      <c r="F169" t="s">
        <v>45</v>
      </c>
      <c r="G169" t="s">
        <v>17</v>
      </c>
      <c r="H169" t="s">
        <v>6</v>
      </c>
      <c r="I169" t="s">
        <v>19</v>
      </c>
      <c r="J169" t="s">
        <v>8</v>
      </c>
      <c r="K169" t="s">
        <v>53</v>
      </c>
      <c r="L169">
        <v>3.48</v>
      </c>
      <c r="M169">
        <v>1.29</v>
      </c>
      <c r="N169">
        <v>5.38</v>
      </c>
      <c r="O169">
        <v>12.47</v>
      </c>
      <c r="P169">
        <v>5</v>
      </c>
      <c r="Q169">
        <v>7.3</v>
      </c>
      <c r="R169">
        <v>6.8</v>
      </c>
      <c r="S169">
        <v>5.7</v>
      </c>
      <c r="T169" t="s">
        <v>10</v>
      </c>
      <c r="U169">
        <v>5.9</v>
      </c>
      <c r="V169">
        <v>4</v>
      </c>
      <c r="W169">
        <v>3.8</v>
      </c>
      <c r="X169">
        <v>5.6</v>
      </c>
      <c r="Y169">
        <v>4</v>
      </c>
      <c r="Z169">
        <v>6.4</v>
      </c>
      <c r="AA169">
        <v>5.5</v>
      </c>
      <c r="AB169" t="s">
        <v>21</v>
      </c>
      <c r="AC169" t="s">
        <v>10</v>
      </c>
      <c r="AD169" t="s">
        <v>45</v>
      </c>
      <c r="AE169" t="str">
        <f t="shared" si="6"/>
        <v>20-24</v>
      </c>
      <c r="AF169" t="str">
        <f t="shared" si="7"/>
        <v>Moderate Usage</v>
      </c>
      <c r="AG169" t="str">
        <f t="shared" si="8"/>
        <v>High Loneliness</v>
      </c>
    </row>
    <row r="170" spans="1:33" x14ac:dyDescent="0.3">
      <c r="A170" t="s">
        <v>213</v>
      </c>
      <c r="B170">
        <v>36</v>
      </c>
      <c r="C170" t="s">
        <v>89</v>
      </c>
      <c r="D170" t="s">
        <v>14</v>
      </c>
      <c r="E170" t="s">
        <v>15</v>
      </c>
      <c r="F170" t="s">
        <v>45</v>
      </c>
      <c r="G170" t="s">
        <v>17</v>
      </c>
      <c r="H170" t="s">
        <v>28</v>
      </c>
      <c r="I170" t="s">
        <v>7</v>
      </c>
      <c r="J170" t="s">
        <v>8</v>
      </c>
      <c r="K170" t="s">
        <v>1079</v>
      </c>
      <c r="L170">
        <v>0.12</v>
      </c>
      <c r="M170">
        <v>4.8099999999999996</v>
      </c>
      <c r="N170">
        <v>2.23</v>
      </c>
      <c r="O170">
        <v>4.03</v>
      </c>
      <c r="P170">
        <v>5</v>
      </c>
      <c r="Q170">
        <v>4.5999999999999996</v>
      </c>
      <c r="R170">
        <v>3.5</v>
      </c>
      <c r="S170">
        <v>6.2</v>
      </c>
      <c r="T170" t="s">
        <v>10</v>
      </c>
      <c r="U170">
        <v>7.1</v>
      </c>
      <c r="V170">
        <v>6.6</v>
      </c>
      <c r="W170">
        <v>4.9000000000000004</v>
      </c>
      <c r="X170">
        <v>3.2</v>
      </c>
      <c r="Y170">
        <v>3.4</v>
      </c>
      <c r="Z170">
        <v>3.8</v>
      </c>
      <c r="AA170">
        <v>5.3</v>
      </c>
      <c r="AB170" t="s">
        <v>21</v>
      </c>
      <c r="AC170" t="s">
        <v>10</v>
      </c>
      <c r="AD170" t="s">
        <v>12</v>
      </c>
      <c r="AE170" t="str">
        <f t="shared" si="6"/>
        <v>35-44</v>
      </c>
      <c r="AF170" t="str">
        <f t="shared" si="7"/>
        <v>Very Low Usage</v>
      </c>
      <c r="AG170" t="str">
        <f t="shared" si="8"/>
        <v>Moderate Loneliness</v>
      </c>
    </row>
    <row r="171" spans="1:33" x14ac:dyDescent="0.3">
      <c r="A171" t="s">
        <v>214</v>
      </c>
      <c r="B171">
        <v>41</v>
      </c>
      <c r="C171" t="s">
        <v>1</v>
      </c>
      <c r="D171" t="s">
        <v>2</v>
      </c>
      <c r="E171" t="s">
        <v>3</v>
      </c>
      <c r="F171" t="s">
        <v>16</v>
      </c>
      <c r="G171" t="s">
        <v>43</v>
      </c>
      <c r="H171" t="s">
        <v>6</v>
      </c>
      <c r="I171" t="s">
        <v>35</v>
      </c>
      <c r="J171" t="s">
        <v>20</v>
      </c>
      <c r="K171" t="s">
        <v>25</v>
      </c>
      <c r="L171">
        <v>0.85</v>
      </c>
      <c r="M171">
        <v>2.85</v>
      </c>
      <c r="N171">
        <v>0.45</v>
      </c>
      <c r="O171">
        <v>3.04</v>
      </c>
      <c r="P171">
        <v>3</v>
      </c>
      <c r="Q171">
        <v>8.3000000000000007</v>
      </c>
      <c r="R171">
        <v>3.6</v>
      </c>
      <c r="S171">
        <v>6.2</v>
      </c>
      <c r="T171" t="s">
        <v>10</v>
      </c>
      <c r="U171">
        <v>8.5</v>
      </c>
      <c r="V171">
        <v>6.2</v>
      </c>
      <c r="W171">
        <v>4.0999999999999996</v>
      </c>
      <c r="X171">
        <v>3.9</v>
      </c>
      <c r="Y171">
        <v>5.7</v>
      </c>
      <c r="Z171">
        <v>4.5999999999999996</v>
      </c>
      <c r="AA171">
        <v>6.7</v>
      </c>
      <c r="AB171" t="s">
        <v>21</v>
      </c>
      <c r="AC171" t="s">
        <v>10</v>
      </c>
      <c r="AD171" t="s">
        <v>22</v>
      </c>
      <c r="AE171" t="str">
        <f t="shared" si="6"/>
        <v>35-44</v>
      </c>
      <c r="AF171" t="str">
        <f t="shared" si="7"/>
        <v>Very Low Usage</v>
      </c>
      <c r="AG171" t="str">
        <f t="shared" si="8"/>
        <v>High Loneliness</v>
      </c>
    </row>
    <row r="172" spans="1:33" x14ac:dyDescent="0.3">
      <c r="A172" t="s">
        <v>215</v>
      </c>
      <c r="B172">
        <v>17</v>
      </c>
      <c r="C172" t="s">
        <v>32</v>
      </c>
      <c r="D172" t="s">
        <v>14</v>
      </c>
      <c r="E172" t="s">
        <v>37</v>
      </c>
      <c r="F172" t="s">
        <v>4</v>
      </c>
      <c r="G172" t="s">
        <v>17</v>
      </c>
      <c r="H172" t="s">
        <v>28</v>
      </c>
      <c r="I172" t="s">
        <v>19</v>
      </c>
      <c r="J172" t="s">
        <v>48</v>
      </c>
      <c r="K172" t="s">
        <v>1079</v>
      </c>
      <c r="L172">
        <v>1.77</v>
      </c>
      <c r="M172">
        <v>3.5</v>
      </c>
      <c r="N172">
        <v>3.73</v>
      </c>
      <c r="O172">
        <v>6.61</v>
      </c>
      <c r="P172">
        <v>5</v>
      </c>
      <c r="Q172">
        <v>3.1</v>
      </c>
      <c r="R172">
        <v>5.9</v>
      </c>
      <c r="S172">
        <v>6.6</v>
      </c>
      <c r="T172" t="s">
        <v>10</v>
      </c>
      <c r="U172">
        <v>8.1999999999999993</v>
      </c>
      <c r="V172">
        <v>8.3000000000000007</v>
      </c>
      <c r="W172">
        <v>4.9000000000000004</v>
      </c>
      <c r="X172">
        <v>4.9000000000000004</v>
      </c>
      <c r="Y172">
        <v>5.7</v>
      </c>
      <c r="Z172">
        <v>4.3</v>
      </c>
      <c r="AA172">
        <v>5.6</v>
      </c>
      <c r="AB172" t="s">
        <v>44</v>
      </c>
      <c r="AC172" t="s">
        <v>10</v>
      </c>
      <c r="AD172" t="s">
        <v>12</v>
      </c>
      <c r="AE172" t="str">
        <f t="shared" si="6"/>
        <v>15-19</v>
      </c>
      <c r="AF172" t="str">
        <f t="shared" si="7"/>
        <v>Low Usage</v>
      </c>
      <c r="AG172" t="str">
        <f t="shared" si="8"/>
        <v>Moderate Loneliness</v>
      </c>
    </row>
    <row r="173" spans="1:33" x14ac:dyDescent="0.3">
      <c r="A173" t="s">
        <v>216</v>
      </c>
      <c r="B173">
        <v>15</v>
      </c>
      <c r="C173" t="s">
        <v>1</v>
      </c>
      <c r="D173" t="s">
        <v>2</v>
      </c>
      <c r="E173" t="s">
        <v>3</v>
      </c>
      <c r="F173" t="s">
        <v>4</v>
      </c>
      <c r="G173" t="s">
        <v>43</v>
      </c>
      <c r="H173" t="s">
        <v>33</v>
      </c>
      <c r="I173" t="s">
        <v>24</v>
      </c>
      <c r="J173" t="s">
        <v>20</v>
      </c>
      <c r="K173" t="s">
        <v>53</v>
      </c>
      <c r="L173">
        <v>0</v>
      </c>
      <c r="M173">
        <v>5.48</v>
      </c>
      <c r="N173">
        <v>2.77</v>
      </c>
      <c r="O173">
        <v>4.3899999999999997</v>
      </c>
      <c r="P173">
        <v>7</v>
      </c>
      <c r="Q173">
        <v>3.9</v>
      </c>
      <c r="R173">
        <v>2.2999999999999998</v>
      </c>
      <c r="S173">
        <v>7.7</v>
      </c>
      <c r="T173" t="s">
        <v>10</v>
      </c>
      <c r="U173">
        <v>8.6999999999999993</v>
      </c>
      <c r="V173">
        <v>7.5</v>
      </c>
      <c r="W173">
        <v>4.7</v>
      </c>
      <c r="X173">
        <v>3.1</v>
      </c>
      <c r="Y173">
        <v>3.9</v>
      </c>
      <c r="Z173">
        <v>1</v>
      </c>
      <c r="AA173">
        <v>7.2</v>
      </c>
      <c r="AB173" t="s">
        <v>11</v>
      </c>
      <c r="AC173" t="s">
        <v>39</v>
      </c>
      <c r="AD173" t="s">
        <v>12</v>
      </c>
      <c r="AE173" t="str">
        <f t="shared" si="6"/>
        <v>15-19</v>
      </c>
      <c r="AF173" t="str">
        <f t="shared" si="7"/>
        <v>Very Low Usage</v>
      </c>
      <c r="AG173" t="str">
        <f t="shared" si="8"/>
        <v>Moderate Loneliness</v>
      </c>
    </row>
    <row r="174" spans="1:33" x14ac:dyDescent="0.3">
      <c r="A174" t="s">
        <v>217</v>
      </c>
      <c r="B174">
        <v>17</v>
      </c>
      <c r="C174" t="s">
        <v>32</v>
      </c>
      <c r="D174" t="s">
        <v>2</v>
      </c>
      <c r="E174" t="s">
        <v>37</v>
      </c>
      <c r="F174" t="s">
        <v>45</v>
      </c>
      <c r="G174" t="s">
        <v>5</v>
      </c>
      <c r="H174" t="s">
        <v>6</v>
      </c>
      <c r="I174" t="s">
        <v>35</v>
      </c>
      <c r="J174" t="s">
        <v>51</v>
      </c>
      <c r="K174" t="s">
        <v>25</v>
      </c>
      <c r="L174">
        <v>1.42</v>
      </c>
      <c r="M174">
        <v>6.33</v>
      </c>
      <c r="N174">
        <v>2.23</v>
      </c>
      <c r="O174">
        <v>3.92</v>
      </c>
      <c r="P174">
        <v>5</v>
      </c>
      <c r="Q174">
        <v>3.6</v>
      </c>
      <c r="R174">
        <v>1</v>
      </c>
      <c r="S174">
        <v>7.6</v>
      </c>
      <c r="T174" t="s">
        <v>39</v>
      </c>
      <c r="U174">
        <v>6.3</v>
      </c>
      <c r="V174">
        <v>7.3</v>
      </c>
      <c r="W174">
        <v>4.5</v>
      </c>
      <c r="X174">
        <v>5.0999999999999996</v>
      </c>
      <c r="Y174">
        <v>1.8</v>
      </c>
      <c r="Z174">
        <v>3.2</v>
      </c>
      <c r="AA174">
        <v>6.8</v>
      </c>
      <c r="AB174" t="s">
        <v>21</v>
      </c>
      <c r="AC174" t="s">
        <v>10</v>
      </c>
      <c r="AD174" t="s">
        <v>12</v>
      </c>
      <c r="AE174" t="str">
        <f t="shared" si="6"/>
        <v>15-19</v>
      </c>
      <c r="AF174" t="str">
        <f t="shared" si="7"/>
        <v>Low Usage</v>
      </c>
      <c r="AG174" t="str">
        <f t="shared" si="8"/>
        <v>Moderate Loneliness</v>
      </c>
    </row>
    <row r="175" spans="1:33" x14ac:dyDescent="0.3">
      <c r="A175" t="s">
        <v>218</v>
      </c>
      <c r="B175">
        <v>19</v>
      </c>
      <c r="C175" t="s">
        <v>32</v>
      </c>
      <c r="D175" t="s">
        <v>14</v>
      </c>
      <c r="E175" t="s">
        <v>15</v>
      </c>
      <c r="F175" t="s">
        <v>12</v>
      </c>
      <c r="G175" t="s">
        <v>17</v>
      </c>
      <c r="H175" t="s">
        <v>28</v>
      </c>
      <c r="I175" t="s">
        <v>29</v>
      </c>
      <c r="J175" t="s">
        <v>8</v>
      </c>
      <c r="K175" t="s">
        <v>25</v>
      </c>
      <c r="L175">
        <v>1.07</v>
      </c>
      <c r="M175">
        <v>3.03</v>
      </c>
      <c r="N175">
        <v>3.84</v>
      </c>
      <c r="O175">
        <v>4.7699999999999996</v>
      </c>
      <c r="P175">
        <v>3</v>
      </c>
      <c r="Q175">
        <v>4.9000000000000004</v>
      </c>
      <c r="R175">
        <v>8.6999999999999993</v>
      </c>
      <c r="S175">
        <v>1.4</v>
      </c>
      <c r="T175" t="s">
        <v>39</v>
      </c>
      <c r="U175">
        <v>6.6</v>
      </c>
      <c r="V175">
        <v>4.3</v>
      </c>
      <c r="W175">
        <v>1.1000000000000001</v>
      </c>
      <c r="X175">
        <v>5.4</v>
      </c>
      <c r="Y175">
        <v>4.7</v>
      </c>
      <c r="Z175">
        <v>5.6</v>
      </c>
      <c r="AA175">
        <v>4.8</v>
      </c>
      <c r="AB175" t="s">
        <v>44</v>
      </c>
      <c r="AC175" t="s">
        <v>10</v>
      </c>
      <c r="AD175" t="s">
        <v>22</v>
      </c>
      <c r="AE175" t="str">
        <f t="shared" si="6"/>
        <v>15-19</v>
      </c>
      <c r="AF175" t="str">
        <f t="shared" si="7"/>
        <v>Low Usage</v>
      </c>
      <c r="AG175" t="str">
        <f t="shared" si="8"/>
        <v>Moderate Loneliness</v>
      </c>
    </row>
    <row r="176" spans="1:33" x14ac:dyDescent="0.3">
      <c r="A176" t="s">
        <v>219</v>
      </c>
      <c r="B176">
        <v>29</v>
      </c>
      <c r="C176" t="s">
        <v>32</v>
      </c>
      <c r="D176" t="s">
        <v>14</v>
      </c>
      <c r="E176" t="s">
        <v>37</v>
      </c>
      <c r="F176" t="s">
        <v>16</v>
      </c>
      <c r="G176" t="s">
        <v>5</v>
      </c>
      <c r="H176" t="s">
        <v>6</v>
      </c>
      <c r="I176" t="s">
        <v>29</v>
      </c>
      <c r="J176" t="s">
        <v>8</v>
      </c>
      <c r="K176" t="s">
        <v>1079</v>
      </c>
      <c r="L176">
        <v>1.0900000000000001</v>
      </c>
      <c r="M176">
        <v>6.18</v>
      </c>
      <c r="N176">
        <v>3.75</v>
      </c>
      <c r="O176">
        <v>7.47</v>
      </c>
      <c r="P176">
        <v>5</v>
      </c>
      <c r="Q176">
        <v>1</v>
      </c>
      <c r="R176">
        <v>1.8</v>
      </c>
      <c r="S176">
        <v>9.4</v>
      </c>
      <c r="T176" t="s">
        <v>10</v>
      </c>
      <c r="U176">
        <v>8.4</v>
      </c>
      <c r="V176">
        <v>8</v>
      </c>
      <c r="W176">
        <v>6.2</v>
      </c>
      <c r="X176">
        <v>1</v>
      </c>
      <c r="Y176">
        <v>2.1</v>
      </c>
      <c r="Z176">
        <v>5.3</v>
      </c>
      <c r="AA176">
        <v>6.7</v>
      </c>
      <c r="AB176" t="s">
        <v>11</v>
      </c>
      <c r="AC176" t="s">
        <v>10</v>
      </c>
      <c r="AD176" t="s">
        <v>12</v>
      </c>
      <c r="AE176" t="str">
        <f t="shared" si="6"/>
        <v>25-34</v>
      </c>
      <c r="AF176" t="str">
        <f t="shared" si="7"/>
        <v>Low Usage</v>
      </c>
      <c r="AG176" t="str">
        <f t="shared" si="8"/>
        <v>Low Loneliness</v>
      </c>
    </row>
    <row r="177" spans="1:33" x14ac:dyDescent="0.3">
      <c r="A177" t="s">
        <v>220</v>
      </c>
      <c r="B177">
        <v>28</v>
      </c>
      <c r="C177" t="s">
        <v>32</v>
      </c>
      <c r="D177" t="s">
        <v>47</v>
      </c>
      <c r="E177" t="s">
        <v>37</v>
      </c>
      <c r="F177" t="s">
        <v>16</v>
      </c>
      <c r="G177" t="s">
        <v>17</v>
      </c>
      <c r="H177" t="s">
        <v>18</v>
      </c>
      <c r="I177" t="s">
        <v>24</v>
      </c>
      <c r="J177" t="s">
        <v>8</v>
      </c>
      <c r="K177" t="s">
        <v>30</v>
      </c>
      <c r="L177">
        <v>1.1000000000000001</v>
      </c>
      <c r="M177">
        <v>3.45</v>
      </c>
      <c r="N177">
        <v>0.73</v>
      </c>
      <c r="O177">
        <v>2.08</v>
      </c>
      <c r="P177">
        <v>6</v>
      </c>
      <c r="Q177">
        <v>1.9</v>
      </c>
      <c r="R177">
        <v>5.5</v>
      </c>
      <c r="S177">
        <v>6</v>
      </c>
      <c r="T177" t="s">
        <v>10</v>
      </c>
      <c r="U177">
        <v>9.4</v>
      </c>
      <c r="V177">
        <v>6.7</v>
      </c>
      <c r="W177">
        <v>6.9</v>
      </c>
      <c r="X177">
        <v>3.9</v>
      </c>
      <c r="Y177">
        <v>1.6</v>
      </c>
      <c r="Z177">
        <v>3.1</v>
      </c>
      <c r="AA177">
        <v>6.7</v>
      </c>
      <c r="AB177" t="s">
        <v>11</v>
      </c>
      <c r="AC177" t="s">
        <v>10</v>
      </c>
      <c r="AD177" t="s">
        <v>12</v>
      </c>
      <c r="AE177" t="str">
        <f t="shared" si="6"/>
        <v>25-34</v>
      </c>
      <c r="AF177" t="str">
        <f t="shared" si="7"/>
        <v>Low Usage</v>
      </c>
      <c r="AG177" t="str">
        <f t="shared" si="8"/>
        <v>Low Loneliness</v>
      </c>
    </row>
    <row r="178" spans="1:33" x14ac:dyDescent="0.3">
      <c r="A178" t="s">
        <v>221</v>
      </c>
      <c r="B178">
        <v>17</v>
      </c>
      <c r="C178" t="s">
        <v>1</v>
      </c>
      <c r="D178" t="s">
        <v>2</v>
      </c>
      <c r="E178" t="s">
        <v>37</v>
      </c>
      <c r="F178" t="s">
        <v>16</v>
      </c>
      <c r="G178" t="s">
        <v>43</v>
      </c>
      <c r="H178" t="s">
        <v>6</v>
      </c>
      <c r="I178" t="s">
        <v>7</v>
      </c>
      <c r="J178" t="s">
        <v>20</v>
      </c>
      <c r="K178" t="s">
        <v>1079</v>
      </c>
      <c r="L178">
        <v>2.57</v>
      </c>
      <c r="M178">
        <v>3.3</v>
      </c>
      <c r="N178">
        <v>3.39</v>
      </c>
      <c r="O178">
        <v>8.3699999999999992</v>
      </c>
      <c r="P178">
        <v>3</v>
      </c>
      <c r="Q178">
        <v>8.1</v>
      </c>
      <c r="R178">
        <v>6.8</v>
      </c>
      <c r="S178">
        <v>3.1</v>
      </c>
      <c r="T178" t="s">
        <v>39</v>
      </c>
      <c r="U178">
        <v>5</v>
      </c>
      <c r="V178">
        <v>3.4</v>
      </c>
      <c r="W178">
        <v>5.7</v>
      </c>
      <c r="X178">
        <v>7.1</v>
      </c>
      <c r="Y178">
        <v>7</v>
      </c>
      <c r="Z178">
        <v>6.6</v>
      </c>
      <c r="AA178">
        <v>5.3</v>
      </c>
      <c r="AB178" t="s">
        <v>21</v>
      </c>
      <c r="AC178" t="s">
        <v>10</v>
      </c>
      <c r="AD178" t="s">
        <v>45</v>
      </c>
      <c r="AE178" t="str">
        <f t="shared" si="6"/>
        <v>15-19</v>
      </c>
      <c r="AF178" t="str">
        <f t="shared" si="7"/>
        <v>Moderate Usage</v>
      </c>
      <c r="AG178" t="str">
        <f t="shared" si="8"/>
        <v>High Loneliness</v>
      </c>
    </row>
    <row r="179" spans="1:33" x14ac:dyDescent="0.3">
      <c r="A179" t="s">
        <v>222</v>
      </c>
      <c r="B179">
        <v>15</v>
      </c>
      <c r="C179" t="s">
        <v>1</v>
      </c>
      <c r="D179" t="s">
        <v>14</v>
      </c>
      <c r="E179" t="s">
        <v>3</v>
      </c>
      <c r="F179" t="s">
        <v>45</v>
      </c>
      <c r="G179" t="s">
        <v>5</v>
      </c>
      <c r="H179" t="s">
        <v>33</v>
      </c>
      <c r="I179" t="s">
        <v>7</v>
      </c>
      <c r="J179" t="s">
        <v>8</v>
      </c>
      <c r="K179" t="s">
        <v>9</v>
      </c>
      <c r="L179">
        <v>0</v>
      </c>
      <c r="M179">
        <v>3.31</v>
      </c>
      <c r="N179">
        <v>4.5999999999999996</v>
      </c>
      <c r="O179">
        <v>6.1</v>
      </c>
      <c r="P179">
        <v>2</v>
      </c>
      <c r="Q179">
        <v>6.6</v>
      </c>
      <c r="R179">
        <v>4.5999999999999996</v>
      </c>
      <c r="S179">
        <v>5.2</v>
      </c>
      <c r="T179" t="s">
        <v>10</v>
      </c>
      <c r="U179">
        <v>7.6</v>
      </c>
      <c r="V179">
        <v>6.6</v>
      </c>
      <c r="W179">
        <v>2.6</v>
      </c>
      <c r="X179">
        <v>6.1</v>
      </c>
      <c r="Y179">
        <v>4.4000000000000004</v>
      </c>
      <c r="Z179">
        <v>7.1</v>
      </c>
      <c r="AA179">
        <v>4.5</v>
      </c>
      <c r="AB179" t="s">
        <v>21</v>
      </c>
      <c r="AC179" t="s">
        <v>10</v>
      </c>
      <c r="AD179" t="s">
        <v>22</v>
      </c>
      <c r="AE179" t="str">
        <f t="shared" si="6"/>
        <v>15-19</v>
      </c>
      <c r="AF179" t="str">
        <f t="shared" si="7"/>
        <v>Very Low Usage</v>
      </c>
      <c r="AG179" t="str">
        <f t="shared" si="8"/>
        <v>High Loneliness</v>
      </c>
    </row>
    <row r="180" spans="1:33" x14ac:dyDescent="0.3">
      <c r="A180" t="s">
        <v>223</v>
      </c>
      <c r="B180">
        <v>19</v>
      </c>
      <c r="C180" t="s">
        <v>27</v>
      </c>
      <c r="D180" t="s">
        <v>41</v>
      </c>
      <c r="E180" t="s">
        <v>37</v>
      </c>
      <c r="F180" t="s">
        <v>4</v>
      </c>
      <c r="G180" t="s">
        <v>17</v>
      </c>
      <c r="H180" t="s">
        <v>28</v>
      </c>
      <c r="I180" t="s">
        <v>19</v>
      </c>
      <c r="J180" t="s">
        <v>38</v>
      </c>
      <c r="K180" t="s">
        <v>25</v>
      </c>
      <c r="L180">
        <v>0.87</v>
      </c>
      <c r="M180">
        <v>3.65</v>
      </c>
      <c r="N180">
        <v>5.26</v>
      </c>
      <c r="O180">
        <v>9.07</v>
      </c>
      <c r="P180">
        <v>4</v>
      </c>
      <c r="Q180">
        <v>6.1</v>
      </c>
      <c r="R180">
        <v>6.1</v>
      </c>
      <c r="S180">
        <v>2.5</v>
      </c>
      <c r="T180" t="s">
        <v>10</v>
      </c>
      <c r="U180">
        <v>7.6</v>
      </c>
      <c r="V180">
        <v>6.3</v>
      </c>
      <c r="W180">
        <v>0.7</v>
      </c>
      <c r="X180">
        <v>7.4</v>
      </c>
      <c r="Y180">
        <v>5.3</v>
      </c>
      <c r="Z180">
        <v>4.7</v>
      </c>
      <c r="AA180">
        <v>5.6</v>
      </c>
      <c r="AB180" t="s">
        <v>44</v>
      </c>
      <c r="AC180" t="s">
        <v>10</v>
      </c>
      <c r="AD180" t="s">
        <v>22</v>
      </c>
      <c r="AE180" t="str">
        <f t="shared" si="6"/>
        <v>15-19</v>
      </c>
      <c r="AF180" t="str">
        <f t="shared" si="7"/>
        <v>Very Low Usage</v>
      </c>
      <c r="AG180" t="str">
        <f t="shared" si="8"/>
        <v>High Loneliness</v>
      </c>
    </row>
    <row r="181" spans="1:33" x14ac:dyDescent="0.3">
      <c r="A181" t="s">
        <v>224</v>
      </c>
      <c r="B181">
        <v>40</v>
      </c>
      <c r="C181" t="s">
        <v>32</v>
      </c>
      <c r="D181" t="s">
        <v>14</v>
      </c>
      <c r="E181" t="s">
        <v>37</v>
      </c>
      <c r="F181" t="s">
        <v>4</v>
      </c>
      <c r="G181" t="s">
        <v>5</v>
      </c>
      <c r="H181" t="s">
        <v>28</v>
      </c>
      <c r="I181" t="s">
        <v>29</v>
      </c>
      <c r="J181" t="s">
        <v>8</v>
      </c>
      <c r="K181" t="s">
        <v>1079</v>
      </c>
      <c r="L181">
        <v>0.09</v>
      </c>
      <c r="M181">
        <v>5.0599999999999996</v>
      </c>
      <c r="N181">
        <v>0.9</v>
      </c>
      <c r="O181">
        <v>1.28</v>
      </c>
      <c r="P181">
        <v>8</v>
      </c>
      <c r="Q181">
        <v>1.9</v>
      </c>
      <c r="R181">
        <v>1</v>
      </c>
      <c r="S181">
        <v>9.1</v>
      </c>
      <c r="T181" t="s">
        <v>10</v>
      </c>
      <c r="U181">
        <v>8.3000000000000007</v>
      </c>
      <c r="V181">
        <v>7.3</v>
      </c>
      <c r="W181">
        <v>6</v>
      </c>
      <c r="X181">
        <v>3.8</v>
      </c>
      <c r="Y181">
        <v>2.2000000000000002</v>
      </c>
      <c r="Z181">
        <v>2.2000000000000002</v>
      </c>
      <c r="AA181">
        <v>9.3000000000000007</v>
      </c>
      <c r="AB181" t="s">
        <v>11</v>
      </c>
      <c r="AC181" t="s">
        <v>10</v>
      </c>
      <c r="AD181" t="s">
        <v>12</v>
      </c>
      <c r="AE181" t="str">
        <f t="shared" si="6"/>
        <v>35-44</v>
      </c>
      <c r="AF181" t="str">
        <f t="shared" si="7"/>
        <v>Very Low Usage</v>
      </c>
      <c r="AG181" t="str">
        <f t="shared" si="8"/>
        <v>Low Loneliness</v>
      </c>
    </row>
    <row r="182" spans="1:33" x14ac:dyDescent="0.3">
      <c r="A182" t="s">
        <v>225</v>
      </c>
      <c r="B182">
        <v>37</v>
      </c>
      <c r="C182" t="s">
        <v>27</v>
      </c>
      <c r="D182" t="s">
        <v>2</v>
      </c>
      <c r="E182" t="s">
        <v>59</v>
      </c>
      <c r="F182" t="s">
        <v>12</v>
      </c>
      <c r="G182" t="s">
        <v>66</v>
      </c>
      <c r="H182" t="s">
        <v>28</v>
      </c>
      <c r="I182" t="s">
        <v>19</v>
      </c>
      <c r="J182" t="s">
        <v>38</v>
      </c>
      <c r="K182" t="s">
        <v>30</v>
      </c>
      <c r="L182">
        <v>2.0299999999999998</v>
      </c>
      <c r="M182">
        <v>2.0499999999999998</v>
      </c>
      <c r="N182">
        <v>5.0599999999999996</v>
      </c>
      <c r="O182">
        <v>9.69</v>
      </c>
      <c r="P182">
        <v>6</v>
      </c>
      <c r="Q182">
        <v>5.2</v>
      </c>
      <c r="R182">
        <v>5.9</v>
      </c>
      <c r="S182">
        <v>5.4</v>
      </c>
      <c r="T182" t="s">
        <v>39</v>
      </c>
      <c r="U182">
        <v>5.4</v>
      </c>
      <c r="V182">
        <v>4.7</v>
      </c>
      <c r="W182">
        <v>1.6</v>
      </c>
      <c r="X182">
        <v>4.4000000000000004</v>
      </c>
      <c r="Y182">
        <v>5.3</v>
      </c>
      <c r="Z182">
        <v>5.3</v>
      </c>
      <c r="AA182">
        <v>5.8</v>
      </c>
      <c r="AB182" t="s">
        <v>44</v>
      </c>
      <c r="AC182" t="s">
        <v>10</v>
      </c>
      <c r="AD182" t="s">
        <v>22</v>
      </c>
      <c r="AE182" t="str">
        <f t="shared" si="6"/>
        <v>35-44</v>
      </c>
      <c r="AF182" t="str">
        <f t="shared" si="7"/>
        <v>Low Usage</v>
      </c>
      <c r="AG182" t="str">
        <f t="shared" si="8"/>
        <v>Moderate Loneliness</v>
      </c>
    </row>
    <row r="183" spans="1:33" x14ac:dyDescent="0.3">
      <c r="A183" t="s">
        <v>226</v>
      </c>
      <c r="B183">
        <v>28</v>
      </c>
      <c r="C183" t="s">
        <v>1</v>
      </c>
      <c r="D183" t="s">
        <v>41</v>
      </c>
      <c r="E183" t="s">
        <v>15</v>
      </c>
      <c r="F183" t="s">
        <v>4</v>
      </c>
      <c r="G183" t="s">
        <v>17</v>
      </c>
      <c r="H183" t="s">
        <v>28</v>
      </c>
      <c r="I183" t="s">
        <v>29</v>
      </c>
      <c r="J183" t="s">
        <v>20</v>
      </c>
      <c r="K183" t="s">
        <v>9</v>
      </c>
      <c r="L183">
        <v>1.22</v>
      </c>
      <c r="M183">
        <v>3.84</v>
      </c>
      <c r="N183">
        <v>2.64</v>
      </c>
      <c r="O183">
        <v>6.2</v>
      </c>
      <c r="P183">
        <v>4</v>
      </c>
      <c r="Q183">
        <v>3.3</v>
      </c>
      <c r="R183">
        <v>5.3</v>
      </c>
      <c r="S183">
        <v>6.7</v>
      </c>
      <c r="T183" t="s">
        <v>10</v>
      </c>
      <c r="U183">
        <v>7.7</v>
      </c>
      <c r="V183">
        <v>7.6</v>
      </c>
      <c r="W183">
        <v>5.6</v>
      </c>
      <c r="X183">
        <v>5</v>
      </c>
      <c r="Y183">
        <v>3</v>
      </c>
      <c r="Z183">
        <v>1.9</v>
      </c>
      <c r="AA183">
        <v>7.5</v>
      </c>
      <c r="AB183" t="s">
        <v>11</v>
      </c>
      <c r="AC183" t="s">
        <v>10</v>
      </c>
      <c r="AD183" t="s">
        <v>12</v>
      </c>
      <c r="AE183" t="str">
        <f t="shared" si="6"/>
        <v>25-34</v>
      </c>
      <c r="AF183" t="str">
        <f t="shared" si="7"/>
        <v>Low Usage</v>
      </c>
      <c r="AG183" t="str">
        <f t="shared" si="8"/>
        <v>Moderate Loneliness</v>
      </c>
    </row>
    <row r="184" spans="1:33" x14ac:dyDescent="0.3">
      <c r="A184" t="s">
        <v>227</v>
      </c>
      <c r="B184">
        <v>21</v>
      </c>
      <c r="C184" t="s">
        <v>32</v>
      </c>
      <c r="D184" t="s">
        <v>14</v>
      </c>
      <c r="E184" t="s">
        <v>3</v>
      </c>
      <c r="F184" t="s">
        <v>4</v>
      </c>
      <c r="G184" t="s">
        <v>43</v>
      </c>
      <c r="H184" t="s">
        <v>28</v>
      </c>
      <c r="I184" t="s">
        <v>29</v>
      </c>
      <c r="J184" t="s">
        <v>38</v>
      </c>
      <c r="K184" t="s">
        <v>1079</v>
      </c>
      <c r="L184">
        <v>0.12</v>
      </c>
      <c r="M184">
        <v>3.48</v>
      </c>
      <c r="N184">
        <v>2.98</v>
      </c>
      <c r="O184">
        <v>5.46</v>
      </c>
      <c r="P184">
        <v>4</v>
      </c>
      <c r="Q184">
        <v>2.2000000000000002</v>
      </c>
      <c r="R184">
        <v>1</v>
      </c>
      <c r="S184">
        <v>7.2</v>
      </c>
      <c r="T184" t="s">
        <v>10</v>
      </c>
      <c r="U184">
        <v>8.1</v>
      </c>
      <c r="V184">
        <v>10</v>
      </c>
      <c r="W184">
        <v>1.9</v>
      </c>
      <c r="X184">
        <v>2.1</v>
      </c>
      <c r="Y184">
        <v>2.2000000000000002</v>
      </c>
      <c r="Z184">
        <v>3</v>
      </c>
      <c r="AA184">
        <v>5.8</v>
      </c>
      <c r="AB184" t="s">
        <v>11</v>
      </c>
      <c r="AC184" t="s">
        <v>10</v>
      </c>
      <c r="AD184" t="s">
        <v>12</v>
      </c>
      <c r="AE184" t="str">
        <f t="shared" si="6"/>
        <v>20-24</v>
      </c>
      <c r="AF184" t="str">
        <f t="shared" si="7"/>
        <v>Very Low Usage</v>
      </c>
      <c r="AG184" t="str">
        <f t="shared" si="8"/>
        <v>Low Loneliness</v>
      </c>
    </row>
    <row r="185" spans="1:33" x14ac:dyDescent="0.3">
      <c r="A185" t="s">
        <v>228</v>
      </c>
      <c r="B185">
        <v>41</v>
      </c>
      <c r="C185" t="s">
        <v>27</v>
      </c>
      <c r="D185" t="s">
        <v>14</v>
      </c>
      <c r="E185" t="s">
        <v>15</v>
      </c>
      <c r="F185" t="s">
        <v>4</v>
      </c>
      <c r="G185" t="s">
        <v>17</v>
      </c>
      <c r="H185" t="s">
        <v>28</v>
      </c>
      <c r="I185" t="s">
        <v>24</v>
      </c>
      <c r="J185" t="s">
        <v>20</v>
      </c>
      <c r="K185" t="s">
        <v>1079</v>
      </c>
      <c r="L185">
        <v>0.72</v>
      </c>
      <c r="M185">
        <v>3.25</v>
      </c>
      <c r="N185">
        <v>2.76</v>
      </c>
      <c r="O185">
        <v>6.61</v>
      </c>
      <c r="P185">
        <v>8</v>
      </c>
      <c r="Q185">
        <v>5.9</v>
      </c>
      <c r="R185">
        <v>3.9</v>
      </c>
      <c r="S185">
        <v>6.1</v>
      </c>
      <c r="T185" t="s">
        <v>10</v>
      </c>
      <c r="U185">
        <v>7.5</v>
      </c>
      <c r="V185">
        <v>4</v>
      </c>
      <c r="W185">
        <v>6.2</v>
      </c>
      <c r="X185">
        <v>4.4000000000000004</v>
      </c>
      <c r="Y185">
        <v>2.8</v>
      </c>
      <c r="Z185">
        <v>5.5</v>
      </c>
      <c r="AA185">
        <v>5.5</v>
      </c>
      <c r="AB185" t="s">
        <v>21</v>
      </c>
      <c r="AC185" t="s">
        <v>10</v>
      </c>
      <c r="AD185" t="s">
        <v>12</v>
      </c>
      <c r="AE185" t="str">
        <f t="shared" si="6"/>
        <v>35-44</v>
      </c>
      <c r="AF185" t="str">
        <f t="shared" si="7"/>
        <v>Very Low Usage</v>
      </c>
      <c r="AG185" t="str">
        <f t="shared" si="8"/>
        <v>Moderate Loneliness</v>
      </c>
    </row>
    <row r="186" spans="1:33" x14ac:dyDescent="0.3">
      <c r="A186" t="s">
        <v>229</v>
      </c>
      <c r="B186">
        <v>23</v>
      </c>
      <c r="C186" t="s">
        <v>1</v>
      </c>
      <c r="D186" t="s">
        <v>14</v>
      </c>
      <c r="E186" t="s">
        <v>15</v>
      </c>
      <c r="F186" t="s">
        <v>16</v>
      </c>
      <c r="G186" t="s">
        <v>17</v>
      </c>
      <c r="H186" t="s">
        <v>18</v>
      </c>
      <c r="I186" t="s">
        <v>29</v>
      </c>
      <c r="J186" t="s">
        <v>38</v>
      </c>
      <c r="K186" t="s">
        <v>25</v>
      </c>
      <c r="L186">
        <v>1.33</v>
      </c>
      <c r="M186">
        <v>2.98</v>
      </c>
      <c r="N186">
        <v>4.17</v>
      </c>
      <c r="O186">
        <v>7.57</v>
      </c>
      <c r="P186">
        <v>4</v>
      </c>
      <c r="Q186">
        <v>6.5</v>
      </c>
      <c r="R186">
        <v>6.9</v>
      </c>
      <c r="S186">
        <v>4.0999999999999996</v>
      </c>
      <c r="T186" t="s">
        <v>10</v>
      </c>
      <c r="U186">
        <v>5.4</v>
      </c>
      <c r="V186">
        <v>4.5999999999999996</v>
      </c>
      <c r="W186">
        <v>2.6</v>
      </c>
      <c r="X186">
        <v>7.5</v>
      </c>
      <c r="Y186">
        <v>5.8</v>
      </c>
      <c r="Z186">
        <v>8.3000000000000007</v>
      </c>
      <c r="AA186">
        <v>1.8</v>
      </c>
      <c r="AB186" t="s">
        <v>44</v>
      </c>
      <c r="AC186" t="s">
        <v>39</v>
      </c>
      <c r="AD186" t="s">
        <v>45</v>
      </c>
      <c r="AE186" t="str">
        <f t="shared" si="6"/>
        <v>20-24</v>
      </c>
      <c r="AF186" t="str">
        <f t="shared" si="7"/>
        <v>Low Usage</v>
      </c>
      <c r="AG186" t="str">
        <f t="shared" si="8"/>
        <v>High Loneliness</v>
      </c>
    </row>
    <row r="187" spans="1:33" x14ac:dyDescent="0.3">
      <c r="A187" t="s">
        <v>230</v>
      </c>
      <c r="B187">
        <v>29</v>
      </c>
      <c r="C187" t="s">
        <v>1</v>
      </c>
      <c r="D187" t="s">
        <v>14</v>
      </c>
      <c r="E187" t="s">
        <v>15</v>
      </c>
      <c r="F187" t="s">
        <v>45</v>
      </c>
      <c r="G187" t="s">
        <v>17</v>
      </c>
      <c r="H187" t="s">
        <v>33</v>
      </c>
      <c r="I187" t="s">
        <v>7</v>
      </c>
      <c r="J187" t="s">
        <v>8</v>
      </c>
      <c r="K187" t="s">
        <v>53</v>
      </c>
      <c r="L187">
        <v>1.68</v>
      </c>
      <c r="M187">
        <v>4.1500000000000004</v>
      </c>
      <c r="N187">
        <v>4.34</v>
      </c>
      <c r="O187">
        <v>5.58</v>
      </c>
      <c r="P187">
        <v>5</v>
      </c>
      <c r="Q187">
        <v>4.7</v>
      </c>
      <c r="R187">
        <v>3.4</v>
      </c>
      <c r="S187">
        <v>4.7</v>
      </c>
      <c r="T187" t="s">
        <v>39</v>
      </c>
      <c r="U187">
        <v>6.5</v>
      </c>
      <c r="V187">
        <v>8</v>
      </c>
      <c r="W187">
        <v>1.6</v>
      </c>
      <c r="X187">
        <v>2.6</v>
      </c>
      <c r="Y187">
        <v>5.3</v>
      </c>
      <c r="Z187">
        <v>5.8</v>
      </c>
      <c r="AA187">
        <v>6.2</v>
      </c>
      <c r="AB187" t="s">
        <v>21</v>
      </c>
      <c r="AC187" t="s">
        <v>10</v>
      </c>
      <c r="AD187" t="s">
        <v>22</v>
      </c>
      <c r="AE187" t="str">
        <f t="shared" si="6"/>
        <v>25-34</v>
      </c>
      <c r="AF187" t="str">
        <f t="shared" si="7"/>
        <v>Low Usage</v>
      </c>
      <c r="AG187" t="str">
        <f t="shared" si="8"/>
        <v>Moderate Loneliness</v>
      </c>
    </row>
    <row r="188" spans="1:33" x14ac:dyDescent="0.3">
      <c r="A188" t="s">
        <v>231</v>
      </c>
      <c r="B188">
        <v>29</v>
      </c>
      <c r="C188" t="s">
        <v>32</v>
      </c>
      <c r="D188" t="s">
        <v>14</v>
      </c>
      <c r="E188" t="s">
        <v>37</v>
      </c>
      <c r="F188" t="s">
        <v>12</v>
      </c>
      <c r="G188" t="s">
        <v>17</v>
      </c>
      <c r="H188" t="s">
        <v>28</v>
      </c>
      <c r="I188" t="s">
        <v>19</v>
      </c>
      <c r="J188" t="s">
        <v>48</v>
      </c>
      <c r="K188" t="s">
        <v>1079</v>
      </c>
      <c r="L188">
        <v>3.84</v>
      </c>
      <c r="M188">
        <v>1.81</v>
      </c>
      <c r="N188">
        <v>4.17</v>
      </c>
      <c r="O188">
        <v>10.46</v>
      </c>
      <c r="P188">
        <v>0</v>
      </c>
      <c r="Q188">
        <v>10</v>
      </c>
      <c r="R188">
        <v>10</v>
      </c>
      <c r="S188">
        <v>1.1000000000000001</v>
      </c>
      <c r="T188" t="s">
        <v>39</v>
      </c>
      <c r="U188">
        <v>5.9</v>
      </c>
      <c r="V188">
        <v>1.7</v>
      </c>
      <c r="W188">
        <v>1.8</v>
      </c>
      <c r="X188">
        <v>10</v>
      </c>
      <c r="Y188">
        <v>7.5</v>
      </c>
      <c r="Z188">
        <v>8</v>
      </c>
      <c r="AA188">
        <v>1.9</v>
      </c>
      <c r="AB188" t="s">
        <v>44</v>
      </c>
      <c r="AC188" t="s">
        <v>10</v>
      </c>
      <c r="AD188" t="s">
        <v>45</v>
      </c>
      <c r="AE188" t="str">
        <f t="shared" si="6"/>
        <v>25-34</v>
      </c>
      <c r="AF188" t="str">
        <f t="shared" si="7"/>
        <v>Moderate Usage</v>
      </c>
      <c r="AG188" t="str">
        <f t="shared" si="8"/>
        <v>High Loneliness</v>
      </c>
    </row>
    <row r="189" spans="1:33" x14ac:dyDescent="0.3">
      <c r="A189" t="s">
        <v>232</v>
      </c>
      <c r="B189">
        <v>40</v>
      </c>
      <c r="C189" t="s">
        <v>32</v>
      </c>
      <c r="D189" t="s">
        <v>2</v>
      </c>
      <c r="E189" t="s">
        <v>37</v>
      </c>
      <c r="F189" t="s">
        <v>4</v>
      </c>
      <c r="G189" t="s">
        <v>17</v>
      </c>
      <c r="H189" t="s">
        <v>28</v>
      </c>
      <c r="I189" t="s">
        <v>24</v>
      </c>
      <c r="J189" t="s">
        <v>38</v>
      </c>
      <c r="K189" t="s">
        <v>25</v>
      </c>
      <c r="L189">
        <v>0</v>
      </c>
      <c r="M189">
        <v>8.08</v>
      </c>
      <c r="N189">
        <v>2.34</v>
      </c>
      <c r="O189">
        <v>4.66</v>
      </c>
      <c r="P189">
        <v>6</v>
      </c>
      <c r="Q189">
        <v>1.4</v>
      </c>
      <c r="R189">
        <v>1</v>
      </c>
      <c r="S189">
        <v>8.1</v>
      </c>
      <c r="T189" t="s">
        <v>10</v>
      </c>
      <c r="U189">
        <v>7.8</v>
      </c>
      <c r="V189">
        <v>9.8000000000000007</v>
      </c>
      <c r="W189">
        <v>6.6</v>
      </c>
      <c r="X189">
        <v>1</v>
      </c>
      <c r="Y189">
        <v>1.7</v>
      </c>
      <c r="Z189">
        <v>1</v>
      </c>
      <c r="AA189">
        <v>8.5</v>
      </c>
      <c r="AB189" t="s">
        <v>21</v>
      </c>
      <c r="AC189" t="s">
        <v>10</v>
      </c>
      <c r="AD189" t="s">
        <v>12</v>
      </c>
      <c r="AE189" t="str">
        <f t="shared" si="6"/>
        <v>35-44</v>
      </c>
      <c r="AF189" t="str">
        <f t="shared" si="7"/>
        <v>Very Low Usage</v>
      </c>
      <c r="AG189" t="str">
        <f t="shared" si="8"/>
        <v>Low Loneliness</v>
      </c>
    </row>
    <row r="190" spans="1:33" x14ac:dyDescent="0.3">
      <c r="A190" t="s">
        <v>233</v>
      </c>
      <c r="B190">
        <v>24</v>
      </c>
      <c r="C190" t="s">
        <v>32</v>
      </c>
      <c r="D190" t="s">
        <v>14</v>
      </c>
      <c r="E190" t="s">
        <v>37</v>
      </c>
      <c r="F190" t="s">
        <v>45</v>
      </c>
      <c r="G190" t="s">
        <v>17</v>
      </c>
      <c r="H190" t="s">
        <v>33</v>
      </c>
      <c r="I190" t="s">
        <v>29</v>
      </c>
      <c r="J190" t="s">
        <v>8</v>
      </c>
      <c r="K190" t="s">
        <v>25</v>
      </c>
      <c r="L190">
        <v>0</v>
      </c>
      <c r="M190">
        <v>5.4</v>
      </c>
      <c r="N190">
        <v>3.01</v>
      </c>
      <c r="O190">
        <v>4.7699999999999996</v>
      </c>
      <c r="P190">
        <v>5</v>
      </c>
      <c r="Q190">
        <v>1</v>
      </c>
      <c r="R190">
        <v>1.7</v>
      </c>
      <c r="S190">
        <v>10</v>
      </c>
      <c r="T190" t="s">
        <v>10</v>
      </c>
      <c r="U190">
        <v>7.5</v>
      </c>
      <c r="V190">
        <v>9.6999999999999993</v>
      </c>
      <c r="W190">
        <v>6.6</v>
      </c>
      <c r="X190">
        <v>3.6</v>
      </c>
      <c r="Y190">
        <v>1.2</v>
      </c>
      <c r="Z190">
        <v>5.0999999999999996</v>
      </c>
      <c r="AA190">
        <v>8.6999999999999993</v>
      </c>
      <c r="AB190" t="s">
        <v>11</v>
      </c>
      <c r="AC190" t="s">
        <v>10</v>
      </c>
      <c r="AD190" t="s">
        <v>12</v>
      </c>
      <c r="AE190" t="str">
        <f t="shared" si="6"/>
        <v>20-24</v>
      </c>
      <c r="AF190" t="str">
        <f t="shared" si="7"/>
        <v>Very Low Usage</v>
      </c>
      <c r="AG190" t="str">
        <f t="shared" si="8"/>
        <v>Low Loneliness</v>
      </c>
    </row>
    <row r="191" spans="1:33" x14ac:dyDescent="0.3">
      <c r="A191" t="s">
        <v>234</v>
      </c>
      <c r="B191">
        <v>42</v>
      </c>
      <c r="C191" t="s">
        <v>1</v>
      </c>
      <c r="D191" t="s">
        <v>2</v>
      </c>
      <c r="E191" t="s">
        <v>3</v>
      </c>
      <c r="F191" t="s">
        <v>12</v>
      </c>
      <c r="G191" t="s">
        <v>43</v>
      </c>
      <c r="H191" t="s">
        <v>28</v>
      </c>
      <c r="I191" t="s">
        <v>29</v>
      </c>
      <c r="J191" t="s">
        <v>8</v>
      </c>
      <c r="K191" t="s">
        <v>1079</v>
      </c>
      <c r="L191">
        <v>1.99</v>
      </c>
      <c r="M191">
        <v>3.18</v>
      </c>
      <c r="N191">
        <v>5.19</v>
      </c>
      <c r="O191">
        <v>8.33</v>
      </c>
      <c r="P191">
        <v>5</v>
      </c>
      <c r="Q191">
        <v>6.1</v>
      </c>
      <c r="R191">
        <v>7.8</v>
      </c>
      <c r="S191">
        <v>2.9</v>
      </c>
      <c r="T191" t="s">
        <v>39</v>
      </c>
      <c r="U191">
        <v>5.9</v>
      </c>
      <c r="V191">
        <v>4.0999999999999996</v>
      </c>
      <c r="W191">
        <v>3.6</v>
      </c>
      <c r="X191">
        <v>6.2</v>
      </c>
      <c r="Y191">
        <v>6.1</v>
      </c>
      <c r="Z191">
        <v>7.5</v>
      </c>
      <c r="AA191">
        <v>4.3</v>
      </c>
      <c r="AB191" t="s">
        <v>21</v>
      </c>
      <c r="AC191" t="s">
        <v>39</v>
      </c>
      <c r="AD191" t="s">
        <v>45</v>
      </c>
      <c r="AE191" t="str">
        <f t="shared" si="6"/>
        <v>35-44</v>
      </c>
      <c r="AF191" t="str">
        <f t="shared" si="7"/>
        <v>Low Usage</v>
      </c>
      <c r="AG191" t="str">
        <f t="shared" si="8"/>
        <v>High Loneliness</v>
      </c>
    </row>
    <row r="192" spans="1:33" x14ac:dyDescent="0.3">
      <c r="A192" t="s">
        <v>235</v>
      </c>
      <c r="B192">
        <v>27</v>
      </c>
      <c r="C192" t="s">
        <v>32</v>
      </c>
      <c r="D192" t="s">
        <v>41</v>
      </c>
      <c r="E192" t="s">
        <v>3</v>
      </c>
      <c r="F192" t="s">
        <v>12</v>
      </c>
      <c r="G192" t="s">
        <v>43</v>
      </c>
      <c r="H192" t="s">
        <v>28</v>
      </c>
      <c r="I192" t="s">
        <v>29</v>
      </c>
      <c r="J192" t="s">
        <v>20</v>
      </c>
      <c r="K192" t="s">
        <v>53</v>
      </c>
      <c r="L192">
        <v>4.7300000000000004</v>
      </c>
      <c r="M192">
        <v>2.29</v>
      </c>
      <c r="N192">
        <v>4</v>
      </c>
      <c r="O192">
        <v>10.37</v>
      </c>
      <c r="P192">
        <v>0</v>
      </c>
      <c r="Q192">
        <v>8.8000000000000007</v>
      </c>
      <c r="R192">
        <v>10</v>
      </c>
      <c r="S192">
        <v>3.6</v>
      </c>
      <c r="T192" t="s">
        <v>39</v>
      </c>
      <c r="U192">
        <v>6</v>
      </c>
      <c r="V192">
        <v>5.7</v>
      </c>
      <c r="W192">
        <v>0</v>
      </c>
      <c r="X192">
        <v>6.4</v>
      </c>
      <c r="Y192">
        <v>8</v>
      </c>
      <c r="Z192">
        <v>5.7</v>
      </c>
      <c r="AA192">
        <v>1.8</v>
      </c>
      <c r="AB192" t="s">
        <v>44</v>
      </c>
      <c r="AC192" t="s">
        <v>10</v>
      </c>
      <c r="AD192" t="s">
        <v>45</v>
      </c>
      <c r="AE192" t="str">
        <f t="shared" si="6"/>
        <v>25-34</v>
      </c>
      <c r="AF192" t="str">
        <f t="shared" si="7"/>
        <v>High Usage</v>
      </c>
      <c r="AG192" t="str">
        <f t="shared" si="8"/>
        <v>High Loneliness</v>
      </c>
    </row>
    <row r="193" spans="1:33" x14ac:dyDescent="0.3">
      <c r="A193" t="s">
        <v>236</v>
      </c>
      <c r="B193">
        <v>33</v>
      </c>
      <c r="C193" t="s">
        <v>1</v>
      </c>
      <c r="D193" t="s">
        <v>47</v>
      </c>
      <c r="E193" t="s">
        <v>3</v>
      </c>
      <c r="F193" t="s">
        <v>12</v>
      </c>
      <c r="G193" t="s">
        <v>5</v>
      </c>
      <c r="H193" t="s">
        <v>28</v>
      </c>
      <c r="I193" t="s">
        <v>35</v>
      </c>
      <c r="J193" t="s">
        <v>38</v>
      </c>
      <c r="K193" t="s">
        <v>1079</v>
      </c>
      <c r="L193">
        <v>1.01</v>
      </c>
      <c r="M193">
        <v>7.71</v>
      </c>
      <c r="N193">
        <v>1.88</v>
      </c>
      <c r="O193">
        <v>6.35</v>
      </c>
      <c r="P193">
        <v>8</v>
      </c>
      <c r="Q193">
        <v>3.3</v>
      </c>
      <c r="R193">
        <v>1.3</v>
      </c>
      <c r="S193">
        <v>9.4</v>
      </c>
      <c r="T193" t="s">
        <v>10</v>
      </c>
      <c r="U193">
        <v>8.5</v>
      </c>
      <c r="V193">
        <v>8.1999999999999993</v>
      </c>
      <c r="W193">
        <v>4.3</v>
      </c>
      <c r="X193">
        <v>2</v>
      </c>
      <c r="Y193">
        <v>3.1</v>
      </c>
      <c r="Z193">
        <v>6.6</v>
      </c>
      <c r="AA193">
        <v>6.7</v>
      </c>
      <c r="AB193" t="s">
        <v>21</v>
      </c>
      <c r="AC193" t="s">
        <v>10</v>
      </c>
      <c r="AD193" t="s">
        <v>12</v>
      </c>
      <c r="AE193" t="str">
        <f t="shared" si="6"/>
        <v>25-34</v>
      </c>
      <c r="AF193" t="str">
        <f t="shared" si="7"/>
        <v>Low Usage</v>
      </c>
      <c r="AG193" t="str">
        <f t="shared" si="8"/>
        <v>Moderate Loneliness</v>
      </c>
    </row>
    <row r="194" spans="1:33" x14ac:dyDescent="0.3">
      <c r="A194" t="s">
        <v>237</v>
      </c>
      <c r="B194">
        <v>21</v>
      </c>
      <c r="C194" t="s">
        <v>1</v>
      </c>
      <c r="D194" t="s">
        <v>2</v>
      </c>
      <c r="E194" t="s">
        <v>37</v>
      </c>
      <c r="F194" t="s">
        <v>4</v>
      </c>
      <c r="G194" t="s">
        <v>17</v>
      </c>
      <c r="H194" t="s">
        <v>6</v>
      </c>
      <c r="I194" t="s">
        <v>7</v>
      </c>
      <c r="J194" t="s">
        <v>20</v>
      </c>
      <c r="K194" t="s">
        <v>1079</v>
      </c>
      <c r="L194">
        <v>2.2400000000000002</v>
      </c>
      <c r="M194">
        <v>0.91</v>
      </c>
      <c r="N194">
        <v>1.29</v>
      </c>
      <c r="O194">
        <v>4.6100000000000003</v>
      </c>
      <c r="P194">
        <v>4</v>
      </c>
      <c r="Q194">
        <v>6.6</v>
      </c>
      <c r="R194">
        <v>2.8</v>
      </c>
      <c r="S194">
        <v>7.5</v>
      </c>
      <c r="T194" t="s">
        <v>10</v>
      </c>
      <c r="U194">
        <v>5.9</v>
      </c>
      <c r="V194">
        <v>7.4</v>
      </c>
      <c r="W194">
        <v>3.8</v>
      </c>
      <c r="X194">
        <v>6.4</v>
      </c>
      <c r="Y194">
        <v>6.2</v>
      </c>
      <c r="Z194">
        <v>5</v>
      </c>
      <c r="AA194">
        <v>7.3</v>
      </c>
      <c r="AB194" t="s">
        <v>11</v>
      </c>
      <c r="AC194" t="s">
        <v>10</v>
      </c>
      <c r="AD194" t="s">
        <v>22</v>
      </c>
      <c r="AE194" t="str">
        <f t="shared" si="6"/>
        <v>20-24</v>
      </c>
      <c r="AF194" t="str">
        <f t="shared" si="7"/>
        <v>Low Usage</v>
      </c>
      <c r="AG194" t="str">
        <f t="shared" si="8"/>
        <v>High Loneliness</v>
      </c>
    </row>
    <row r="195" spans="1:33" x14ac:dyDescent="0.3">
      <c r="A195" t="s">
        <v>238</v>
      </c>
      <c r="B195">
        <v>31</v>
      </c>
      <c r="C195" t="s">
        <v>1</v>
      </c>
      <c r="D195" t="s">
        <v>14</v>
      </c>
      <c r="E195" t="s">
        <v>15</v>
      </c>
      <c r="F195" t="s">
        <v>12</v>
      </c>
      <c r="G195" t="s">
        <v>17</v>
      </c>
      <c r="H195" t="s">
        <v>6</v>
      </c>
      <c r="I195" t="s">
        <v>19</v>
      </c>
      <c r="J195" t="s">
        <v>20</v>
      </c>
      <c r="K195" t="s">
        <v>53</v>
      </c>
      <c r="L195">
        <v>2.25</v>
      </c>
      <c r="M195">
        <v>2.5</v>
      </c>
      <c r="N195">
        <v>2.76</v>
      </c>
      <c r="O195">
        <v>5.27</v>
      </c>
      <c r="P195">
        <v>1</v>
      </c>
      <c r="Q195">
        <v>7.2</v>
      </c>
      <c r="R195">
        <v>8.1999999999999993</v>
      </c>
      <c r="S195">
        <v>3.2</v>
      </c>
      <c r="T195" t="s">
        <v>39</v>
      </c>
      <c r="U195">
        <v>5.3</v>
      </c>
      <c r="V195">
        <v>5.8</v>
      </c>
      <c r="W195">
        <v>2.7</v>
      </c>
      <c r="X195">
        <v>4</v>
      </c>
      <c r="Y195">
        <v>3.9</v>
      </c>
      <c r="Z195">
        <v>2.7</v>
      </c>
      <c r="AA195">
        <v>3.5</v>
      </c>
      <c r="AB195" t="s">
        <v>21</v>
      </c>
      <c r="AC195" t="s">
        <v>10</v>
      </c>
      <c r="AD195" t="s">
        <v>22</v>
      </c>
      <c r="AE195" t="str">
        <f t="shared" ref="AE195:AE258" si="9">IF(B195&lt;20,"15-19",IF(B195&lt;25,"20-24",IF(B195&lt;35,"25-34","35-44")))</f>
        <v>25-34</v>
      </c>
      <c r="AF195" t="str">
        <f t="shared" ref="AF195:AF258" si="10">IF(L195&lt;=1,"Very Low Usage",IF(L195&lt;=2.5,"Low Usage",IF(L195&lt;=4,"Moderate Usage","High Usage")))</f>
        <v>Low Usage</v>
      </c>
      <c r="AG195" t="str">
        <f t="shared" ref="AG195:AG258" si="11">IF(Q195&lt;=3,"Low Loneliness",IF(Q195&lt;=6,"Moderate Loneliness","High Loneliness"))</f>
        <v>High Loneliness</v>
      </c>
    </row>
    <row r="196" spans="1:33" x14ac:dyDescent="0.3">
      <c r="A196" t="s">
        <v>239</v>
      </c>
      <c r="B196">
        <v>34</v>
      </c>
      <c r="C196" t="s">
        <v>32</v>
      </c>
      <c r="D196" t="s">
        <v>2</v>
      </c>
      <c r="E196" t="s">
        <v>37</v>
      </c>
      <c r="F196" t="s">
        <v>45</v>
      </c>
      <c r="G196" t="s">
        <v>17</v>
      </c>
      <c r="H196" t="s">
        <v>28</v>
      </c>
      <c r="I196" t="s">
        <v>29</v>
      </c>
      <c r="J196" t="s">
        <v>8</v>
      </c>
      <c r="K196" t="s">
        <v>25</v>
      </c>
      <c r="L196">
        <v>0</v>
      </c>
      <c r="M196">
        <v>4.91</v>
      </c>
      <c r="N196">
        <v>2.89</v>
      </c>
      <c r="O196">
        <v>3.42</v>
      </c>
      <c r="P196">
        <v>6</v>
      </c>
      <c r="Q196">
        <v>3.9</v>
      </c>
      <c r="R196">
        <v>3.5</v>
      </c>
      <c r="S196">
        <v>6.9</v>
      </c>
      <c r="T196" t="s">
        <v>10</v>
      </c>
      <c r="U196">
        <v>6.8</v>
      </c>
      <c r="V196">
        <v>7.7</v>
      </c>
      <c r="W196">
        <v>3.7</v>
      </c>
      <c r="X196">
        <v>5.0999999999999996</v>
      </c>
      <c r="Y196">
        <v>3.4</v>
      </c>
      <c r="Z196">
        <v>6.4</v>
      </c>
      <c r="AA196">
        <v>6.8</v>
      </c>
      <c r="AB196" t="s">
        <v>21</v>
      </c>
      <c r="AC196" t="s">
        <v>10</v>
      </c>
      <c r="AD196" t="s">
        <v>12</v>
      </c>
      <c r="AE196" t="str">
        <f t="shared" si="9"/>
        <v>25-34</v>
      </c>
      <c r="AF196" t="str">
        <f t="shared" si="10"/>
        <v>Very Low Usage</v>
      </c>
      <c r="AG196" t="str">
        <f t="shared" si="11"/>
        <v>Moderate Loneliness</v>
      </c>
    </row>
    <row r="197" spans="1:33" x14ac:dyDescent="0.3">
      <c r="A197" t="s">
        <v>240</v>
      </c>
      <c r="B197">
        <v>43</v>
      </c>
      <c r="C197" t="s">
        <v>32</v>
      </c>
      <c r="D197" t="s">
        <v>2</v>
      </c>
      <c r="E197" t="s">
        <v>3</v>
      </c>
      <c r="F197" t="s">
        <v>4</v>
      </c>
      <c r="G197" t="s">
        <v>5</v>
      </c>
      <c r="H197" t="s">
        <v>33</v>
      </c>
      <c r="I197" t="s">
        <v>35</v>
      </c>
      <c r="J197" t="s">
        <v>8</v>
      </c>
      <c r="K197" t="s">
        <v>53</v>
      </c>
      <c r="L197">
        <v>3.38</v>
      </c>
      <c r="M197">
        <v>3.08</v>
      </c>
      <c r="N197">
        <v>1.22</v>
      </c>
      <c r="O197">
        <v>6.56</v>
      </c>
      <c r="P197">
        <v>5</v>
      </c>
      <c r="Q197">
        <v>4.7</v>
      </c>
      <c r="R197">
        <v>5.4</v>
      </c>
      <c r="S197">
        <v>7.2</v>
      </c>
      <c r="T197" t="s">
        <v>39</v>
      </c>
      <c r="U197">
        <v>5.3</v>
      </c>
      <c r="V197">
        <v>5.3</v>
      </c>
      <c r="W197">
        <v>5.4</v>
      </c>
      <c r="X197">
        <v>7</v>
      </c>
      <c r="Y197">
        <v>6</v>
      </c>
      <c r="Z197">
        <v>2.5</v>
      </c>
      <c r="AA197">
        <v>7.2</v>
      </c>
      <c r="AB197" t="s">
        <v>21</v>
      </c>
      <c r="AC197" t="s">
        <v>10</v>
      </c>
      <c r="AD197" t="s">
        <v>22</v>
      </c>
      <c r="AE197" t="str">
        <f t="shared" si="9"/>
        <v>35-44</v>
      </c>
      <c r="AF197" t="str">
        <f t="shared" si="10"/>
        <v>Moderate Usage</v>
      </c>
      <c r="AG197" t="str">
        <f t="shared" si="11"/>
        <v>Moderate Loneliness</v>
      </c>
    </row>
    <row r="198" spans="1:33" x14ac:dyDescent="0.3">
      <c r="A198" t="s">
        <v>241</v>
      </c>
      <c r="B198">
        <v>18</v>
      </c>
      <c r="C198" t="s">
        <v>32</v>
      </c>
      <c r="D198" t="s">
        <v>2</v>
      </c>
      <c r="E198" t="s">
        <v>59</v>
      </c>
      <c r="F198" t="s">
        <v>4</v>
      </c>
      <c r="G198" t="s">
        <v>43</v>
      </c>
      <c r="H198" t="s">
        <v>18</v>
      </c>
      <c r="I198" t="s">
        <v>29</v>
      </c>
      <c r="J198" t="s">
        <v>51</v>
      </c>
      <c r="K198" t="s">
        <v>1079</v>
      </c>
      <c r="L198">
        <v>1.85</v>
      </c>
      <c r="M198">
        <v>4.55</v>
      </c>
      <c r="N198">
        <v>2.21</v>
      </c>
      <c r="O198">
        <v>7.74</v>
      </c>
      <c r="P198">
        <v>2</v>
      </c>
      <c r="Q198">
        <v>3.5</v>
      </c>
      <c r="R198">
        <v>6.6</v>
      </c>
      <c r="S198">
        <v>6.9</v>
      </c>
      <c r="T198" t="s">
        <v>39</v>
      </c>
      <c r="U198">
        <v>7.5</v>
      </c>
      <c r="V198">
        <v>6.7</v>
      </c>
      <c r="W198">
        <v>1.4</v>
      </c>
      <c r="X198">
        <v>4.3</v>
      </c>
      <c r="Y198">
        <v>4.9000000000000004</v>
      </c>
      <c r="Z198">
        <v>5.4</v>
      </c>
      <c r="AA198">
        <v>4.5999999999999996</v>
      </c>
      <c r="AB198" t="s">
        <v>21</v>
      </c>
      <c r="AC198" t="s">
        <v>10</v>
      </c>
      <c r="AD198" t="s">
        <v>12</v>
      </c>
      <c r="AE198" t="str">
        <f t="shared" si="9"/>
        <v>15-19</v>
      </c>
      <c r="AF198" t="str">
        <f t="shared" si="10"/>
        <v>Low Usage</v>
      </c>
      <c r="AG198" t="str">
        <f t="shared" si="11"/>
        <v>Moderate Loneliness</v>
      </c>
    </row>
    <row r="199" spans="1:33" x14ac:dyDescent="0.3">
      <c r="A199" t="s">
        <v>242</v>
      </c>
      <c r="B199">
        <v>44</v>
      </c>
      <c r="C199" t="s">
        <v>1</v>
      </c>
      <c r="D199" t="s">
        <v>14</v>
      </c>
      <c r="E199" t="s">
        <v>59</v>
      </c>
      <c r="F199" t="s">
        <v>12</v>
      </c>
      <c r="G199" t="s">
        <v>17</v>
      </c>
      <c r="H199" t="s">
        <v>33</v>
      </c>
      <c r="I199" t="s">
        <v>29</v>
      </c>
      <c r="J199" t="s">
        <v>8</v>
      </c>
      <c r="K199" t="s">
        <v>1079</v>
      </c>
      <c r="L199">
        <v>0</v>
      </c>
      <c r="M199">
        <v>5.57</v>
      </c>
      <c r="N199">
        <v>2.96</v>
      </c>
      <c r="O199">
        <v>7.17</v>
      </c>
      <c r="P199">
        <v>6</v>
      </c>
      <c r="Q199">
        <v>1.9</v>
      </c>
      <c r="R199">
        <v>1.5</v>
      </c>
      <c r="S199">
        <v>10</v>
      </c>
      <c r="T199" t="s">
        <v>10</v>
      </c>
      <c r="U199">
        <v>6.2</v>
      </c>
      <c r="V199">
        <v>9.1</v>
      </c>
      <c r="W199">
        <v>5.3</v>
      </c>
      <c r="X199">
        <v>1.1000000000000001</v>
      </c>
      <c r="Y199">
        <v>1.5</v>
      </c>
      <c r="Z199">
        <v>3.5</v>
      </c>
      <c r="AA199">
        <v>7.5</v>
      </c>
      <c r="AB199" t="s">
        <v>11</v>
      </c>
      <c r="AC199" t="s">
        <v>10</v>
      </c>
      <c r="AD199" t="s">
        <v>12</v>
      </c>
      <c r="AE199" t="str">
        <f t="shared" si="9"/>
        <v>35-44</v>
      </c>
      <c r="AF199" t="str">
        <f t="shared" si="10"/>
        <v>Very Low Usage</v>
      </c>
      <c r="AG199" t="str">
        <f t="shared" si="11"/>
        <v>Low Loneliness</v>
      </c>
    </row>
    <row r="200" spans="1:33" x14ac:dyDescent="0.3">
      <c r="A200" t="s">
        <v>243</v>
      </c>
      <c r="B200">
        <v>19</v>
      </c>
      <c r="C200" t="s">
        <v>32</v>
      </c>
      <c r="D200" t="s">
        <v>58</v>
      </c>
      <c r="E200" t="s">
        <v>15</v>
      </c>
      <c r="F200" t="s">
        <v>4</v>
      </c>
      <c r="G200" t="s">
        <v>17</v>
      </c>
      <c r="H200" t="s">
        <v>33</v>
      </c>
      <c r="I200" t="s">
        <v>19</v>
      </c>
      <c r="J200" t="s">
        <v>48</v>
      </c>
      <c r="K200" t="s">
        <v>9</v>
      </c>
      <c r="L200">
        <v>0.76</v>
      </c>
      <c r="M200">
        <v>5.24</v>
      </c>
      <c r="N200">
        <v>2</v>
      </c>
      <c r="O200">
        <v>5.42</v>
      </c>
      <c r="P200">
        <v>7</v>
      </c>
      <c r="Q200">
        <v>2.6</v>
      </c>
      <c r="R200">
        <v>6.3</v>
      </c>
      <c r="S200">
        <v>4.4000000000000004</v>
      </c>
      <c r="T200" t="s">
        <v>39</v>
      </c>
      <c r="U200">
        <v>7.9</v>
      </c>
      <c r="V200">
        <v>6.3</v>
      </c>
      <c r="W200">
        <v>4.0999999999999996</v>
      </c>
      <c r="X200">
        <v>3.9</v>
      </c>
      <c r="Y200">
        <v>5.0999999999999996</v>
      </c>
      <c r="Z200">
        <v>5.2</v>
      </c>
      <c r="AA200">
        <v>6.4</v>
      </c>
      <c r="AB200" t="s">
        <v>21</v>
      </c>
      <c r="AC200" t="s">
        <v>10</v>
      </c>
      <c r="AD200" t="s">
        <v>12</v>
      </c>
      <c r="AE200" t="str">
        <f t="shared" si="9"/>
        <v>15-19</v>
      </c>
      <c r="AF200" t="str">
        <f t="shared" si="10"/>
        <v>Very Low Usage</v>
      </c>
      <c r="AG200" t="str">
        <f t="shared" si="11"/>
        <v>Low Loneliness</v>
      </c>
    </row>
    <row r="201" spans="1:33" x14ac:dyDescent="0.3">
      <c r="A201" t="s">
        <v>244</v>
      </c>
      <c r="B201">
        <v>37</v>
      </c>
      <c r="C201" t="s">
        <v>1</v>
      </c>
      <c r="D201" t="s">
        <v>2</v>
      </c>
      <c r="E201" t="s">
        <v>59</v>
      </c>
      <c r="F201" t="s">
        <v>16</v>
      </c>
      <c r="G201" t="s">
        <v>5</v>
      </c>
      <c r="H201" t="s">
        <v>33</v>
      </c>
      <c r="I201" t="s">
        <v>35</v>
      </c>
      <c r="J201" t="s">
        <v>38</v>
      </c>
      <c r="K201" t="s">
        <v>1079</v>
      </c>
      <c r="L201">
        <v>0</v>
      </c>
      <c r="M201">
        <v>2.85</v>
      </c>
      <c r="N201">
        <v>3.55</v>
      </c>
      <c r="O201">
        <v>4.5599999999999996</v>
      </c>
      <c r="P201">
        <v>3</v>
      </c>
      <c r="Q201">
        <v>6.1</v>
      </c>
      <c r="R201">
        <v>4.7</v>
      </c>
      <c r="S201">
        <v>6.9</v>
      </c>
      <c r="T201" t="s">
        <v>39</v>
      </c>
      <c r="U201">
        <v>8</v>
      </c>
      <c r="V201">
        <v>7.6</v>
      </c>
      <c r="W201">
        <v>3.8</v>
      </c>
      <c r="X201">
        <v>3.2</v>
      </c>
      <c r="Y201">
        <v>3.8</v>
      </c>
      <c r="Z201">
        <v>6.9</v>
      </c>
      <c r="AA201">
        <v>6.1</v>
      </c>
      <c r="AB201" t="s">
        <v>44</v>
      </c>
      <c r="AC201" t="s">
        <v>10</v>
      </c>
      <c r="AD201" t="s">
        <v>12</v>
      </c>
      <c r="AE201" t="str">
        <f t="shared" si="9"/>
        <v>35-44</v>
      </c>
      <c r="AF201" t="str">
        <f t="shared" si="10"/>
        <v>Very Low Usage</v>
      </c>
      <c r="AG201" t="str">
        <f t="shared" si="11"/>
        <v>High Loneliness</v>
      </c>
    </row>
    <row r="202" spans="1:33" x14ac:dyDescent="0.3">
      <c r="A202" t="s">
        <v>245</v>
      </c>
      <c r="B202">
        <v>21</v>
      </c>
      <c r="C202" t="s">
        <v>32</v>
      </c>
      <c r="D202" t="s">
        <v>14</v>
      </c>
      <c r="E202" t="s">
        <v>37</v>
      </c>
      <c r="F202" t="s">
        <v>16</v>
      </c>
      <c r="G202" t="s">
        <v>17</v>
      </c>
      <c r="H202" t="s">
        <v>28</v>
      </c>
      <c r="I202" t="s">
        <v>29</v>
      </c>
      <c r="J202" t="s">
        <v>8</v>
      </c>
      <c r="K202" t="s">
        <v>53</v>
      </c>
      <c r="L202">
        <v>2.5499999999999998</v>
      </c>
      <c r="M202">
        <v>4.0599999999999996</v>
      </c>
      <c r="N202">
        <v>3.17</v>
      </c>
      <c r="O202">
        <v>6.84</v>
      </c>
      <c r="P202">
        <v>6</v>
      </c>
      <c r="Q202">
        <v>5.9</v>
      </c>
      <c r="R202">
        <v>3.9</v>
      </c>
      <c r="S202">
        <v>4.8</v>
      </c>
      <c r="T202" t="s">
        <v>10</v>
      </c>
      <c r="U202">
        <v>7.2</v>
      </c>
      <c r="V202">
        <v>3.9</v>
      </c>
      <c r="W202">
        <v>2.4</v>
      </c>
      <c r="X202">
        <v>7.9</v>
      </c>
      <c r="Y202">
        <v>1.3</v>
      </c>
      <c r="Z202">
        <v>6.4</v>
      </c>
      <c r="AA202">
        <v>5</v>
      </c>
      <c r="AB202" t="s">
        <v>21</v>
      </c>
      <c r="AC202" t="s">
        <v>39</v>
      </c>
      <c r="AD202" t="s">
        <v>45</v>
      </c>
      <c r="AE202" t="str">
        <f t="shared" si="9"/>
        <v>20-24</v>
      </c>
      <c r="AF202" t="str">
        <f t="shared" si="10"/>
        <v>Moderate Usage</v>
      </c>
      <c r="AG202" t="str">
        <f t="shared" si="11"/>
        <v>Moderate Loneliness</v>
      </c>
    </row>
    <row r="203" spans="1:33" x14ac:dyDescent="0.3">
      <c r="A203" t="s">
        <v>246</v>
      </c>
      <c r="B203">
        <v>27</v>
      </c>
      <c r="C203" t="s">
        <v>1</v>
      </c>
      <c r="D203" t="s">
        <v>14</v>
      </c>
      <c r="E203" t="s">
        <v>59</v>
      </c>
      <c r="F203" t="s">
        <v>16</v>
      </c>
      <c r="G203" t="s">
        <v>17</v>
      </c>
      <c r="H203" t="s">
        <v>28</v>
      </c>
      <c r="I203" t="s">
        <v>29</v>
      </c>
      <c r="J203" t="s">
        <v>48</v>
      </c>
      <c r="K203" t="s">
        <v>53</v>
      </c>
      <c r="L203">
        <v>0</v>
      </c>
      <c r="M203">
        <v>6.37</v>
      </c>
      <c r="N203">
        <v>0.46</v>
      </c>
      <c r="O203">
        <v>3.34</v>
      </c>
      <c r="P203">
        <v>5</v>
      </c>
      <c r="Q203">
        <v>1.9</v>
      </c>
      <c r="R203">
        <v>1</v>
      </c>
      <c r="S203">
        <v>10</v>
      </c>
      <c r="T203" t="s">
        <v>10</v>
      </c>
      <c r="U203">
        <v>6.5</v>
      </c>
      <c r="V203">
        <v>10</v>
      </c>
      <c r="W203">
        <v>9.3000000000000007</v>
      </c>
      <c r="X203">
        <v>1.8</v>
      </c>
      <c r="Y203">
        <v>1</v>
      </c>
      <c r="Z203">
        <v>4.3</v>
      </c>
      <c r="AA203">
        <v>10</v>
      </c>
      <c r="AB203" t="s">
        <v>11</v>
      </c>
      <c r="AC203" t="s">
        <v>10</v>
      </c>
      <c r="AD203" t="s">
        <v>12</v>
      </c>
      <c r="AE203" t="str">
        <f t="shared" si="9"/>
        <v>25-34</v>
      </c>
      <c r="AF203" t="str">
        <f t="shared" si="10"/>
        <v>Very Low Usage</v>
      </c>
      <c r="AG203" t="str">
        <f t="shared" si="11"/>
        <v>Low Loneliness</v>
      </c>
    </row>
    <row r="204" spans="1:33" x14ac:dyDescent="0.3">
      <c r="A204" t="s">
        <v>247</v>
      </c>
      <c r="B204">
        <v>29</v>
      </c>
      <c r="C204" t="s">
        <v>1</v>
      </c>
      <c r="D204" t="s">
        <v>14</v>
      </c>
      <c r="E204" t="s">
        <v>3</v>
      </c>
      <c r="F204" t="s">
        <v>4</v>
      </c>
      <c r="G204" t="s">
        <v>5</v>
      </c>
      <c r="H204" t="s">
        <v>18</v>
      </c>
      <c r="I204" t="s">
        <v>35</v>
      </c>
      <c r="J204" t="s">
        <v>8</v>
      </c>
      <c r="K204" t="s">
        <v>30</v>
      </c>
      <c r="L204">
        <v>2.92</v>
      </c>
      <c r="M204">
        <v>3.3</v>
      </c>
      <c r="N204">
        <v>3.1</v>
      </c>
      <c r="O204">
        <v>9.35</v>
      </c>
      <c r="P204">
        <v>0</v>
      </c>
      <c r="Q204">
        <v>5.0999999999999996</v>
      </c>
      <c r="R204">
        <v>6.7</v>
      </c>
      <c r="S204">
        <v>5.3</v>
      </c>
      <c r="T204" t="s">
        <v>10</v>
      </c>
      <c r="U204">
        <v>6.6</v>
      </c>
      <c r="V204">
        <v>2.5</v>
      </c>
      <c r="W204">
        <v>4.5999999999999996</v>
      </c>
      <c r="X204">
        <v>4.5</v>
      </c>
      <c r="Y204">
        <v>8</v>
      </c>
      <c r="Z204">
        <v>6.2</v>
      </c>
      <c r="AA204">
        <v>5.2</v>
      </c>
      <c r="AB204" t="s">
        <v>21</v>
      </c>
      <c r="AC204" t="s">
        <v>10</v>
      </c>
      <c r="AD204" t="s">
        <v>22</v>
      </c>
      <c r="AE204" t="str">
        <f t="shared" si="9"/>
        <v>25-34</v>
      </c>
      <c r="AF204" t="str">
        <f t="shared" si="10"/>
        <v>Moderate Usage</v>
      </c>
      <c r="AG204" t="str">
        <f t="shared" si="11"/>
        <v>Moderate Loneliness</v>
      </c>
    </row>
    <row r="205" spans="1:33" x14ac:dyDescent="0.3">
      <c r="A205" t="s">
        <v>248</v>
      </c>
      <c r="B205">
        <v>25</v>
      </c>
      <c r="C205" t="s">
        <v>32</v>
      </c>
      <c r="D205" t="s">
        <v>47</v>
      </c>
      <c r="E205" t="s">
        <v>37</v>
      </c>
      <c r="F205" t="s">
        <v>45</v>
      </c>
      <c r="G205" t="s">
        <v>5</v>
      </c>
      <c r="H205" t="s">
        <v>6</v>
      </c>
      <c r="I205" t="s">
        <v>29</v>
      </c>
      <c r="J205" t="s">
        <v>20</v>
      </c>
      <c r="K205" t="s">
        <v>30</v>
      </c>
      <c r="L205">
        <v>2.29</v>
      </c>
      <c r="M205">
        <v>4.01</v>
      </c>
      <c r="N205">
        <v>2.8</v>
      </c>
      <c r="O205">
        <v>6.44</v>
      </c>
      <c r="P205">
        <v>4</v>
      </c>
      <c r="Q205">
        <v>5.0999999999999996</v>
      </c>
      <c r="R205">
        <v>2.1</v>
      </c>
      <c r="S205">
        <v>6.5</v>
      </c>
      <c r="T205" t="s">
        <v>10</v>
      </c>
      <c r="U205">
        <v>6.2</v>
      </c>
      <c r="V205">
        <v>6.1</v>
      </c>
      <c r="W205">
        <v>7.2</v>
      </c>
      <c r="X205">
        <v>3.8</v>
      </c>
      <c r="Y205">
        <v>4.5999999999999996</v>
      </c>
      <c r="Z205">
        <v>4.7</v>
      </c>
      <c r="AA205">
        <v>4.8</v>
      </c>
      <c r="AB205" t="s">
        <v>21</v>
      </c>
      <c r="AC205" t="s">
        <v>10</v>
      </c>
      <c r="AD205" t="s">
        <v>12</v>
      </c>
      <c r="AE205" t="str">
        <f t="shared" si="9"/>
        <v>25-34</v>
      </c>
      <c r="AF205" t="str">
        <f t="shared" si="10"/>
        <v>Low Usage</v>
      </c>
      <c r="AG205" t="str">
        <f t="shared" si="11"/>
        <v>Moderate Loneliness</v>
      </c>
    </row>
    <row r="206" spans="1:33" x14ac:dyDescent="0.3">
      <c r="A206" t="s">
        <v>249</v>
      </c>
      <c r="B206">
        <v>43</v>
      </c>
      <c r="C206" t="s">
        <v>1</v>
      </c>
      <c r="D206" t="s">
        <v>47</v>
      </c>
      <c r="E206" t="s">
        <v>3</v>
      </c>
      <c r="F206" t="s">
        <v>16</v>
      </c>
      <c r="G206" t="s">
        <v>17</v>
      </c>
      <c r="H206" t="s">
        <v>18</v>
      </c>
      <c r="I206" t="s">
        <v>29</v>
      </c>
      <c r="J206" t="s">
        <v>8</v>
      </c>
      <c r="K206" t="s">
        <v>1079</v>
      </c>
      <c r="L206">
        <v>0.4</v>
      </c>
      <c r="M206">
        <v>6.36</v>
      </c>
      <c r="N206">
        <v>0</v>
      </c>
      <c r="O206">
        <v>3.82</v>
      </c>
      <c r="P206">
        <v>3</v>
      </c>
      <c r="Q206">
        <v>2.2000000000000002</v>
      </c>
      <c r="R206">
        <v>2.4</v>
      </c>
      <c r="S206">
        <v>8</v>
      </c>
      <c r="T206" t="s">
        <v>10</v>
      </c>
      <c r="U206">
        <v>6.7</v>
      </c>
      <c r="V206">
        <v>9.5</v>
      </c>
      <c r="W206">
        <v>6.2</v>
      </c>
      <c r="X206">
        <v>2.6</v>
      </c>
      <c r="Y206">
        <v>1</v>
      </c>
      <c r="Z206">
        <v>2.8</v>
      </c>
      <c r="AA206">
        <v>6.4</v>
      </c>
      <c r="AB206" t="s">
        <v>11</v>
      </c>
      <c r="AC206" t="s">
        <v>10</v>
      </c>
      <c r="AD206" t="s">
        <v>12</v>
      </c>
      <c r="AE206" t="str">
        <f t="shared" si="9"/>
        <v>35-44</v>
      </c>
      <c r="AF206" t="str">
        <f t="shared" si="10"/>
        <v>Very Low Usage</v>
      </c>
      <c r="AG206" t="str">
        <f t="shared" si="11"/>
        <v>Low Loneliness</v>
      </c>
    </row>
    <row r="207" spans="1:33" x14ac:dyDescent="0.3">
      <c r="A207" t="s">
        <v>250</v>
      </c>
      <c r="B207">
        <v>18</v>
      </c>
      <c r="C207" t="s">
        <v>32</v>
      </c>
      <c r="D207" t="s">
        <v>47</v>
      </c>
      <c r="E207" t="s">
        <v>3</v>
      </c>
      <c r="F207" t="s">
        <v>16</v>
      </c>
      <c r="G207" t="s">
        <v>17</v>
      </c>
      <c r="H207" t="s">
        <v>6</v>
      </c>
      <c r="I207" t="s">
        <v>24</v>
      </c>
      <c r="J207" t="s">
        <v>48</v>
      </c>
      <c r="K207" t="s">
        <v>1079</v>
      </c>
      <c r="L207">
        <v>4.21</v>
      </c>
      <c r="M207">
        <v>0.34</v>
      </c>
      <c r="N207">
        <v>5.25</v>
      </c>
      <c r="O207">
        <v>11.23</v>
      </c>
      <c r="P207">
        <v>1</v>
      </c>
      <c r="Q207">
        <v>9.1</v>
      </c>
      <c r="R207">
        <v>10</v>
      </c>
      <c r="S207">
        <v>4.0999999999999996</v>
      </c>
      <c r="T207" t="s">
        <v>39</v>
      </c>
      <c r="U207">
        <v>6.3</v>
      </c>
      <c r="V207">
        <v>1.8</v>
      </c>
      <c r="W207">
        <v>3</v>
      </c>
      <c r="X207">
        <v>6.5</v>
      </c>
      <c r="Y207">
        <v>9.4</v>
      </c>
      <c r="Z207">
        <v>9.6999999999999993</v>
      </c>
      <c r="AA207">
        <v>2.5</v>
      </c>
      <c r="AB207" t="s">
        <v>44</v>
      </c>
      <c r="AC207" t="s">
        <v>10</v>
      </c>
      <c r="AD207" t="s">
        <v>45</v>
      </c>
      <c r="AE207" t="str">
        <f t="shared" si="9"/>
        <v>15-19</v>
      </c>
      <c r="AF207" t="str">
        <f t="shared" si="10"/>
        <v>High Usage</v>
      </c>
      <c r="AG207" t="str">
        <f t="shared" si="11"/>
        <v>High Loneliness</v>
      </c>
    </row>
    <row r="208" spans="1:33" x14ac:dyDescent="0.3">
      <c r="A208" t="s">
        <v>251</v>
      </c>
      <c r="B208">
        <v>27</v>
      </c>
      <c r="C208" t="s">
        <v>32</v>
      </c>
      <c r="D208" t="s">
        <v>14</v>
      </c>
      <c r="E208" t="s">
        <v>3</v>
      </c>
      <c r="F208" t="s">
        <v>12</v>
      </c>
      <c r="G208" t="s">
        <v>66</v>
      </c>
      <c r="H208" t="s">
        <v>6</v>
      </c>
      <c r="I208" t="s">
        <v>7</v>
      </c>
      <c r="J208" t="s">
        <v>8</v>
      </c>
      <c r="K208" t="s">
        <v>53</v>
      </c>
      <c r="L208">
        <v>2.13</v>
      </c>
      <c r="M208">
        <v>4.51</v>
      </c>
      <c r="N208">
        <v>2.04</v>
      </c>
      <c r="O208">
        <v>6.88</v>
      </c>
      <c r="P208">
        <v>5</v>
      </c>
      <c r="Q208">
        <v>4.9000000000000004</v>
      </c>
      <c r="R208">
        <v>3.6</v>
      </c>
      <c r="S208">
        <v>7.4</v>
      </c>
      <c r="T208" t="s">
        <v>10</v>
      </c>
      <c r="U208">
        <v>7.9</v>
      </c>
      <c r="V208">
        <v>7.6</v>
      </c>
      <c r="W208">
        <v>4.4000000000000004</v>
      </c>
      <c r="X208">
        <v>2</v>
      </c>
      <c r="Y208">
        <v>4.3</v>
      </c>
      <c r="Z208">
        <v>3.6</v>
      </c>
      <c r="AA208">
        <v>7.2</v>
      </c>
      <c r="AB208" t="s">
        <v>21</v>
      </c>
      <c r="AC208" t="s">
        <v>10</v>
      </c>
      <c r="AD208" t="s">
        <v>12</v>
      </c>
      <c r="AE208" t="str">
        <f t="shared" si="9"/>
        <v>25-34</v>
      </c>
      <c r="AF208" t="str">
        <f t="shared" si="10"/>
        <v>Low Usage</v>
      </c>
      <c r="AG208" t="str">
        <f t="shared" si="11"/>
        <v>Moderate Loneliness</v>
      </c>
    </row>
    <row r="209" spans="1:33" x14ac:dyDescent="0.3">
      <c r="A209" t="s">
        <v>252</v>
      </c>
      <c r="B209">
        <v>21</v>
      </c>
      <c r="C209" t="s">
        <v>1</v>
      </c>
      <c r="D209" t="s">
        <v>14</v>
      </c>
      <c r="E209" t="s">
        <v>37</v>
      </c>
      <c r="F209" t="s">
        <v>12</v>
      </c>
      <c r="G209" t="s">
        <v>17</v>
      </c>
      <c r="H209" t="s">
        <v>28</v>
      </c>
      <c r="I209" t="s">
        <v>19</v>
      </c>
      <c r="J209" t="s">
        <v>20</v>
      </c>
      <c r="K209" t="s">
        <v>1079</v>
      </c>
      <c r="L209">
        <v>0.5</v>
      </c>
      <c r="M209">
        <v>3.1</v>
      </c>
      <c r="N209">
        <v>3.2</v>
      </c>
      <c r="O209">
        <v>6.85</v>
      </c>
      <c r="P209">
        <v>3</v>
      </c>
      <c r="Q209">
        <v>3.8</v>
      </c>
      <c r="R209">
        <v>4.0999999999999996</v>
      </c>
      <c r="S209">
        <v>7</v>
      </c>
      <c r="T209" t="s">
        <v>10</v>
      </c>
      <c r="U209">
        <v>8.4</v>
      </c>
      <c r="V209">
        <v>7.4</v>
      </c>
      <c r="W209">
        <v>6.7</v>
      </c>
      <c r="X209">
        <v>4.3</v>
      </c>
      <c r="Y209">
        <v>3.6</v>
      </c>
      <c r="Z209">
        <v>5.5</v>
      </c>
      <c r="AA209">
        <v>8.6999999999999993</v>
      </c>
      <c r="AB209" t="s">
        <v>11</v>
      </c>
      <c r="AC209" t="s">
        <v>10</v>
      </c>
      <c r="AD209" t="s">
        <v>12</v>
      </c>
      <c r="AE209" t="str">
        <f t="shared" si="9"/>
        <v>20-24</v>
      </c>
      <c r="AF209" t="str">
        <f t="shared" si="10"/>
        <v>Very Low Usage</v>
      </c>
      <c r="AG209" t="str">
        <f t="shared" si="11"/>
        <v>Moderate Loneliness</v>
      </c>
    </row>
    <row r="210" spans="1:33" x14ac:dyDescent="0.3">
      <c r="A210" t="s">
        <v>253</v>
      </c>
      <c r="B210">
        <v>41</v>
      </c>
      <c r="C210" t="s">
        <v>32</v>
      </c>
      <c r="D210" t="s">
        <v>2</v>
      </c>
      <c r="E210" t="s">
        <v>15</v>
      </c>
      <c r="F210" t="s">
        <v>12</v>
      </c>
      <c r="G210" t="s">
        <v>17</v>
      </c>
      <c r="H210" t="s">
        <v>33</v>
      </c>
      <c r="I210" t="s">
        <v>254</v>
      </c>
      <c r="J210" t="s">
        <v>20</v>
      </c>
      <c r="K210" t="s">
        <v>1079</v>
      </c>
      <c r="L210">
        <v>2.4700000000000002</v>
      </c>
      <c r="M210">
        <v>4.05</v>
      </c>
      <c r="N210">
        <v>3.53</v>
      </c>
      <c r="O210">
        <v>6.51</v>
      </c>
      <c r="P210">
        <v>6</v>
      </c>
      <c r="Q210">
        <v>5.8</v>
      </c>
      <c r="R210">
        <v>7.1</v>
      </c>
      <c r="S210">
        <v>3.5</v>
      </c>
      <c r="T210" t="s">
        <v>39</v>
      </c>
      <c r="U210">
        <v>6.3</v>
      </c>
      <c r="V210">
        <v>5.7</v>
      </c>
      <c r="W210">
        <v>4.0999999999999996</v>
      </c>
      <c r="X210">
        <v>7</v>
      </c>
      <c r="Y210">
        <v>6</v>
      </c>
      <c r="Z210">
        <v>5.0999999999999996</v>
      </c>
      <c r="AA210">
        <v>4.9000000000000004</v>
      </c>
      <c r="AB210" t="s">
        <v>44</v>
      </c>
      <c r="AC210" t="s">
        <v>10</v>
      </c>
      <c r="AD210" t="s">
        <v>45</v>
      </c>
      <c r="AE210" t="str">
        <f t="shared" si="9"/>
        <v>35-44</v>
      </c>
      <c r="AF210" t="str">
        <f t="shared" si="10"/>
        <v>Low Usage</v>
      </c>
      <c r="AG210" t="str">
        <f t="shared" si="11"/>
        <v>Moderate Loneliness</v>
      </c>
    </row>
    <row r="211" spans="1:33" x14ac:dyDescent="0.3">
      <c r="A211" t="s">
        <v>255</v>
      </c>
      <c r="B211">
        <v>33</v>
      </c>
      <c r="C211" t="s">
        <v>1</v>
      </c>
      <c r="D211" t="s">
        <v>14</v>
      </c>
      <c r="E211" t="s">
        <v>37</v>
      </c>
      <c r="F211" t="s">
        <v>16</v>
      </c>
      <c r="G211" t="s">
        <v>17</v>
      </c>
      <c r="H211" t="s">
        <v>33</v>
      </c>
      <c r="I211" t="s">
        <v>24</v>
      </c>
      <c r="J211" t="s">
        <v>8</v>
      </c>
      <c r="K211" t="s">
        <v>53</v>
      </c>
      <c r="L211">
        <v>3.77</v>
      </c>
      <c r="M211">
        <v>1.0900000000000001</v>
      </c>
      <c r="N211">
        <v>4.22</v>
      </c>
      <c r="O211">
        <v>10.44</v>
      </c>
      <c r="P211">
        <v>1</v>
      </c>
      <c r="Q211">
        <v>10</v>
      </c>
      <c r="R211">
        <v>9.8000000000000007</v>
      </c>
      <c r="S211">
        <v>2.7</v>
      </c>
      <c r="T211" t="s">
        <v>10</v>
      </c>
      <c r="U211">
        <v>5.8</v>
      </c>
      <c r="V211">
        <v>2.7</v>
      </c>
      <c r="W211">
        <v>1.5</v>
      </c>
      <c r="X211">
        <v>9.4</v>
      </c>
      <c r="Y211">
        <v>6.7</v>
      </c>
      <c r="Z211">
        <v>7.2</v>
      </c>
      <c r="AA211">
        <v>2.1</v>
      </c>
      <c r="AB211" t="s">
        <v>44</v>
      </c>
      <c r="AC211" t="s">
        <v>39</v>
      </c>
      <c r="AD211" t="s">
        <v>45</v>
      </c>
      <c r="AE211" t="str">
        <f t="shared" si="9"/>
        <v>25-34</v>
      </c>
      <c r="AF211" t="str">
        <f t="shared" si="10"/>
        <v>Moderate Usage</v>
      </c>
      <c r="AG211" t="str">
        <f t="shared" si="11"/>
        <v>High Loneliness</v>
      </c>
    </row>
    <row r="212" spans="1:33" x14ac:dyDescent="0.3">
      <c r="A212" t="s">
        <v>256</v>
      </c>
      <c r="B212">
        <v>36</v>
      </c>
      <c r="C212" t="s">
        <v>32</v>
      </c>
      <c r="D212" t="s">
        <v>14</v>
      </c>
      <c r="E212" t="s">
        <v>3</v>
      </c>
      <c r="F212" t="s">
        <v>4</v>
      </c>
      <c r="G212" t="s">
        <v>17</v>
      </c>
      <c r="H212" t="s">
        <v>6</v>
      </c>
      <c r="I212" t="s">
        <v>29</v>
      </c>
      <c r="J212" t="s">
        <v>48</v>
      </c>
      <c r="K212" t="s">
        <v>53</v>
      </c>
      <c r="L212">
        <v>0.91</v>
      </c>
      <c r="M212">
        <v>0.78</v>
      </c>
      <c r="N212">
        <v>3.38</v>
      </c>
      <c r="O212">
        <v>7.72</v>
      </c>
      <c r="P212">
        <v>4</v>
      </c>
      <c r="Q212">
        <v>5.0999999999999996</v>
      </c>
      <c r="R212">
        <v>7.5</v>
      </c>
      <c r="S212">
        <v>7.2</v>
      </c>
      <c r="T212" t="s">
        <v>10</v>
      </c>
      <c r="U212">
        <v>8</v>
      </c>
      <c r="V212">
        <v>4.7</v>
      </c>
      <c r="W212">
        <v>6</v>
      </c>
      <c r="X212">
        <v>5.8</v>
      </c>
      <c r="Y212">
        <v>5</v>
      </c>
      <c r="Z212">
        <v>7.6</v>
      </c>
      <c r="AA212">
        <v>3.5</v>
      </c>
      <c r="AB212" t="s">
        <v>44</v>
      </c>
      <c r="AC212" t="s">
        <v>10</v>
      </c>
      <c r="AD212" t="s">
        <v>22</v>
      </c>
      <c r="AE212" t="str">
        <f t="shared" si="9"/>
        <v>35-44</v>
      </c>
      <c r="AF212" t="str">
        <f t="shared" si="10"/>
        <v>Very Low Usage</v>
      </c>
      <c r="AG212" t="str">
        <f t="shared" si="11"/>
        <v>Moderate Loneliness</v>
      </c>
    </row>
    <row r="213" spans="1:33" x14ac:dyDescent="0.3">
      <c r="A213" t="s">
        <v>257</v>
      </c>
      <c r="B213">
        <v>42</v>
      </c>
      <c r="C213" t="s">
        <v>32</v>
      </c>
      <c r="D213" t="s">
        <v>47</v>
      </c>
      <c r="E213" t="s">
        <v>15</v>
      </c>
      <c r="F213" t="s">
        <v>4</v>
      </c>
      <c r="G213" t="s">
        <v>17</v>
      </c>
      <c r="H213" t="s">
        <v>6</v>
      </c>
      <c r="I213" t="s">
        <v>254</v>
      </c>
      <c r="J213" t="s">
        <v>8</v>
      </c>
      <c r="K213" t="s">
        <v>53</v>
      </c>
      <c r="L213">
        <v>2.8</v>
      </c>
      <c r="M213">
        <v>3.87</v>
      </c>
      <c r="N213">
        <v>3.53</v>
      </c>
      <c r="O213">
        <v>7.77</v>
      </c>
      <c r="P213">
        <v>4</v>
      </c>
      <c r="Q213">
        <v>5.9</v>
      </c>
      <c r="R213">
        <v>6.5</v>
      </c>
      <c r="S213">
        <v>2.5</v>
      </c>
      <c r="T213" t="s">
        <v>39</v>
      </c>
      <c r="U213">
        <v>8.3000000000000007</v>
      </c>
      <c r="V213">
        <v>3.1</v>
      </c>
      <c r="W213">
        <v>1.1000000000000001</v>
      </c>
      <c r="X213">
        <v>5.8</v>
      </c>
      <c r="Y213">
        <v>5.7</v>
      </c>
      <c r="Z213">
        <v>6.9</v>
      </c>
      <c r="AA213">
        <v>4.9000000000000004</v>
      </c>
      <c r="AB213" t="s">
        <v>21</v>
      </c>
      <c r="AC213" t="s">
        <v>39</v>
      </c>
      <c r="AD213" t="s">
        <v>22</v>
      </c>
      <c r="AE213" t="str">
        <f t="shared" si="9"/>
        <v>35-44</v>
      </c>
      <c r="AF213" t="str">
        <f t="shared" si="10"/>
        <v>Moderate Usage</v>
      </c>
      <c r="AG213" t="str">
        <f t="shared" si="11"/>
        <v>Moderate Loneliness</v>
      </c>
    </row>
    <row r="214" spans="1:33" x14ac:dyDescent="0.3">
      <c r="A214" t="s">
        <v>258</v>
      </c>
      <c r="B214">
        <v>16</v>
      </c>
      <c r="C214" t="s">
        <v>32</v>
      </c>
      <c r="D214" t="s">
        <v>14</v>
      </c>
      <c r="E214" t="s">
        <v>37</v>
      </c>
      <c r="F214" t="s">
        <v>45</v>
      </c>
      <c r="G214" t="s">
        <v>43</v>
      </c>
      <c r="H214" t="s">
        <v>33</v>
      </c>
      <c r="I214" t="s">
        <v>19</v>
      </c>
      <c r="J214" t="s">
        <v>48</v>
      </c>
      <c r="K214" t="s">
        <v>53</v>
      </c>
      <c r="L214">
        <v>1.2</v>
      </c>
      <c r="M214">
        <v>4.83</v>
      </c>
      <c r="N214">
        <v>2.97</v>
      </c>
      <c r="O214">
        <v>5.12</v>
      </c>
      <c r="P214">
        <v>8</v>
      </c>
      <c r="Q214">
        <v>2.8</v>
      </c>
      <c r="R214">
        <v>1</v>
      </c>
      <c r="S214">
        <v>9</v>
      </c>
      <c r="T214" t="s">
        <v>10</v>
      </c>
      <c r="U214">
        <v>8.6999999999999993</v>
      </c>
      <c r="V214">
        <v>8.1999999999999993</v>
      </c>
      <c r="W214">
        <v>4.0999999999999996</v>
      </c>
      <c r="X214">
        <v>2.6</v>
      </c>
      <c r="Y214">
        <v>3.2</v>
      </c>
      <c r="Z214">
        <v>1</v>
      </c>
      <c r="AA214">
        <v>9.1</v>
      </c>
      <c r="AB214" t="s">
        <v>21</v>
      </c>
      <c r="AC214" t="s">
        <v>10</v>
      </c>
      <c r="AD214" t="s">
        <v>12</v>
      </c>
      <c r="AE214" t="str">
        <f t="shared" si="9"/>
        <v>15-19</v>
      </c>
      <c r="AF214" t="str">
        <f t="shared" si="10"/>
        <v>Low Usage</v>
      </c>
      <c r="AG214" t="str">
        <f t="shared" si="11"/>
        <v>Low Loneliness</v>
      </c>
    </row>
    <row r="215" spans="1:33" x14ac:dyDescent="0.3">
      <c r="A215" t="s">
        <v>259</v>
      </c>
      <c r="B215">
        <v>24</v>
      </c>
      <c r="C215" t="s">
        <v>1</v>
      </c>
      <c r="D215" t="s">
        <v>2</v>
      </c>
      <c r="E215" t="s">
        <v>37</v>
      </c>
      <c r="F215" t="s">
        <v>45</v>
      </c>
      <c r="G215" t="s">
        <v>17</v>
      </c>
      <c r="H215" t="s">
        <v>28</v>
      </c>
      <c r="I215" t="s">
        <v>29</v>
      </c>
      <c r="J215" t="s">
        <v>8</v>
      </c>
      <c r="K215" t="s">
        <v>30</v>
      </c>
      <c r="L215">
        <v>2.71</v>
      </c>
      <c r="M215">
        <v>4.26</v>
      </c>
      <c r="N215">
        <v>2.65</v>
      </c>
      <c r="O215">
        <v>7.86</v>
      </c>
      <c r="P215">
        <v>2</v>
      </c>
      <c r="Q215">
        <v>6.3</v>
      </c>
      <c r="R215">
        <v>6.1</v>
      </c>
      <c r="S215">
        <v>6.9</v>
      </c>
      <c r="T215" t="s">
        <v>39</v>
      </c>
      <c r="U215">
        <v>6.6</v>
      </c>
      <c r="V215">
        <v>7.4</v>
      </c>
      <c r="W215">
        <v>8.1</v>
      </c>
      <c r="X215">
        <v>5.9</v>
      </c>
      <c r="Y215">
        <v>3.5</v>
      </c>
      <c r="Z215">
        <v>4.0999999999999996</v>
      </c>
      <c r="AA215">
        <v>3.7</v>
      </c>
      <c r="AB215" t="s">
        <v>21</v>
      </c>
      <c r="AC215" t="s">
        <v>10</v>
      </c>
      <c r="AD215" t="s">
        <v>22</v>
      </c>
      <c r="AE215" t="str">
        <f t="shared" si="9"/>
        <v>20-24</v>
      </c>
      <c r="AF215" t="str">
        <f t="shared" si="10"/>
        <v>Moderate Usage</v>
      </c>
      <c r="AG215" t="str">
        <f t="shared" si="11"/>
        <v>High Loneliness</v>
      </c>
    </row>
    <row r="216" spans="1:33" x14ac:dyDescent="0.3">
      <c r="A216" t="s">
        <v>260</v>
      </c>
      <c r="B216">
        <v>27</v>
      </c>
      <c r="C216" t="s">
        <v>27</v>
      </c>
      <c r="D216" t="s">
        <v>14</v>
      </c>
      <c r="E216" t="s">
        <v>15</v>
      </c>
      <c r="F216" t="s">
        <v>45</v>
      </c>
      <c r="G216" t="s">
        <v>17</v>
      </c>
      <c r="H216" t="s">
        <v>33</v>
      </c>
      <c r="I216" t="s">
        <v>19</v>
      </c>
      <c r="J216" t="s">
        <v>48</v>
      </c>
      <c r="K216" t="s">
        <v>53</v>
      </c>
      <c r="L216">
        <v>2.29</v>
      </c>
      <c r="M216">
        <v>6.01</v>
      </c>
      <c r="N216">
        <v>2.2599999999999998</v>
      </c>
      <c r="O216">
        <v>6.68</v>
      </c>
      <c r="P216">
        <v>2</v>
      </c>
      <c r="Q216">
        <v>2.7</v>
      </c>
      <c r="R216">
        <v>2.9</v>
      </c>
      <c r="S216">
        <v>9.3000000000000007</v>
      </c>
      <c r="T216" t="s">
        <v>10</v>
      </c>
      <c r="U216">
        <v>7.4</v>
      </c>
      <c r="V216">
        <v>6.9</v>
      </c>
      <c r="W216">
        <v>5.6</v>
      </c>
      <c r="X216">
        <v>1.9</v>
      </c>
      <c r="Y216">
        <v>2.9</v>
      </c>
      <c r="Z216">
        <v>1</v>
      </c>
      <c r="AA216">
        <v>7.1</v>
      </c>
      <c r="AB216" t="s">
        <v>11</v>
      </c>
      <c r="AC216" t="s">
        <v>39</v>
      </c>
      <c r="AD216" t="s">
        <v>12</v>
      </c>
      <c r="AE216" t="str">
        <f t="shared" si="9"/>
        <v>25-34</v>
      </c>
      <c r="AF216" t="str">
        <f t="shared" si="10"/>
        <v>Low Usage</v>
      </c>
      <c r="AG216" t="str">
        <f t="shared" si="11"/>
        <v>Low Loneliness</v>
      </c>
    </row>
    <row r="217" spans="1:33" x14ac:dyDescent="0.3">
      <c r="A217" t="s">
        <v>261</v>
      </c>
      <c r="B217">
        <v>44</v>
      </c>
      <c r="C217" t="s">
        <v>32</v>
      </c>
      <c r="D217" t="s">
        <v>14</v>
      </c>
      <c r="E217" t="s">
        <v>37</v>
      </c>
      <c r="F217" t="s">
        <v>4</v>
      </c>
      <c r="G217" t="s">
        <v>5</v>
      </c>
      <c r="H217" t="s">
        <v>28</v>
      </c>
      <c r="I217" t="s">
        <v>29</v>
      </c>
      <c r="J217" t="s">
        <v>8</v>
      </c>
      <c r="K217" t="s">
        <v>53</v>
      </c>
      <c r="L217">
        <v>1</v>
      </c>
      <c r="M217">
        <v>3.6</v>
      </c>
      <c r="N217">
        <v>1.94</v>
      </c>
      <c r="O217">
        <v>4.6100000000000003</v>
      </c>
      <c r="P217">
        <v>6</v>
      </c>
      <c r="Q217">
        <v>8.6999999999999993</v>
      </c>
      <c r="R217">
        <v>5.0999999999999996</v>
      </c>
      <c r="S217">
        <v>5.5</v>
      </c>
      <c r="T217" t="s">
        <v>10</v>
      </c>
      <c r="U217">
        <v>6.3</v>
      </c>
      <c r="V217">
        <v>4.7</v>
      </c>
      <c r="W217">
        <v>0</v>
      </c>
      <c r="X217">
        <v>5</v>
      </c>
      <c r="Y217">
        <v>7.2</v>
      </c>
      <c r="Z217">
        <v>5.7</v>
      </c>
      <c r="AA217">
        <v>3.4</v>
      </c>
      <c r="AB217" t="s">
        <v>21</v>
      </c>
      <c r="AC217" t="s">
        <v>39</v>
      </c>
      <c r="AD217" t="s">
        <v>45</v>
      </c>
      <c r="AE217" t="str">
        <f t="shared" si="9"/>
        <v>35-44</v>
      </c>
      <c r="AF217" t="str">
        <f t="shared" si="10"/>
        <v>Very Low Usage</v>
      </c>
      <c r="AG217" t="str">
        <f t="shared" si="11"/>
        <v>High Loneliness</v>
      </c>
    </row>
    <row r="218" spans="1:33" x14ac:dyDescent="0.3">
      <c r="A218" t="s">
        <v>262</v>
      </c>
      <c r="B218">
        <v>39</v>
      </c>
      <c r="C218" t="s">
        <v>1</v>
      </c>
      <c r="D218" t="s">
        <v>14</v>
      </c>
      <c r="E218" t="s">
        <v>37</v>
      </c>
      <c r="F218" t="s">
        <v>16</v>
      </c>
      <c r="G218" t="s">
        <v>5</v>
      </c>
      <c r="H218" t="s">
        <v>33</v>
      </c>
      <c r="I218" t="s">
        <v>29</v>
      </c>
      <c r="J218" t="s">
        <v>20</v>
      </c>
      <c r="K218" t="s">
        <v>53</v>
      </c>
      <c r="L218">
        <v>3.84</v>
      </c>
      <c r="M218">
        <v>3.29</v>
      </c>
      <c r="N218">
        <v>3.25</v>
      </c>
      <c r="O218">
        <v>9.09</v>
      </c>
      <c r="P218">
        <v>4</v>
      </c>
      <c r="Q218">
        <v>5.0999999999999996</v>
      </c>
      <c r="R218">
        <v>6.8</v>
      </c>
      <c r="S218">
        <v>4.4000000000000004</v>
      </c>
      <c r="T218" t="s">
        <v>39</v>
      </c>
      <c r="U218">
        <v>7.1</v>
      </c>
      <c r="V218">
        <v>7</v>
      </c>
      <c r="W218">
        <v>4.5999999999999996</v>
      </c>
      <c r="X218">
        <v>5.6</v>
      </c>
      <c r="Y218">
        <v>8.6999999999999993</v>
      </c>
      <c r="Z218">
        <v>6</v>
      </c>
      <c r="AA218">
        <v>2.9</v>
      </c>
      <c r="AB218" t="s">
        <v>21</v>
      </c>
      <c r="AC218" t="s">
        <v>10</v>
      </c>
      <c r="AD218" t="s">
        <v>45</v>
      </c>
      <c r="AE218" t="str">
        <f t="shared" si="9"/>
        <v>35-44</v>
      </c>
      <c r="AF218" t="str">
        <f t="shared" si="10"/>
        <v>Moderate Usage</v>
      </c>
      <c r="AG218" t="str">
        <f t="shared" si="11"/>
        <v>Moderate Loneliness</v>
      </c>
    </row>
    <row r="219" spans="1:33" x14ac:dyDescent="0.3">
      <c r="A219" t="s">
        <v>263</v>
      </c>
      <c r="B219">
        <v>35</v>
      </c>
      <c r="C219" t="s">
        <v>1</v>
      </c>
      <c r="D219" t="s">
        <v>41</v>
      </c>
      <c r="E219" t="s">
        <v>59</v>
      </c>
      <c r="F219" t="s">
        <v>4</v>
      </c>
      <c r="G219" t="s">
        <v>43</v>
      </c>
      <c r="H219" t="s">
        <v>6</v>
      </c>
      <c r="I219" t="s">
        <v>29</v>
      </c>
      <c r="J219" t="s">
        <v>8</v>
      </c>
      <c r="K219" t="s">
        <v>9</v>
      </c>
      <c r="L219">
        <v>3.77</v>
      </c>
      <c r="M219">
        <v>2.16</v>
      </c>
      <c r="N219">
        <v>5.59</v>
      </c>
      <c r="O219">
        <v>9.69</v>
      </c>
      <c r="P219">
        <v>2</v>
      </c>
      <c r="Q219">
        <v>10</v>
      </c>
      <c r="R219">
        <v>8.6</v>
      </c>
      <c r="S219">
        <v>3.3</v>
      </c>
      <c r="T219" t="s">
        <v>39</v>
      </c>
      <c r="U219">
        <v>5.0999999999999996</v>
      </c>
      <c r="V219">
        <v>3.4</v>
      </c>
      <c r="W219">
        <v>0.5</v>
      </c>
      <c r="X219">
        <v>7.5</v>
      </c>
      <c r="Y219">
        <v>6.4</v>
      </c>
      <c r="Z219">
        <v>7.2</v>
      </c>
      <c r="AA219">
        <v>4.9000000000000004</v>
      </c>
      <c r="AB219" t="s">
        <v>44</v>
      </c>
      <c r="AC219" t="s">
        <v>10</v>
      </c>
      <c r="AD219" t="s">
        <v>45</v>
      </c>
      <c r="AE219" t="str">
        <f t="shared" si="9"/>
        <v>35-44</v>
      </c>
      <c r="AF219" t="str">
        <f t="shared" si="10"/>
        <v>Moderate Usage</v>
      </c>
      <c r="AG219" t="str">
        <f t="shared" si="11"/>
        <v>High Loneliness</v>
      </c>
    </row>
    <row r="220" spans="1:33" x14ac:dyDescent="0.3">
      <c r="A220" t="s">
        <v>264</v>
      </c>
      <c r="B220">
        <v>20</v>
      </c>
      <c r="C220" t="s">
        <v>32</v>
      </c>
      <c r="D220" t="s">
        <v>47</v>
      </c>
      <c r="E220" t="s">
        <v>37</v>
      </c>
      <c r="F220" t="s">
        <v>12</v>
      </c>
      <c r="G220" t="s">
        <v>43</v>
      </c>
      <c r="H220" t="s">
        <v>28</v>
      </c>
      <c r="I220" t="s">
        <v>19</v>
      </c>
      <c r="J220" t="s">
        <v>48</v>
      </c>
      <c r="K220" t="s">
        <v>25</v>
      </c>
      <c r="L220">
        <v>0</v>
      </c>
      <c r="M220">
        <v>5.23</v>
      </c>
      <c r="N220">
        <v>0.77</v>
      </c>
      <c r="O220">
        <v>3.17</v>
      </c>
      <c r="P220">
        <v>7</v>
      </c>
      <c r="Q220">
        <v>1.7</v>
      </c>
      <c r="R220">
        <v>1</v>
      </c>
      <c r="S220">
        <v>10</v>
      </c>
      <c r="T220" t="s">
        <v>10</v>
      </c>
      <c r="U220">
        <v>8.8000000000000007</v>
      </c>
      <c r="V220">
        <v>10</v>
      </c>
      <c r="W220">
        <v>5.7</v>
      </c>
      <c r="X220">
        <v>1</v>
      </c>
      <c r="Y220">
        <v>1</v>
      </c>
      <c r="Z220">
        <v>2.8</v>
      </c>
      <c r="AA220">
        <v>10</v>
      </c>
      <c r="AB220" t="s">
        <v>11</v>
      </c>
      <c r="AC220" t="s">
        <v>10</v>
      </c>
      <c r="AD220" t="s">
        <v>12</v>
      </c>
      <c r="AE220" t="str">
        <f t="shared" si="9"/>
        <v>20-24</v>
      </c>
      <c r="AF220" t="str">
        <f t="shared" si="10"/>
        <v>Very Low Usage</v>
      </c>
      <c r="AG220" t="str">
        <f t="shared" si="11"/>
        <v>Low Loneliness</v>
      </c>
    </row>
    <row r="221" spans="1:33" x14ac:dyDescent="0.3">
      <c r="A221" t="s">
        <v>265</v>
      </c>
      <c r="B221">
        <v>42</v>
      </c>
      <c r="C221" t="s">
        <v>32</v>
      </c>
      <c r="D221" t="s">
        <v>41</v>
      </c>
      <c r="E221" t="s">
        <v>37</v>
      </c>
      <c r="F221" t="s">
        <v>12</v>
      </c>
      <c r="G221" t="s">
        <v>17</v>
      </c>
      <c r="H221" t="s">
        <v>33</v>
      </c>
      <c r="I221" t="s">
        <v>7</v>
      </c>
      <c r="J221" t="s">
        <v>8</v>
      </c>
      <c r="K221" t="s">
        <v>53</v>
      </c>
      <c r="L221">
        <v>0.36</v>
      </c>
      <c r="M221">
        <v>4.4800000000000004</v>
      </c>
      <c r="N221">
        <v>0.79</v>
      </c>
      <c r="O221">
        <v>4.75</v>
      </c>
      <c r="P221">
        <v>4</v>
      </c>
      <c r="Q221">
        <v>1.9</v>
      </c>
      <c r="R221">
        <v>1.4</v>
      </c>
      <c r="S221">
        <v>8.8000000000000007</v>
      </c>
      <c r="T221" t="s">
        <v>10</v>
      </c>
      <c r="U221">
        <v>7.7</v>
      </c>
      <c r="V221">
        <v>8.3000000000000007</v>
      </c>
      <c r="W221">
        <v>8.6</v>
      </c>
      <c r="X221">
        <v>3.2</v>
      </c>
      <c r="Y221">
        <v>1</v>
      </c>
      <c r="Z221">
        <v>4.4000000000000004</v>
      </c>
      <c r="AA221">
        <v>6.5</v>
      </c>
      <c r="AB221" t="s">
        <v>44</v>
      </c>
      <c r="AC221" t="s">
        <v>10</v>
      </c>
      <c r="AD221" t="s">
        <v>12</v>
      </c>
      <c r="AE221" t="str">
        <f t="shared" si="9"/>
        <v>35-44</v>
      </c>
      <c r="AF221" t="str">
        <f t="shared" si="10"/>
        <v>Very Low Usage</v>
      </c>
      <c r="AG221" t="str">
        <f t="shared" si="11"/>
        <v>Low Loneliness</v>
      </c>
    </row>
    <row r="222" spans="1:33" x14ac:dyDescent="0.3">
      <c r="A222" t="s">
        <v>266</v>
      </c>
      <c r="B222">
        <v>42</v>
      </c>
      <c r="C222" t="s">
        <v>32</v>
      </c>
      <c r="D222" t="s">
        <v>2</v>
      </c>
      <c r="E222" t="s">
        <v>15</v>
      </c>
      <c r="F222" t="s">
        <v>4</v>
      </c>
      <c r="G222" t="s">
        <v>43</v>
      </c>
      <c r="H222" t="s">
        <v>18</v>
      </c>
      <c r="I222" t="s">
        <v>24</v>
      </c>
      <c r="J222" t="s">
        <v>51</v>
      </c>
      <c r="K222" t="s">
        <v>1079</v>
      </c>
      <c r="L222">
        <v>2.77</v>
      </c>
      <c r="M222">
        <v>4.54</v>
      </c>
      <c r="N222">
        <v>2.83</v>
      </c>
      <c r="O222">
        <v>6.88</v>
      </c>
      <c r="P222">
        <v>3</v>
      </c>
      <c r="Q222">
        <v>5.9</v>
      </c>
      <c r="R222">
        <v>8.1999999999999993</v>
      </c>
      <c r="S222">
        <v>1.4</v>
      </c>
      <c r="T222" t="s">
        <v>39</v>
      </c>
      <c r="U222">
        <v>6.4</v>
      </c>
      <c r="V222">
        <v>4</v>
      </c>
      <c r="W222">
        <v>4.9000000000000004</v>
      </c>
      <c r="X222">
        <v>7.9</v>
      </c>
      <c r="Y222">
        <v>6.7</v>
      </c>
      <c r="Z222">
        <v>10</v>
      </c>
      <c r="AA222">
        <v>3.3</v>
      </c>
      <c r="AB222" t="s">
        <v>21</v>
      </c>
      <c r="AC222" t="s">
        <v>10</v>
      </c>
      <c r="AD222" t="s">
        <v>45</v>
      </c>
      <c r="AE222" t="str">
        <f t="shared" si="9"/>
        <v>35-44</v>
      </c>
      <c r="AF222" t="str">
        <f t="shared" si="10"/>
        <v>Moderate Usage</v>
      </c>
      <c r="AG222" t="str">
        <f t="shared" si="11"/>
        <v>Moderate Loneliness</v>
      </c>
    </row>
    <row r="223" spans="1:33" x14ac:dyDescent="0.3">
      <c r="A223" t="s">
        <v>267</v>
      </c>
      <c r="B223">
        <v>26</v>
      </c>
      <c r="C223" t="s">
        <v>32</v>
      </c>
      <c r="D223" t="s">
        <v>14</v>
      </c>
      <c r="E223" t="s">
        <v>15</v>
      </c>
      <c r="F223" t="s">
        <v>4</v>
      </c>
      <c r="G223" t="s">
        <v>5</v>
      </c>
      <c r="H223" t="s">
        <v>18</v>
      </c>
      <c r="I223" t="s">
        <v>254</v>
      </c>
      <c r="J223" t="s">
        <v>51</v>
      </c>
      <c r="K223" t="s">
        <v>53</v>
      </c>
      <c r="L223">
        <v>0</v>
      </c>
      <c r="M223">
        <v>5.17</v>
      </c>
      <c r="N223">
        <v>0.36</v>
      </c>
      <c r="O223">
        <v>1.53</v>
      </c>
      <c r="P223">
        <v>4</v>
      </c>
      <c r="Q223">
        <v>2.8</v>
      </c>
      <c r="R223">
        <v>1</v>
      </c>
      <c r="S223">
        <v>8.1999999999999993</v>
      </c>
      <c r="T223" t="s">
        <v>10</v>
      </c>
      <c r="U223">
        <v>7.1</v>
      </c>
      <c r="V223">
        <v>9.8000000000000007</v>
      </c>
      <c r="W223">
        <v>8.6999999999999993</v>
      </c>
      <c r="X223">
        <v>1</v>
      </c>
      <c r="Y223">
        <v>1</v>
      </c>
      <c r="Z223">
        <v>3.3</v>
      </c>
      <c r="AA223">
        <v>8.3000000000000007</v>
      </c>
      <c r="AB223" t="s">
        <v>11</v>
      </c>
      <c r="AC223" t="s">
        <v>10</v>
      </c>
      <c r="AD223" t="s">
        <v>12</v>
      </c>
      <c r="AE223" t="str">
        <f t="shared" si="9"/>
        <v>25-34</v>
      </c>
      <c r="AF223" t="str">
        <f t="shared" si="10"/>
        <v>Very Low Usage</v>
      </c>
      <c r="AG223" t="str">
        <f t="shared" si="11"/>
        <v>Low Loneliness</v>
      </c>
    </row>
    <row r="224" spans="1:33" x14ac:dyDescent="0.3">
      <c r="A224" t="s">
        <v>268</v>
      </c>
      <c r="B224">
        <v>26</v>
      </c>
      <c r="C224" t="s">
        <v>32</v>
      </c>
      <c r="D224" t="s">
        <v>2</v>
      </c>
      <c r="E224" t="s">
        <v>3</v>
      </c>
      <c r="F224" t="s">
        <v>16</v>
      </c>
      <c r="G224" t="s">
        <v>66</v>
      </c>
      <c r="H224" t="s">
        <v>28</v>
      </c>
      <c r="I224" t="s">
        <v>29</v>
      </c>
      <c r="J224" t="s">
        <v>8</v>
      </c>
      <c r="K224" t="s">
        <v>1079</v>
      </c>
      <c r="L224">
        <v>3.17</v>
      </c>
      <c r="M224">
        <v>2.96</v>
      </c>
      <c r="N224">
        <v>4.3099999999999996</v>
      </c>
      <c r="O224">
        <v>9.65</v>
      </c>
      <c r="P224">
        <v>4</v>
      </c>
      <c r="Q224">
        <v>6.3</v>
      </c>
      <c r="R224">
        <v>6.6</v>
      </c>
      <c r="S224">
        <v>5</v>
      </c>
      <c r="T224" t="s">
        <v>39</v>
      </c>
      <c r="U224">
        <v>6.7</v>
      </c>
      <c r="V224">
        <v>6.2</v>
      </c>
      <c r="W224">
        <v>2.1</v>
      </c>
      <c r="X224">
        <v>4.2</v>
      </c>
      <c r="Y224">
        <v>7.2</v>
      </c>
      <c r="Z224">
        <v>7</v>
      </c>
      <c r="AA224">
        <v>3.1</v>
      </c>
      <c r="AB224" t="s">
        <v>21</v>
      </c>
      <c r="AC224" t="s">
        <v>39</v>
      </c>
      <c r="AD224" t="s">
        <v>45</v>
      </c>
      <c r="AE224" t="str">
        <f t="shared" si="9"/>
        <v>25-34</v>
      </c>
      <c r="AF224" t="str">
        <f t="shared" si="10"/>
        <v>Moderate Usage</v>
      </c>
      <c r="AG224" t="str">
        <f t="shared" si="11"/>
        <v>High Loneliness</v>
      </c>
    </row>
    <row r="225" spans="1:33" x14ac:dyDescent="0.3">
      <c r="A225" t="s">
        <v>269</v>
      </c>
      <c r="B225">
        <v>34</v>
      </c>
      <c r="C225" t="s">
        <v>1</v>
      </c>
      <c r="D225" t="s">
        <v>2</v>
      </c>
      <c r="E225" t="s">
        <v>3</v>
      </c>
      <c r="F225" t="s">
        <v>12</v>
      </c>
      <c r="G225" t="s">
        <v>5</v>
      </c>
      <c r="H225" t="s">
        <v>33</v>
      </c>
      <c r="I225" t="s">
        <v>29</v>
      </c>
      <c r="J225" t="s">
        <v>20</v>
      </c>
      <c r="K225" t="s">
        <v>53</v>
      </c>
      <c r="L225">
        <v>3.39</v>
      </c>
      <c r="M225">
        <v>4.01</v>
      </c>
      <c r="N225">
        <v>4.51</v>
      </c>
      <c r="O225">
        <v>12.74</v>
      </c>
      <c r="P225">
        <v>4</v>
      </c>
      <c r="Q225">
        <v>6.3</v>
      </c>
      <c r="R225">
        <v>7.7</v>
      </c>
      <c r="S225">
        <v>5.3</v>
      </c>
      <c r="T225" t="s">
        <v>39</v>
      </c>
      <c r="U225">
        <v>7.8</v>
      </c>
      <c r="V225">
        <v>5.5</v>
      </c>
      <c r="W225">
        <v>2.2000000000000002</v>
      </c>
      <c r="X225">
        <v>6</v>
      </c>
      <c r="Y225">
        <v>5</v>
      </c>
      <c r="Z225">
        <v>7.3</v>
      </c>
      <c r="AA225">
        <v>3.2</v>
      </c>
      <c r="AB225" t="s">
        <v>44</v>
      </c>
      <c r="AC225" t="s">
        <v>39</v>
      </c>
      <c r="AD225" t="s">
        <v>45</v>
      </c>
      <c r="AE225" t="str">
        <f t="shared" si="9"/>
        <v>25-34</v>
      </c>
      <c r="AF225" t="str">
        <f t="shared" si="10"/>
        <v>Moderate Usage</v>
      </c>
      <c r="AG225" t="str">
        <f t="shared" si="11"/>
        <v>High Loneliness</v>
      </c>
    </row>
    <row r="226" spans="1:33" x14ac:dyDescent="0.3">
      <c r="A226" t="s">
        <v>270</v>
      </c>
      <c r="B226">
        <v>44</v>
      </c>
      <c r="C226" t="s">
        <v>1</v>
      </c>
      <c r="D226" t="s">
        <v>58</v>
      </c>
      <c r="E226" t="s">
        <v>3</v>
      </c>
      <c r="F226" t="s">
        <v>16</v>
      </c>
      <c r="G226" t="s">
        <v>66</v>
      </c>
      <c r="H226" t="s">
        <v>6</v>
      </c>
      <c r="I226" t="s">
        <v>29</v>
      </c>
      <c r="J226" t="s">
        <v>8</v>
      </c>
      <c r="K226" t="s">
        <v>30</v>
      </c>
      <c r="L226">
        <v>0.56999999999999995</v>
      </c>
      <c r="M226">
        <v>2.4900000000000002</v>
      </c>
      <c r="N226">
        <v>0</v>
      </c>
      <c r="O226">
        <v>3.67</v>
      </c>
      <c r="P226">
        <v>5</v>
      </c>
      <c r="Q226">
        <v>7.1</v>
      </c>
      <c r="R226">
        <v>5.6</v>
      </c>
      <c r="S226">
        <v>6</v>
      </c>
      <c r="T226" t="s">
        <v>10</v>
      </c>
      <c r="U226">
        <v>6.6</v>
      </c>
      <c r="V226">
        <v>7.8</v>
      </c>
      <c r="W226">
        <v>4.4000000000000004</v>
      </c>
      <c r="X226">
        <v>5.5</v>
      </c>
      <c r="Y226">
        <v>2.4</v>
      </c>
      <c r="Z226">
        <v>4.5999999999999996</v>
      </c>
      <c r="AA226">
        <v>7</v>
      </c>
      <c r="AB226" t="s">
        <v>21</v>
      </c>
      <c r="AC226" t="s">
        <v>10</v>
      </c>
      <c r="AD226" t="s">
        <v>22</v>
      </c>
      <c r="AE226" t="str">
        <f t="shared" si="9"/>
        <v>35-44</v>
      </c>
      <c r="AF226" t="str">
        <f t="shared" si="10"/>
        <v>Very Low Usage</v>
      </c>
      <c r="AG226" t="str">
        <f t="shared" si="11"/>
        <v>High Loneliness</v>
      </c>
    </row>
    <row r="227" spans="1:33" x14ac:dyDescent="0.3">
      <c r="A227" t="s">
        <v>271</v>
      </c>
      <c r="B227">
        <v>44</v>
      </c>
      <c r="C227" t="s">
        <v>1</v>
      </c>
      <c r="D227" t="s">
        <v>14</v>
      </c>
      <c r="E227" t="s">
        <v>37</v>
      </c>
      <c r="F227" t="s">
        <v>4</v>
      </c>
      <c r="G227" t="s">
        <v>43</v>
      </c>
      <c r="H227" t="s">
        <v>6</v>
      </c>
      <c r="I227" t="s">
        <v>29</v>
      </c>
      <c r="J227" t="s">
        <v>20</v>
      </c>
      <c r="K227" t="s">
        <v>1079</v>
      </c>
      <c r="L227">
        <v>0</v>
      </c>
      <c r="M227">
        <v>6.18</v>
      </c>
      <c r="N227">
        <v>1</v>
      </c>
      <c r="O227">
        <v>2.9</v>
      </c>
      <c r="P227">
        <v>6</v>
      </c>
      <c r="Q227">
        <v>1</v>
      </c>
      <c r="R227">
        <v>3.6</v>
      </c>
      <c r="S227">
        <v>7.8</v>
      </c>
      <c r="T227" t="s">
        <v>10</v>
      </c>
      <c r="U227">
        <v>8.1999999999999993</v>
      </c>
      <c r="V227">
        <v>6.6</v>
      </c>
      <c r="W227">
        <v>7</v>
      </c>
      <c r="X227">
        <v>1</v>
      </c>
      <c r="Y227">
        <v>2.8</v>
      </c>
      <c r="Z227">
        <v>1.8</v>
      </c>
      <c r="AA227">
        <v>8</v>
      </c>
      <c r="AB227" t="s">
        <v>21</v>
      </c>
      <c r="AC227" t="s">
        <v>39</v>
      </c>
      <c r="AD227" t="s">
        <v>12</v>
      </c>
      <c r="AE227" t="str">
        <f t="shared" si="9"/>
        <v>35-44</v>
      </c>
      <c r="AF227" t="str">
        <f t="shared" si="10"/>
        <v>Very Low Usage</v>
      </c>
      <c r="AG227" t="str">
        <f t="shared" si="11"/>
        <v>Low Loneliness</v>
      </c>
    </row>
    <row r="228" spans="1:33" x14ac:dyDescent="0.3">
      <c r="A228" t="s">
        <v>272</v>
      </c>
      <c r="B228">
        <v>25</v>
      </c>
      <c r="C228" t="s">
        <v>32</v>
      </c>
      <c r="D228" t="s">
        <v>2</v>
      </c>
      <c r="E228" t="s">
        <v>37</v>
      </c>
      <c r="F228" t="s">
        <v>4</v>
      </c>
      <c r="G228" t="s">
        <v>17</v>
      </c>
      <c r="H228" t="s">
        <v>28</v>
      </c>
      <c r="I228" t="s">
        <v>29</v>
      </c>
      <c r="J228" t="s">
        <v>48</v>
      </c>
      <c r="K228" t="s">
        <v>9</v>
      </c>
      <c r="L228">
        <v>1.67</v>
      </c>
      <c r="M228">
        <v>2.54</v>
      </c>
      <c r="N228">
        <v>2.5299999999999998</v>
      </c>
      <c r="O228">
        <v>6.24</v>
      </c>
      <c r="P228">
        <v>4</v>
      </c>
      <c r="Q228">
        <v>3.9</v>
      </c>
      <c r="R228">
        <v>4.5</v>
      </c>
      <c r="S228">
        <v>6</v>
      </c>
      <c r="T228" t="s">
        <v>10</v>
      </c>
      <c r="U228">
        <v>5.4</v>
      </c>
      <c r="V228">
        <v>5.3</v>
      </c>
      <c r="W228">
        <v>3.6</v>
      </c>
      <c r="X228">
        <v>4.2</v>
      </c>
      <c r="Y228">
        <v>3</v>
      </c>
      <c r="Z228">
        <v>4.5</v>
      </c>
      <c r="AA228">
        <v>6.8</v>
      </c>
      <c r="AB228" t="s">
        <v>21</v>
      </c>
      <c r="AC228" t="s">
        <v>10</v>
      </c>
      <c r="AD228" t="s">
        <v>12</v>
      </c>
      <c r="AE228" t="str">
        <f t="shared" si="9"/>
        <v>25-34</v>
      </c>
      <c r="AF228" t="str">
        <f t="shared" si="10"/>
        <v>Low Usage</v>
      </c>
      <c r="AG228" t="str">
        <f t="shared" si="11"/>
        <v>Moderate Loneliness</v>
      </c>
    </row>
    <row r="229" spans="1:33" x14ac:dyDescent="0.3">
      <c r="A229" t="s">
        <v>273</v>
      </c>
      <c r="B229">
        <v>40</v>
      </c>
      <c r="C229" t="s">
        <v>1</v>
      </c>
      <c r="D229" t="s">
        <v>14</v>
      </c>
      <c r="E229" t="s">
        <v>3</v>
      </c>
      <c r="F229" t="s">
        <v>4</v>
      </c>
      <c r="G229" t="s">
        <v>5</v>
      </c>
      <c r="H229" t="s">
        <v>6</v>
      </c>
      <c r="I229" t="s">
        <v>7</v>
      </c>
      <c r="J229" t="s">
        <v>48</v>
      </c>
      <c r="K229" t="s">
        <v>53</v>
      </c>
      <c r="L229">
        <v>3.82</v>
      </c>
      <c r="M229">
        <v>2.79</v>
      </c>
      <c r="N229">
        <v>3</v>
      </c>
      <c r="O229">
        <v>10.02</v>
      </c>
      <c r="P229">
        <v>4</v>
      </c>
      <c r="Q229">
        <v>7.5</v>
      </c>
      <c r="R229">
        <v>7.5</v>
      </c>
      <c r="S229">
        <v>2.6</v>
      </c>
      <c r="T229" t="s">
        <v>39</v>
      </c>
      <c r="U229">
        <v>6.2</v>
      </c>
      <c r="V229">
        <v>3.3</v>
      </c>
      <c r="W229">
        <v>5.0999999999999996</v>
      </c>
      <c r="X229">
        <v>7.6</v>
      </c>
      <c r="Y229">
        <v>7.3</v>
      </c>
      <c r="Z229">
        <v>7.3</v>
      </c>
      <c r="AA229">
        <v>2.6</v>
      </c>
      <c r="AB229" t="s">
        <v>44</v>
      </c>
      <c r="AC229" t="s">
        <v>10</v>
      </c>
      <c r="AD229" t="s">
        <v>45</v>
      </c>
      <c r="AE229" t="str">
        <f t="shared" si="9"/>
        <v>35-44</v>
      </c>
      <c r="AF229" t="str">
        <f t="shared" si="10"/>
        <v>Moderate Usage</v>
      </c>
      <c r="AG229" t="str">
        <f t="shared" si="11"/>
        <v>High Loneliness</v>
      </c>
    </row>
    <row r="230" spans="1:33" x14ac:dyDescent="0.3">
      <c r="A230" t="s">
        <v>274</v>
      </c>
      <c r="B230">
        <v>37</v>
      </c>
      <c r="C230" t="s">
        <v>32</v>
      </c>
      <c r="D230" t="s">
        <v>14</v>
      </c>
      <c r="E230" t="s">
        <v>59</v>
      </c>
      <c r="F230" t="s">
        <v>4</v>
      </c>
      <c r="G230" t="s">
        <v>66</v>
      </c>
      <c r="H230" t="s">
        <v>33</v>
      </c>
      <c r="I230" t="s">
        <v>35</v>
      </c>
      <c r="J230" t="s">
        <v>20</v>
      </c>
      <c r="K230" t="s">
        <v>25</v>
      </c>
      <c r="L230">
        <v>2.71</v>
      </c>
      <c r="M230">
        <v>2.2799999999999998</v>
      </c>
      <c r="N230">
        <v>3.65</v>
      </c>
      <c r="O230">
        <v>7.45</v>
      </c>
      <c r="P230">
        <v>3</v>
      </c>
      <c r="Q230">
        <v>5</v>
      </c>
      <c r="R230">
        <v>10</v>
      </c>
      <c r="S230">
        <v>2.5</v>
      </c>
      <c r="T230" t="s">
        <v>39</v>
      </c>
      <c r="U230">
        <v>6.1</v>
      </c>
      <c r="V230">
        <v>2.8</v>
      </c>
      <c r="W230">
        <v>2.9</v>
      </c>
      <c r="X230">
        <v>8</v>
      </c>
      <c r="Y230">
        <v>7.6</v>
      </c>
      <c r="Z230">
        <v>7.5</v>
      </c>
      <c r="AA230">
        <v>1.7</v>
      </c>
      <c r="AB230" t="s">
        <v>44</v>
      </c>
      <c r="AC230" t="s">
        <v>39</v>
      </c>
      <c r="AD230" t="s">
        <v>45</v>
      </c>
      <c r="AE230" t="str">
        <f t="shared" si="9"/>
        <v>35-44</v>
      </c>
      <c r="AF230" t="str">
        <f t="shared" si="10"/>
        <v>Moderate Usage</v>
      </c>
      <c r="AG230" t="str">
        <f t="shared" si="11"/>
        <v>Moderate Loneliness</v>
      </c>
    </row>
    <row r="231" spans="1:33" x14ac:dyDescent="0.3">
      <c r="A231" t="s">
        <v>275</v>
      </c>
      <c r="B231">
        <v>42</v>
      </c>
      <c r="C231" t="s">
        <v>32</v>
      </c>
      <c r="D231" t="s">
        <v>47</v>
      </c>
      <c r="E231" t="s">
        <v>37</v>
      </c>
      <c r="F231" t="s">
        <v>4</v>
      </c>
      <c r="G231" t="s">
        <v>43</v>
      </c>
      <c r="H231" t="s">
        <v>28</v>
      </c>
      <c r="I231" t="s">
        <v>254</v>
      </c>
      <c r="J231" t="s">
        <v>8</v>
      </c>
      <c r="K231" t="s">
        <v>25</v>
      </c>
      <c r="L231">
        <v>0.82</v>
      </c>
      <c r="M231">
        <v>4.38</v>
      </c>
      <c r="N231">
        <v>4.04</v>
      </c>
      <c r="O231">
        <v>7.47</v>
      </c>
      <c r="P231">
        <v>6</v>
      </c>
      <c r="Q231">
        <v>5.6</v>
      </c>
      <c r="R231">
        <v>6.3</v>
      </c>
      <c r="S231">
        <v>5</v>
      </c>
      <c r="T231" t="s">
        <v>39</v>
      </c>
      <c r="U231">
        <v>7</v>
      </c>
      <c r="V231">
        <v>5.3</v>
      </c>
      <c r="W231">
        <v>6</v>
      </c>
      <c r="X231">
        <v>6.8</v>
      </c>
      <c r="Y231">
        <v>3.5</v>
      </c>
      <c r="Z231">
        <v>6.1</v>
      </c>
      <c r="AA231">
        <v>7</v>
      </c>
      <c r="AB231" t="s">
        <v>21</v>
      </c>
      <c r="AC231" t="s">
        <v>39</v>
      </c>
      <c r="AD231" t="s">
        <v>22</v>
      </c>
      <c r="AE231" t="str">
        <f t="shared" si="9"/>
        <v>35-44</v>
      </c>
      <c r="AF231" t="str">
        <f t="shared" si="10"/>
        <v>Very Low Usage</v>
      </c>
      <c r="AG231" t="str">
        <f t="shared" si="11"/>
        <v>Moderate Loneliness</v>
      </c>
    </row>
    <row r="232" spans="1:33" x14ac:dyDescent="0.3">
      <c r="A232" t="s">
        <v>276</v>
      </c>
      <c r="B232">
        <v>39</v>
      </c>
      <c r="C232" t="s">
        <v>32</v>
      </c>
      <c r="D232" t="s">
        <v>2</v>
      </c>
      <c r="E232" t="s">
        <v>3</v>
      </c>
      <c r="F232" t="s">
        <v>4</v>
      </c>
      <c r="G232" t="s">
        <v>17</v>
      </c>
      <c r="H232" t="s">
        <v>28</v>
      </c>
      <c r="I232" t="s">
        <v>29</v>
      </c>
      <c r="J232" t="s">
        <v>8</v>
      </c>
      <c r="K232" t="s">
        <v>53</v>
      </c>
      <c r="L232">
        <v>0.75</v>
      </c>
      <c r="M232">
        <v>4.0599999999999996</v>
      </c>
      <c r="N232">
        <v>1.93</v>
      </c>
      <c r="O232">
        <v>3.57</v>
      </c>
      <c r="P232">
        <v>3</v>
      </c>
      <c r="Q232">
        <v>1.8</v>
      </c>
      <c r="R232">
        <v>2.4</v>
      </c>
      <c r="S232">
        <v>7.4</v>
      </c>
      <c r="T232" t="s">
        <v>10</v>
      </c>
      <c r="U232">
        <v>8.3000000000000007</v>
      </c>
      <c r="V232">
        <v>9.3000000000000007</v>
      </c>
      <c r="W232">
        <v>4</v>
      </c>
      <c r="X232">
        <v>3.4</v>
      </c>
      <c r="Y232">
        <v>1</v>
      </c>
      <c r="Z232">
        <v>3.7</v>
      </c>
      <c r="AA232">
        <v>5.3</v>
      </c>
      <c r="AB232" t="s">
        <v>11</v>
      </c>
      <c r="AC232" t="s">
        <v>10</v>
      </c>
      <c r="AD232" t="s">
        <v>12</v>
      </c>
      <c r="AE232" t="str">
        <f t="shared" si="9"/>
        <v>35-44</v>
      </c>
      <c r="AF232" t="str">
        <f t="shared" si="10"/>
        <v>Very Low Usage</v>
      </c>
      <c r="AG232" t="str">
        <f t="shared" si="11"/>
        <v>Low Loneliness</v>
      </c>
    </row>
    <row r="233" spans="1:33" x14ac:dyDescent="0.3">
      <c r="A233" t="s">
        <v>277</v>
      </c>
      <c r="B233">
        <v>21</v>
      </c>
      <c r="C233" t="s">
        <v>1</v>
      </c>
      <c r="D233" t="s">
        <v>14</v>
      </c>
      <c r="E233" t="s">
        <v>37</v>
      </c>
      <c r="F233" t="s">
        <v>12</v>
      </c>
      <c r="G233" t="s">
        <v>5</v>
      </c>
      <c r="H233" t="s">
        <v>28</v>
      </c>
      <c r="I233" t="s">
        <v>7</v>
      </c>
      <c r="J233" t="s">
        <v>8</v>
      </c>
      <c r="K233" t="s">
        <v>1079</v>
      </c>
      <c r="L233">
        <v>5.25</v>
      </c>
      <c r="M233">
        <v>1.55</v>
      </c>
      <c r="N233">
        <v>3.74</v>
      </c>
      <c r="O233">
        <v>11.91</v>
      </c>
      <c r="P233">
        <v>3</v>
      </c>
      <c r="Q233">
        <v>9.8000000000000007</v>
      </c>
      <c r="R233">
        <v>9</v>
      </c>
      <c r="S233">
        <v>1</v>
      </c>
      <c r="T233" t="s">
        <v>39</v>
      </c>
      <c r="U233">
        <v>5.5</v>
      </c>
      <c r="V233">
        <v>3.5</v>
      </c>
      <c r="W233">
        <v>1.3</v>
      </c>
      <c r="X233">
        <v>9.1999999999999993</v>
      </c>
      <c r="Y233">
        <v>9</v>
      </c>
      <c r="Z233">
        <v>7.3</v>
      </c>
      <c r="AA233">
        <v>4.8</v>
      </c>
      <c r="AB233" t="s">
        <v>44</v>
      </c>
      <c r="AC233" t="s">
        <v>39</v>
      </c>
      <c r="AD233" t="s">
        <v>45</v>
      </c>
      <c r="AE233" t="str">
        <f t="shared" si="9"/>
        <v>20-24</v>
      </c>
      <c r="AF233" t="str">
        <f t="shared" si="10"/>
        <v>High Usage</v>
      </c>
      <c r="AG233" t="str">
        <f t="shared" si="11"/>
        <v>High Loneliness</v>
      </c>
    </row>
    <row r="234" spans="1:33" x14ac:dyDescent="0.3">
      <c r="A234" t="s">
        <v>278</v>
      </c>
      <c r="B234">
        <v>44</v>
      </c>
      <c r="C234" t="s">
        <v>32</v>
      </c>
      <c r="D234" t="s">
        <v>14</v>
      </c>
      <c r="E234" t="s">
        <v>15</v>
      </c>
      <c r="F234" t="s">
        <v>12</v>
      </c>
      <c r="G234" t="s">
        <v>17</v>
      </c>
      <c r="H234" t="s">
        <v>6</v>
      </c>
      <c r="I234" t="s">
        <v>29</v>
      </c>
      <c r="J234" t="s">
        <v>48</v>
      </c>
      <c r="K234" t="s">
        <v>53</v>
      </c>
      <c r="L234">
        <v>2.17</v>
      </c>
      <c r="M234">
        <v>3.76</v>
      </c>
      <c r="N234">
        <v>3.13</v>
      </c>
      <c r="O234">
        <v>7.01</v>
      </c>
      <c r="P234">
        <v>2</v>
      </c>
      <c r="Q234">
        <v>7.9</v>
      </c>
      <c r="R234">
        <v>6.5</v>
      </c>
      <c r="S234">
        <v>4.7</v>
      </c>
      <c r="T234" t="s">
        <v>39</v>
      </c>
      <c r="U234">
        <v>7.5</v>
      </c>
      <c r="V234">
        <v>4.9000000000000004</v>
      </c>
      <c r="W234">
        <v>3.4</v>
      </c>
      <c r="X234">
        <v>6</v>
      </c>
      <c r="Y234">
        <v>6.5</v>
      </c>
      <c r="Z234">
        <v>5.5</v>
      </c>
      <c r="AA234">
        <v>5.6</v>
      </c>
      <c r="AB234" t="s">
        <v>44</v>
      </c>
      <c r="AC234" t="s">
        <v>10</v>
      </c>
      <c r="AD234" t="s">
        <v>45</v>
      </c>
      <c r="AE234" t="str">
        <f t="shared" si="9"/>
        <v>35-44</v>
      </c>
      <c r="AF234" t="str">
        <f t="shared" si="10"/>
        <v>Low Usage</v>
      </c>
      <c r="AG234" t="str">
        <f t="shared" si="11"/>
        <v>High Loneliness</v>
      </c>
    </row>
    <row r="235" spans="1:33" x14ac:dyDescent="0.3">
      <c r="A235" t="s">
        <v>279</v>
      </c>
      <c r="B235">
        <v>15</v>
      </c>
      <c r="C235" t="s">
        <v>1</v>
      </c>
      <c r="D235" t="s">
        <v>2</v>
      </c>
      <c r="E235" t="s">
        <v>3</v>
      </c>
      <c r="F235" t="s">
        <v>4</v>
      </c>
      <c r="G235" t="s">
        <v>17</v>
      </c>
      <c r="H235" t="s">
        <v>33</v>
      </c>
      <c r="I235" t="s">
        <v>29</v>
      </c>
      <c r="J235" t="s">
        <v>20</v>
      </c>
      <c r="K235" t="s">
        <v>53</v>
      </c>
      <c r="L235">
        <v>0</v>
      </c>
      <c r="M235">
        <v>4.49</v>
      </c>
      <c r="N235">
        <v>1.36</v>
      </c>
      <c r="O235">
        <v>3.56</v>
      </c>
      <c r="P235">
        <v>5</v>
      </c>
      <c r="Q235">
        <v>3.3</v>
      </c>
      <c r="R235">
        <v>2.5</v>
      </c>
      <c r="S235">
        <v>8.6999999999999993</v>
      </c>
      <c r="T235" t="s">
        <v>10</v>
      </c>
      <c r="U235">
        <v>6.8</v>
      </c>
      <c r="V235">
        <v>7.9</v>
      </c>
      <c r="W235">
        <v>4.4000000000000004</v>
      </c>
      <c r="X235">
        <v>4.4000000000000004</v>
      </c>
      <c r="Y235">
        <v>2.1</v>
      </c>
      <c r="Z235">
        <v>3.7</v>
      </c>
      <c r="AA235">
        <v>8</v>
      </c>
      <c r="AB235" t="s">
        <v>21</v>
      </c>
      <c r="AC235" t="s">
        <v>10</v>
      </c>
      <c r="AD235" t="s">
        <v>12</v>
      </c>
      <c r="AE235" t="str">
        <f t="shared" si="9"/>
        <v>15-19</v>
      </c>
      <c r="AF235" t="str">
        <f t="shared" si="10"/>
        <v>Very Low Usage</v>
      </c>
      <c r="AG235" t="str">
        <f t="shared" si="11"/>
        <v>Moderate Loneliness</v>
      </c>
    </row>
    <row r="236" spans="1:33" x14ac:dyDescent="0.3">
      <c r="A236" t="s">
        <v>280</v>
      </c>
      <c r="B236">
        <v>15</v>
      </c>
      <c r="C236" t="s">
        <v>32</v>
      </c>
      <c r="D236" t="s">
        <v>47</v>
      </c>
      <c r="E236" t="s">
        <v>37</v>
      </c>
      <c r="F236" t="s">
        <v>45</v>
      </c>
      <c r="G236" t="s">
        <v>17</v>
      </c>
      <c r="H236" t="s">
        <v>33</v>
      </c>
      <c r="I236" t="s">
        <v>7</v>
      </c>
      <c r="J236" t="s">
        <v>48</v>
      </c>
      <c r="K236" t="s">
        <v>53</v>
      </c>
      <c r="L236">
        <v>2.1800000000000002</v>
      </c>
      <c r="M236">
        <v>4.38</v>
      </c>
      <c r="N236">
        <v>3.12</v>
      </c>
      <c r="O236">
        <v>6.95</v>
      </c>
      <c r="P236">
        <v>6</v>
      </c>
      <c r="Q236">
        <v>6</v>
      </c>
      <c r="R236">
        <v>5.2</v>
      </c>
      <c r="S236">
        <v>7.3</v>
      </c>
      <c r="T236" t="s">
        <v>10</v>
      </c>
      <c r="U236">
        <v>8.1</v>
      </c>
      <c r="V236">
        <v>5.4</v>
      </c>
      <c r="W236">
        <v>5.2</v>
      </c>
      <c r="X236">
        <v>5.3</v>
      </c>
      <c r="Y236">
        <v>4.5999999999999996</v>
      </c>
      <c r="Z236">
        <v>4.5</v>
      </c>
      <c r="AA236">
        <v>4.8</v>
      </c>
      <c r="AB236" t="s">
        <v>21</v>
      </c>
      <c r="AC236" t="s">
        <v>10</v>
      </c>
      <c r="AD236" t="s">
        <v>22</v>
      </c>
      <c r="AE236" t="str">
        <f t="shared" si="9"/>
        <v>15-19</v>
      </c>
      <c r="AF236" t="str">
        <f t="shared" si="10"/>
        <v>Low Usage</v>
      </c>
      <c r="AG236" t="str">
        <f t="shared" si="11"/>
        <v>Moderate Loneliness</v>
      </c>
    </row>
    <row r="237" spans="1:33" x14ac:dyDescent="0.3">
      <c r="A237" t="s">
        <v>281</v>
      </c>
      <c r="B237">
        <v>39</v>
      </c>
      <c r="C237" t="s">
        <v>1</v>
      </c>
      <c r="D237" t="s">
        <v>58</v>
      </c>
      <c r="E237" t="s">
        <v>15</v>
      </c>
      <c r="F237" t="s">
        <v>4</v>
      </c>
      <c r="G237" t="s">
        <v>17</v>
      </c>
      <c r="H237" t="s">
        <v>28</v>
      </c>
      <c r="I237" t="s">
        <v>24</v>
      </c>
      <c r="J237" t="s">
        <v>8</v>
      </c>
      <c r="K237" t="s">
        <v>30</v>
      </c>
      <c r="L237">
        <v>2.39</v>
      </c>
      <c r="M237">
        <v>3.88</v>
      </c>
      <c r="N237">
        <v>1.37</v>
      </c>
      <c r="O237">
        <v>6.46</v>
      </c>
      <c r="P237">
        <v>2</v>
      </c>
      <c r="Q237">
        <v>5.8</v>
      </c>
      <c r="R237">
        <v>4</v>
      </c>
      <c r="S237">
        <v>6.5</v>
      </c>
      <c r="T237" t="s">
        <v>10</v>
      </c>
      <c r="U237">
        <v>7</v>
      </c>
      <c r="V237">
        <v>5.7</v>
      </c>
      <c r="W237">
        <v>5.2</v>
      </c>
      <c r="X237">
        <v>2.7</v>
      </c>
      <c r="Y237">
        <v>5</v>
      </c>
      <c r="Z237">
        <v>5</v>
      </c>
      <c r="AA237">
        <v>5</v>
      </c>
      <c r="AB237" t="s">
        <v>44</v>
      </c>
      <c r="AC237" t="s">
        <v>10</v>
      </c>
      <c r="AD237" t="s">
        <v>12</v>
      </c>
      <c r="AE237" t="str">
        <f t="shared" si="9"/>
        <v>35-44</v>
      </c>
      <c r="AF237" t="str">
        <f t="shared" si="10"/>
        <v>Low Usage</v>
      </c>
      <c r="AG237" t="str">
        <f t="shared" si="11"/>
        <v>Moderate Loneliness</v>
      </c>
    </row>
    <row r="238" spans="1:33" x14ac:dyDescent="0.3">
      <c r="A238" t="s">
        <v>282</v>
      </c>
      <c r="B238">
        <v>41</v>
      </c>
      <c r="C238" t="s">
        <v>1</v>
      </c>
      <c r="D238" t="s">
        <v>41</v>
      </c>
      <c r="E238" t="s">
        <v>37</v>
      </c>
      <c r="F238" t="s">
        <v>16</v>
      </c>
      <c r="G238" t="s">
        <v>43</v>
      </c>
      <c r="H238" t="s">
        <v>33</v>
      </c>
      <c r="I238" t="s">
        <v>29</v>
      </c>
      <c r="J238" t="s">
        <v>8</v>
      </c>
      <c r="K238" t="s">
        <v>1079</v>
      </c>
      <c r="L238">
        <v>0.38</v>
      </c>
      <c r="M238">
        <v>4.25</v>
      </c>
      <c r="N238">
        <v>1.19</v>
      </c>
      <c r="O238">
        <v>3.4</v>
      </c>
      <c r="P238">
        <v>8</v>
      </c>
      <c r="Q238">
        <v>2.8</v>
      </c>
      <c r="R238">
        <v>3</v>
      </c>
      <c r="S238">
        <v>8.3000000000000007</v>
      </c>
      <c r="T238" t="s">
        <v>10</v>
      </c>
      <c r="U238">
        <v>7.4</v>
      </c>
      <c r="V238">
        <v>9.3000000000000007</v>
      </c>
      <c r="W238">
        <v>4.4000000000000004</v>
      </c>
      <c r="X238">
        <v>6.2</v>
      </c>
      <c r="Y238">
        <v>3.1</v>
      </c>
      <c r="Z238">
        <v>3.3</v>
      </c>
      <c r="AA238">
        <v>7.5</v>
      </c>
      <c r="AB238" t="s">
        <v>21</v>
      </c>
      <c r="AC238" t="s">
        <v>10</v>
      </c>
      <c r="AD238" t="s">
        <v>12</v>
      </c>
      <c r="AE238" t="str">
        <f t="shared" si="9"/>
        <v>35-44</v>
      </c>
      <c r="AF238" t="str">
        <f t="shared" si="10"/>
        <v>Very Low Usage</v>
      </c>
      <c r="AG238" t="str">
        <f t="shared" si="11"/>
        <v>Low Loneliness</v>
      </c>
    </row>
    <row r="239" spans="1:33" x14ac:dyDescent="0.3">
      <c r="A239" t="s">
        <v>283</v>
      </c>
      <c r="B239">
        <v>44</v>
      </c>
      <c r="C239" t="s">
        <v>32</v>
      </c>
      <c r="D239" t="s">
        <v>47</v>
      </c>
      <c r="E239" t="s">
        <v>37</v>
      </c>
      <c r="F239" t="s">
        <v>16</v>
      </c>
      <c r="G239" t="s">
        <v>17</v>
      </c>
      <c r="H239" t="s">
        <v>28</v>
      </c>
      <c r="I239" t="s">
        <v>19</v>
      </c>
      <c r="J239" t="s">
        <v>8</v>
      </c>
      <c r="K239" t="s">
        <v>9</v>
      </c>
      <c r="L239">
        <v>3.57</v>
      </c>
      <c r="M239">
        <v>3.3</v>
      </c>
      <c r="N239">
        <v>3.88</v>
      </c>
      <c r="O239">
        <v>11.61</v>
      </c>
      <c r="P239">
        <v>5</v>
      </c>
      <c r="Q239">
        <v>5</v>
      </c>
      <c r="R239">
        <v>7.4</v>
      </c>
      <c r="S239">
        <v>5.7</v>
      </c>
      <c r="T239" t="s">
        <v>39</v>
      </c>
      <c r="U239">
        <v>5.5</v>
      </c>
      <c r="V239">
        <v>3.8</v>
      </c>
      <c r="W239">
        <v>4.5999999999999996</v>
      </c>
      <c r="X239">
        <v>5.3</v>
      </c>
      <c r="Y239">
        <v>6.2</v>
      </c>
      <c r="Z239">
        <v>8.5</v>
      </c>
      <c r="AA239">
        <v>5.6</v>
      </c>
      <c r="AB239" t="s">
        <v>44</v>
      </c>
      <c r="AC239" t="s">
        <v>10</v>
      </c>
      <c r="AD239" t="s">
        <v>22</v>
      </c>
      <c r="AE239" t="str">
        <f t="shared" si="9"/>
        <v>35-44</v>
      </c>
      <c r="AF239" t="str">
        <f t="shared" si="10"/>
        <v>Moderate Usage</v>
      </c>
      <c r="AG239" t="str">
        <f t="shared" si="11"/>
        <v>Moderate Loneliness</v>
      </c>
    </row>
    <row r="240" spans="1:33" x14ac:dyDescent="0.3">
      <c r="A240" t="s">
        <v>284</v>
      </c>
      <c r="B240">
        <v>39</v>
      </c>
      <c r="C240" t="s">
        <v>1</v>
      </c>
      <c r="D240" t="s">
        <v>14</v>
      </c>
      <c r="E240" t="s">
        <v>37</v>
      </c>
      <c r="F240" t="s">
        <v>45</v>
      </c>
      <c r="G240" t="s">
        <v>43</v>
      </c>
      <c r="H240" t="s">
        <v>28</v>
      </c>
      <c r="I240" t="s">
        <v>29</v>
      </c>
      <c r="J240" t="s">
        <v>8</v>
      </c>
      <c r="K240" t="s">
        <v>53</v>
      </c>
      <c r="L240">
        <v>3.66</v>
      </c>
      <c r="M240">
        <v>2.79</v>
      </c>
      <c r="N240">
        <v>3.53</v>
      </c>
      <c r="O240">
        <v>10.61</v>
      </c>
      <c r="P240">
        <v>3</v>
      </c>
      <c r="Q240">
        <v>9</v>
      </c>
      <c r="R240">
        <v>6.2</v>
      </c>
      <c r="S240">
        <v>1.5</v>
      </c>
      <c r="T240" t="s">
        <v>10</v>
      </c>
      <c r="U240">
        <v>5.2</v>
      </c>
      <c r="V240">
        <v>6</v>
      </c>
      <c r="W240">
        <v>5.7</v>
      </c>
      <c r="X240">
        <v>7.3</v>
      </c>
      <c r="Y240">
        <v>6.3</v>
      </c>
      <c r="Z240">
        <v>5.4</v>
      </c>
      <c r="AA240">
        <v>2.7</v>
      </c>
      <c r="AB240" t="s">
        <v>44</v>
      </c>
      <c r="AC240" t="s">
        <v>10</v>
      </c>
      <c r="AD240" t="s">
        <v>45</v>
      </c>
      <c r="AE240" t="str">
        <f t="shared" si="9"/>
        <v>35-44</v>
      </c>
      <c r="AF240" t="str">
        <f t="shared" si="10"/>
        <v>Moderate Usage</v>
      </c>
      <c r="AG240" t="str">
        <f t="shared" si="11"/>
        <v>High Loneliness</v>
      </c>
    </row>
    <row r="241" spans="1:33" x14ac:dyDescent="0.3">
      <c r="A241" t="s">
        <v>285</v>
      </c>
      <c r="B241">
        <v>34</v>
      </c>
      <c r="C241" t="s">
        <v>1</v>
      </c>
      <c r="D241" t="s">
        <v>2</v>
      </c>
      <c r="E241" t="s">
        <v>3</v>
      </c>
      <c r="F241" t="s">
        <v>16</v>
      </c>
      <c r="G241" t="s">
        <v>17</v>
      </c>
      <c r="H241" t="s">
        <v>33</v>
      </c>
      <c r="I241" t="s">
        <v>24</v>
      </c>
      <c r="J241" t="s">
        <v>8</v>
      </c>
      <c r="K241" t="s">
        <v>9</v>
      </c>
      <c r="L241">
        <v>0.81</v>
      </c>
      <c r="M241">
        <v>4.1100000000000003</v>
      </c>
      <c r="N241">
        <v>1.35</v>
      </c>
      <c r="O241">
        <v>2.86</v>
      </c>
      <c r="P241">
        <v>3</v>
      </c>
      <c r="Q241">
        <v>5.2</v>
      </c>
      <c r="R241">
        <v>3.5</v>
      </c>
      <c r="S241">
        <v>7</v>
      </c>
      <c r="T241" t="s">
        <v>10</v>
      </c>
      <c r="U241">
        <v>7.5</v>
      </c>
      <c r="V241">
        <v>9.8000000000000007</v>
      </c>
      <c r="W241">
        <v>5.9</v>
      </c>
      <c r="X241">
        <v>2.6</v>
      </c>
      <c r="Y241">
        <v>3.9</v>
      </c>
      <c r="Z241">
        <v>3.5</v>
      </c>
      <c r="AA241">
        <v>6.6</v>
      </c>
      <c r="AB241" t="s">
        <v>11</v>
      </c>
      <c r="AC241" t="s">
        <v>10</v>
      </c>
      <c r="AD241" t="s">
        <v>12</v>
      </c>
      <c r="AE241" t="str">
        <f t="shared" si="9"/>
        <v>25-34</v>
      </c>
      <c r="AF241" t="str">
        <f t="shared" si="10"/>
        <v>Very Low Usage</v>
      </c>
      <c r="AG241" t="str">
        <f t="shared" si="11"/>
        <v>Moderate Loneliness</v>
      </c>
    </row>
    <row r="242" spans="1:33" x14ac:dyDescent="0.3">
      <c r="A242" t="s">
        <v>286</v>
      </c>
      <c r="B242">
        <v>27</v>
      </c>
      <c r="C242" t="s">
        <v>32</v>
      </c>
      <c r="D242" t="s">
        <v>2</v>
      </c>
      <c r="E242" t="s">
        <v>3</v>
      </c>
      <c r="F242" t="s">
        <v>4</v>
      </c>
      <c r="G242" t="s">
        <v>17</v>
      </c>
      <c r="H242" t="s">
        <v>28</v>
      </c>
      <c r="I242" t="s">
        <v>19</v>
      </c>
      <c r="J242" t="s">
        <v>51</v>
      </c>
      <c r="K242" t="s">
        <v>53</v>
      </c>
      <c r="L242">
        <v>1.8</v>
      </c>
      <c r="M242">
        <v>3.4</v>
      </c>
      <c r="N242">
        <v>2.9</v>
      </c>
      <c r="O242">
        <v>6.89</v>
      </c>
      <c r="P242">
        <v>2</v>
      </c>
      <c r="Q242">
        <v>7.9</v>
      </c>
      <c r="R242">
        <v>6.3</v>
      </c>
      <c r="S242">
        <v>3.7</v>
      </c>
      <c r="T242" t="s">
        <v>39</v>
      </c>
      <c r="U242">
        <v>5.5</v>
      </c>
      <c r="V242">
        <v>5.8</v>
      </c>
      <c r="W242">
        <v>3.5</v>
      </c>
      <c r="X242">
        <v>9.6</v>
      </c>
      <c r="Y242">
        <v>7.4</v>
      </c>
      <c r="Z242">
        <v>6.4</v>
      </c>
      <c r="AA242">
        <v>4</v>
      </c>
      <c r="AB242" t="s">
        <v>44</v>
      </c>
      <c r="AC242" t="s">
        <v>39</v>
      </c>
      <c r="AD242" t="s">
        <v>45</v>
      </c>
      <c r="AE242" t="str">
        <f t="shared" si="9"/>
        <v>25-34</v>
      </c>
      <c r="AF242" t="str">
        <f t="shared" si="10"/>
        <v>Low Usage</v>
      </c>
      <c r="AG242" t="str">
        <f t="shared" si="11"/>
        <v>High Loneliness</v>
      </c>
    </row>
    <row r="243" spans="1:33" x14ac:dyDescent="0.3">
      <c r="A243" t="s">
        <v>287</v>
      </c>
      <c r="B243">
        <v>23</v>
      </c>
      <c r="C243" t="s">
        <v>32</v>
      </c>
      <c r="D243" t="s">
        <v>14</v>
      </c>
      <c r="E243" t="s">
        <v>37</v>
      </c>
      <c r="F243" t="s">
        <v>16</v>
      </c>
      <c r="G243" t="s">
        <v>17</v>
      </c>
      <c r="H243" t="s">
        <v>6</v>
      </c>
      <c r="I243" t="s">
        <v>254</v>
      </c>
      <c r="J243" t="s">
        <v>51</v>
      </c>
      <c r="K243" t="s">
        <v>25</v>
      </c>
      <c r="L243">
        <v>0.27</v>
      </c>
      <c r="M243">
        <v>5.56</v>
      </c>
      <c r="N243">
        <v>1.47</v>
      </c>
      <c r="O243">
        <v>4.47</v>
      </c>
      <c r="P243">
        <v>6</v>
      </c>
      <c r="Q243">
        <v>1.9</v>
      </c>
      <c r="R243">
        <v>1.7</v>
      </c>
      <c r="S243">
        <v>10</v>
      </c>
      <c r="T243" t="s">
        <v>10</v>
      </c>
      <c r="U243">
        <v>9.1</v>
      </c>
      <c r="V243">
        <v>8.5</v>
      </c>
      <c r="W243">
        <v>8</v>
      </c>
      <c r="X243">
        <v>1</v>
      </c>
      <c r="Y243">
        <v>1.2</v>
      </c>
      <c r="Z243">
        <v>1.5</v>
      </c>
      <c r="AA243">
        <v>9</v>
      </c>
      <c r="AB243" t="s">
        <v>11</v>
      </c>
      <c r="AC243" t="s">
        <v>10</v>
      </c>
      <c r="AD243" t="s">
        <v>12</v>
      </c>
      <c r="AE243" t="str">
        <f t="shared" si="9"/>
        <v>20-24</v>
      </c>
      <c r="AF243" t="str">
        <f t="shared" si="10"/>
        <v>Very Low Usage</v>
      </c>
      <c r="AG243" t="str">
        <f t="shared" si="11"/>
        <v>Low Loneliness</v>
      </c>
    </row>
    <row r="244" spans="1:33" x14ac:dyDescent="0.3">
      <c r="A244" t="s">
        <v>288</v>
      </c>
      <c r="B244">
        <v>17</v>
      </c>
      <c r="C244" t="s">
        <v>32</v>
      </c>
      <c r="D244" t="s">
        <v>58</v>
      </c>
      <c r="E244" t="s">
        <v>3</v>
      </c>
      <c r="F244" t="s">
        <v>45</v>
      </c>
      <c r="G244" t="s">
        <v>17</v>
      </c>
      <c r="H244" t="s">
        <v>28</v>
      </c>
      <c r="I244" t="s">
        <v>29</v>
      </c>
      <c r="J244" t="s">
        <v>20</v>
      </c>
      <c r="K244" t="s">
        <v>1079</v>
      </c>
      <c r="L244">
        <v>5.34</v>
      </c>
      <c r="M244">
        <v>0.99</v>
      </c>
      <c r="N244">
        <v>4.2</v>
      </c>
      <c r="O244">
        <v>11.08</v>
      </c>
      <c r="P244">
        <v>0</v>
      </c>
      <c r="Q244">
        <v>9.8000000000000007</v>
      </c>
      <c r="R244">
        <v>10</v>
      </c>
      <c r="S244">
        <v>2.2999999999999998</v>
      </c>
      <c r="T244" t="s">
        <v>10</v>
      </c>
      <c r="U244">
        <v>5.7</v>
      </c>
      <c r="V244">
        <v>1.9</v>
      </c>
      <c r="W244">
        <v>3.9</v>
      </c>
      <c r="X244">
        <v>8.5</v>
      </c>
      <c r="Y244">
        <v>10</v>
      </c>
      <c r="Z244">
        <v>10</v>
      </c>
      <c r="AA244">
        <v>4.5</v>
      </c>
      <c r="AB244" t="s">
        <v>44</v>
      </c>
      <c r="AC244" t="s">
        <v>10</v>
      </c>
      <c r="AD244" t="s">
        <v>45</v>
      </c>
      <c r="AE244" t="str">
        <f t="shared" si="9"/>
        <v>15-19</v>
      </c>
      <c r="AF244" t="str">
        <f t="shared" si="10"/>
        <v>High Usage</v>
      </c>
      <c r="AG244" t="str">
        <f t="shared" si="11"/>
        <v>High Loneliness</v>
      </c>
    </row>
    <row r="245" spans="1:33" x14ac:dyDescent="0.3">
      <c r="A245" t="s">
        <v>289</v>
      </c>
      <c r="B245">
        <v>21</v>
      </c>
      <c r="C245" t="s">
        <v>32</v>
      </c>
      <c r="D245" t="s">
        <v>14</v>
      </c>
      <c r="E245" t="s">
        <v>3</v>
      </c>
      <c r="F245" t="s">
        <v>4</v>
      </c>
      <c r="G245" t="s">
        <v>17</v>
      </c>
      <c r="H245" t="s">
        <v>33</v>
      </c>
      <c r="I245" t="s">
        <v>19</v>
      </c>
      <c r="J245" t="s">
        <v>20</v>
      </c>
      <c r="K245" t="s">
        <v>53</v>
      </c>
      <c r="L245">
        <v>1.33</v>
      </c>
      <c r="M245">
        <v>4.8499999999999996</v>
      </c>
      <c r="N245">
        <v>3.07</v>
      </c>
      <c r="O245">
        <v>7.61</v>
      </c>
      <c r="P245">
        <v>6</v>
      </c>
      <c r="Q245">
        <v>5.3</v>
      </c>
      <c r="R245">
        <v>3.1</v>
      </c>
      <c r="S245">
        <v>5.7</v>
      </c>
      <c r="T245" t="s">
        <v>10</v>
      </c>
      <c r="U245">
        <v>5.7</v>
      </c>
      <c r="V245">
        <v>7.6</v>
      </c>
      <c r="W245">
        <v>6.2</v>
      </c>
      <c r="X245">
        <v>2.8</v>
      </c>
      <c r="Y245">
        <v>4.0999999999999996</v>
      </c>
      <c r="Z245">
        <v>4.8</v>
      </c>
      <c r="AA245">
        <v>5.7</v>
      </c>
      <c r="AB245" t="s">
        <v>21</v>
      </c>
      <c r="AC245" t="s">
        <v>10</v>
      </c>
      <c r="AD245" t="s">
        <v>22</v>
      </c>
      <c r="AE245" t="str">
        <f t="shared" si="9"/>
        <v>20-24</v>
      </c>
      <c r="AF245" t="str">
        <f t="shared" si="10"/>
        <v>Low Usage</v>
      </c>
      <c r="AG245" t="str">
        <f t="shared" si="11"/>
        <v>Moderate Loneliness</v>
      </c>
    </row>
    <row r="246" spans="1:33" x14ac:dyDescent="0.3">
      <c r="A246" t="s">
        <v>290</v>
      </c>
      <c r="B246">
        <v>20</v>
      </c>
      <c r="C246" t="s">
        <v>32</v>
      </c>
      <c r="D246" t="s">
        <v>58</v>
      </c>
      <c r="E246" t="s">
        <v>15</v>
      </c>
      <c r="F246" t="s">
        <v>4</v>
      </c>
      <c r="G246" t="s">
        <v>17</v>
      </c>
      <c r="H246" t="s">
        <v>18</v>
      </c>
      <c r="I246" t="s">
        <v>19</v>
      </c>
      <c r="J246" t="s">
        <v>8</v>
      </c>
      <c r="K246" t="s">
        <v>25</v>
      </c>
      <c r="L246">
        <v>3.18</v>
      </c>
      <c r="M246">
        <v>2.4</v>
      </c>
      <c r="N246">
        <v>2.95</v>
      </c>
      <c r="O246">
        <v>9.2200000000000006</v>
      </c>
      <c r="P246">
        <v>2</v>
      </c>
      <c r="Q246">
        <v>8.1</v>
      </c>
      <c r="R246">
        <v>4.7</v>
      </c>
      <c r="S246">
        <v>6.4</v>
      </c>
      <c r="T246" t="s">
        <v>10</v>
      </c>
      <c r="U246">
        <v>6.9</v>
      </c>
      <c r="V246">
        <v>4.3</v>
      </c>
      <c r="W246">
        <v>2.6</v>
      </c>
      <c r="X246">
        <v>7.1</v>
      </c>
      <c r="Y246">
        <v>5.6</v>
      </c>
      <c r="Z246">
        <v>5.2</v>
      </c>
      <c r="AA246">
        <v>1.8</v>
      </c>
      <c r="AB246" t="s">
        <v>44</v>
      </c>
      <c r="AC246" t="s">
        <v>10</v>
      </c>
      <c r="AD246" t="s">
        <v>45</v>
      </c>
      <c r="AE246" t="str">
        <f t="shared" si="9"/>
        <v>20-24</v>
      </c>
      <c r="AF246" t="str">
        <f t="shared" si="10"/>
        <v>Moderate Usage</v>
      </c>
      <c r="AG246" t="str">
        <f t="shared" si="11"/>
        <v>High Loneliness</v>
      </c>
    </row>
    <row r="247" spans="1:33" x14ac:dyDescent="0.3">
      <c r="A247" t="s">
        <v>291</v>
      </c>
      <c r="B247">
        <v>22</v>
      </c>
      <c r="C247" t="s">
        <v>1</v>
      </c>
      <c r="D247" t="s">
        <v>2</v>
      </c>
      <c r="E247" t="s">
        <v>59</v>
      </c>
      <c r="F247" t="s">
        <v>12</v>
      </c>
      <c r="G247" t="s">
        <v>5</v>
      </c>
      <c r="H247" t="s">
        <v>18</v>
      </c>
      <c r="I247" t="s">
        <v>19</v>
      </c>
      <c r="J247" t="s">
        <v>51</v>
      </c>
      <c r="K247" t="s">
        <v>1079</v>
      </c>
      <c r="L247">
        <v>1.66</v>
      </c>
      <c r="M247">
        <v>3.22</v>
      </c>
      <c r="N247">
        <v>1.59</v>
      </c>
      <c r="O247">
        <v>5.17</v>
      </c>
      <c r="P247">
        <v>3</v>
      </c>
      <c r="Q247">
        <v>3</v>
      </c>
      <c r="R247">
        <v>6.1</v>
      </c>
      <c r="S247">
        <v>6.7</v>
      </c>
      <c r="T247" t="s">
        <v>10</v>
      </c>
      <c r="U247">
        <v>6.7</v>
      </c>
      <c r="V247">
        <v>5.5</v>
      </c>
      <c r="W247">
        <v>5.0999999999999996</v>
      </c>
      <c r="X247">
        <v>4.5999999999999996</v>
      </c>
      <c r="Y247">
        <v>4</v>
      </c>
      <c r="Z247">
        <v>7.1</v>
      </c>
      <c r="AA247">
        <v>4.4000000000000004</v>
      </c>
      <c r="AB247" t="s">
        <v>21</v>
      </c>
      <c r="AC247" t="s">
        <v>10</v>
      </c>
      <c r="AD247" t="s">
        <v>12</v>
      </c>
      <c r="AE247" t="str">
        <f t="shared" si="9"/>
        <v>20-24</v>
      </c>
      <c r="AF247" t="str">
        <f t="shared" si="10"/>
        <v>Low Usage</v>
      </c>
      <c r="AG247" t="str">
        <f t="shared" si="11"/>
        <v>Low Loneliness</v>
      </c>
    </row>
    <row r="248" spans="1:33" x14ac:dyDescent="0.3">
      <c r="A248" t="s">
        <v>292</v>
      </c>
      <c r="B248">
        <v>41</v>
      </c>
      <c r="C248" t="s">
        <v>1</v>
      </c>
      <c r="D248" t="s">
        <v>2</v>
      </c>
      <c r="E248" t="s">
        <v>15</v>
      </c>
      <c r="F248" t="s">
        <v>16</v>
      </c>
      <c r="G248" t="s">
        <v>17</v>
      </c>
      <c r="H248" t="s">
        <v>28</v>
      </c>
      <c r="I248" t="s">
        <v>29</v>
      </c>
      <c r="J248" t="s">
        <v>8</v>
      </c>
      <c r="K248" t="s">
        <v>30</v>
      </c>
      <c r="L248">
        <v>0.85</v>
      </c>
      <c r="M248">
        <v>2.42</v>
      </c>
      <c r="N248">
        <v>1.92</v>
      </c>
      <c r="O248">
        <v>5.75</v>
      </c>
      <c r="P248">
        <v>5</v>
      </c>
      <c r="Q248">
        <v>4.3</v>
      </c>
      <c r="R248">
        <v>1</v>
      </c>
      <c r="S248">
        <v>8.1</v>
      </c>
      <c r="T248" t="s">
        <v>10</v>
      </c>
      <c r="U248">
        <v>7.5</v>
      </c>
      <c r="V248">
        <v>7.9</v>
      </c>
      <c r="W248">
        <v>4.5</v>
      </c>
      <c r="X248">
        <v>1</v>
      </c>
      <c r="Y248">
        <v>3</v>
      </c>
      <c r="Z248">
        <v>3.9</v>
      </c>
      <c r="AA248">
        <v>8.4</v>
      </c>
      <c r="AB248" t="s">
        <v>21</v>
      </c>
      <c r="AC248" t="s">
        <v>10</v>
      </c>
      <c r="AD248" t="s">
        <v>12</v>
      </c>
      <c r="AE248" t="str">
        <f t="shared" si="9"/>
        <v>35-44</v>
      </c>
      <c r="AF248" t="str">
        <f t="shared" si="10"/>
        <v>Very Low Usage</v>
      </c>
      <c r="AG248" t="str">
        <f t="shared" si="11"/>
        <v>Moderate Loneliness</v>
      </c>
    </row>
    <row r="249" spans="1:33" x14ac:dyDescent="0.3">
      <c r="A249" t="s">
        <v>293</v>
      </c>
      <c r="B249">
        <v>23</v>
      </c>
      <c r="C249" t="s">
        <v>1</v>
      </c>
      <c r="D249" t="s">
        <v>2</v>
      </c>
      <c r="E249" t="s">
        <v>15</v>
      </c>
      <c r="F249" t="s">
        <v>16</v>
      </c>
      <c r="G249" t="s">
        <v>17</v>
      </c>
      <c r="H249" t="s">
        <v>28</v>
      </c>
      <c r="I249" t="s">
        <v>24</v>
      </c>
      <c r="J249" t="s">
        <v>38</v>
      </c>
      <c r="K249" t="s">
        <v>30</v>
      </c>
      <c r="L249">
        <v>0.63</v>
      </c>
      <c r="M249">
        <v>3</v>
      </c>
      <c r="N249">
        <v>2.37</v>
      </c>
      <c r="O249">
        <v>2.59</v>
      </c>
      <c r="P249">
        <v>4</v>
      </c>
      <c r="Q249">
        <v>5.9</v>
      </c>
      <c r="R249">
        <v>5.4</v>
      </c>
      <c r="S249">
        <v>6.7</v>
      </c>
      <c r="T249" t="s">
        <v>10</v>
      </c>
      <c r="U249">
        <v>8</v>
      </c>
      <c r="V249">
        <v>5.2</v>
      </c>
      <c r="W249">
        <v>4</v>
      </c>
      <c r="X249">
        <v>4.3</v>
      </c>
      <c r="Y249">
        <v>3.8</v>
      </c>
      <c r="Z249">
        <v>5.4</v>
      </c>
      <c r="AA249">
        <v>5.2</v>
      </c>
      <c r="AB249" t="s">
        <v>21</v>
      </c>
      <c r="AC249" t="s">
        <v>10</v>
      </c>
      <c r="AD249" t="s">
        <v>12</v>
      </c>
      <c r="AE249" t="str">
        <f t="shared" si="9"/>
        <v>20-24</v>
      </c>
      <c r="AF249" t="str">
        <f t="shared" si="10"/>
        <v>Very Low Usage</v>
      </c>
      <c r="AG249" t="str">
        <f t="shared" si="11"/>
        <v>Moderate Loneliness</v>
      </c>
    </row>
    <row r="250" spans="1:33" x14ac:dyDescent="0.3">
      <c r="A250" t="s">
        <v>294</v>
      </c>
      <c r="B250">
        <v>44</v>
      </c>
      <c r="C250" t="s">
        <v>32</v>
      </c>
      <c r="D250" t="s">
        <v>58</v>
      </c>
      <c r="E250" t="s">
        <v>3</v>
      </c>
      <c r="F250" t="s">
        <v>12</v>
      </c>
      <c r="G250" t="s">
        <v>17</v>
      </c>
      <c r="H250" t="s">
        <v>6</v>
      </c>
      <c r="I250" t="s">
        <v>7</v>
      </c>
      <c r="J250" t="s">
        <v>20</v>
      </c>
      <c r="K250" t="s">
        <v>1079</v>
      </c>
      <c r="L250">
        <v>0</v>
      </c>
      <c r="M250">
        <v>5.26</v>
      </c>
      <c r="N250">
        <v>1.28</v>
      </c>
      <c r="O250">
        <v>4.63</v>
      </c>
      <c r="P250">
        <v>8</v>
      </c>
      <c r="Q250">
        <v>1</v>
      </c>
      <c r="R250">
        <v>1</v>
      </c>
      <c r="S250">
        <v>9.9</v>
      </c>
      <c r="T250" t="s">
        <v>10</v>
      </c>
      <c r="U250">
        <v>7.1</v>
      </c>
      <c r="V250">
        <v>9.8000000000000007</v>
      </c>
      <c r="W250">
        <v>7</v>
      </c>
      <c r="X250">
        <v>1</v>
      </c>
      <c r="Y250">
        <v>2.7</v>
      </c>
      <c r="Z250">
        <v>2.5</v>
      </c>
      <c r="AA250">
        <v>8.4</v>
      </c>
      <c r="AB250" t="s">
        <v>21</v>
      </c>
      <c r="AC250" t="s">
        <v>10</v>
      </c>
      <c r="AD250" t="s">
        <v>12</v>
      </c>
      <c r="AE250" t="str">
        <f t="shared" si="9"/>
        <v>35-44</v>
      </c>
      <c r="AF250" t="str">
        <f t="shared" si="10"/>
        <v>Very Low Usage</v>
      </c>
      <c r="AG250" t="str">
        <f t="shared" si="11"/>
        <v>Low Loneliness</v>
      </c>
    </row>
    <row r="251" spans="1:33" x14ac:dyDescent="0.3">
      <c r="A251" t="s">
        <v>295</v>
      </c>
      <c r="B251">
        <v>19</v>
      </c>
      <c r="C251" t="s">
        <v>32</v>
      </c>
      <c r="D251" t="s">
        <v>2</v>
      </c>
      <c r="E251" t="s">
        <v>59</v>
      </c>
      <c r="F251" t="s">
        <v>4</v>
      </c>
      <c r="G251" t="s">
        <v>43</v>
      </c>
      <c r="H251" t="s">
        <v>28</v>
      </c>
      <c r="I251" t="s">
        <v>35</v>
      </c>
      <c r="J251" t="s">
        <v>8</v>
      </c>
      <c r="K251" t="s">
        <v>1079</v>
      </c>
      <c r="L251">
        <v>3.04</v>
      </c>
      <c r="M251">
        <v>2.7</v>
      </c>
      <c r="N251">
        <v>4.07</v>
      </c>
      <c r="O251">
        <v>10</v>
      </c>
      <c r="P251">
        <v>2</v>
      </c>
      <c r="Q251">
        <v>8</v>
      </c>
      <c r="R251">
        <v>7</v>
      </c>
      <c r="S251">
        <v>4.5999999999999996</v>
      </c>
      <c r="T251" t="s">
        <v>39</v>
      </c>
      <c r="U251">
        <v>5.5</v>
      </c>
      <c r="V251">
        <v>3.8</v>
      </c>
      <c r="W251">
        <v>1</v>
      </c>
      <c r="X251">
        <v>5.6</v>
      </c>
      <c r="Y251">
        <v>5.5</v>
      </c>
      <c r="Z251">
        <v>4.7</v>
      </c>
      <c r="AA251">
        <v>6.4</v>
      </c>
      <c r="AB251" t="s">
        <v>44</v>
      </c>
      <c r="AC251" t="s">
        <v>39</v>
      </c>
      <c r="AD251" t="s">
        <v>45</v>
      </c>
      <c r="AE251" t="str">
        <f t="shared" si="9"/>
        <v>15-19</v>
      </c>
      <c r="AF251" t="str">
        <f t="shared" si="10"/>
        <v>Moderate Usage</v>
      </c>
      <c r="AG251" t="str">
        <f t="shared" si="11"/>
        <v>High Loneliness</v>
      </c>
    </row>
    <row r="252" spans="1:33" x14ac:dyDescent="0.3">
      <c r="A252" t="s">
        <v>296</v>
      </c>
      <c r="B252">
        <v>15</v>
      </c>
      <c r="C252" t="s">
        <v>1</v>
      </c>
      <c r="D252" t="s">
        <v>2</v>
      </c>
      <c r="E252" t="s">
        <v>3</v>
      </c>
      <c r="F252" t="s">
        <v>4</v>
      </c>
      <c r="G252" t="s">
        <v>43</v>
      </c>
      <c r="H252" t="s">
        <v>33</v>
      </c>
      <c r="I252" t="s">
        <v>7</v>
      </c>
      <c r="J252" t="s">
        <v>38</v>
      </c>
      <c r="K252" t="s">
        <v>25</v>
      </c>
      <c r="L252">
        <v>2.5</v>
      </c>
      <c r="M252">
        <v>3.06</v>
      </c>
      <c r="N252">
        <v>2.34</v>
      </c>
      <c r="O252">
        <v>5.75</v>
      </c>
      <c r="P252">
        <v>5</v>
      </c>
      <c r="Q252">
        <v>2.8</v>
      </c>
      <c r="R252">
        <v>5.5</v>
      </c>
      <c r="S252">
        <v>2.8</v>
      </c>
      <c r="T252" t="s">
        <v>39</v>
      </c>
      <c r="U252">
        <v>7.2</v>
      </c>
      <c r="V252">
        <v>7</v>
      </c>
      <c r="W252">
        <v>4.3</v>
      </c>
      <c r="X252">
        <v>2.7</v>
      </c>
      <c r="Y252">
        <v>3.3</v>
      </c>
      <c r="Z252">
        <v>5.3</v>
      </c>
      <c r="AA252">
        <v>5.8</v>
      </c>
      <c r="AB252" t="s">
        <v>44</v>
      </c>
      <c r="AC252" t="s">
        <v>10</v>
      </c>
      <c r="AD252" t="s">
        <v>22</v>
      </c>
      <c r="AE252" t="str">
        <f t="shared" si="9"/>
        <v>15-19</v>
      </c>
      <c r="AF252" t="str">
        <f t="shared" si="10"/>
        <v>Low Usage</v>
      </c>
      <c r="AG252" t="str">
        <f t="shared" si="11"/>
        <v>Low Loneliness</v>
      </c>
    </row>
    <row r="253" spans="1:33" x14ac:dyDescent="0.3">
      <c r="A253" t="s">
        <v>297</v>
      </c>
      <c r="B253">
        <v>33</v>
      </c>
      <c r="C253" t="s">
        <v>32</v>
      </c>
      <c r="D253" t="s">
        <v>14</v>
      </c>
      <c r="E253" t="s">
        <v>59</v>
      </c>
      <c r="F253" t="s">
        <v>12</v>
      </c>
      <c r="G253" t="s">
        <v>5</v>
      </c>
      <c r="H253" t="s">
        <v>6</v>
      </c>
      <c r="I253" t="s">
        <v>7</v>
      </c>
      <c r="J253" t="s">
        <v>8</v>
      </c>
      <c r="K253" t="s">
        <v>53</v>
      </c>
      <c r="L253">
        <v>0.86</v>
      </c>
      <c r="M253">
        <v>5.19</v>
      </c>
      <c r="N253">
        <v>2.66</v>
      </c>
      <c r="O253">
        <v>5.77</v>
      </c>
      <c r="P253">
        <v>3</v>
      </c>
      <c r="Q253">
        <v>5</v>
      </c>
      <c r="R253">
        <v>3.4</v>
      </c>
      <c r="S253">
        <v>5.2</v>
      </c>
      <c r="T253" t="s">
        <v>10</v>
      </c>
      <c r="U253">
        <v>5.6</v>
      </c>
      <c r="V253">
        <v>5.8</v>
      </c>
      <c r="W253">
        <v>3.2</v>
      </c>
      <c r="X253">
        <v>4.5</v>
      </c>
      <c r="Y253">
        <v>4</v>
      </c>
      <c r="Z253">
        <v>5.7</v>
      </c>
      <c r="AA253">
        <v>5.6</v>
      </c>
      <c r="AB253" t="s">
        <v>11</v>
      </c>
      <c r="AC253" t="s">
        <v>10</v>
      </c>
      <c r="AD253" t="s">
        <v>12</v>
      </c>
      <c r="AE253" t="str">
        <f t="shared" si="9"/>
        <v>25-34</v>
      </c>
      <c r="AF253" t="str">
        <f t="shared" si="10"/>
        <v>Very Low Usage</v>
      </c>
      <c r="AG253" t="str">
        <f t="shared" si="11"/>
        <v>Moderate Loneliness</v>
      </c>
    </row>
    <row r="254" spans="1:33" x14ac:dyDescent="0.3">
      <c r="A254" t="s">
        <v>298</v>
      </c>
      <c r="B254">
        <v>24</v>
      </c>
      <c r="C254" t="s">
        <v>27</v>
      </c>
      <c r="D254" t="s">
        <v>2</v>
      </c>
      <c r="E254" t="s">
        <v>59</v>
      </c>
      <c r="F254" t="s">
        <v>45</v>
      </c>
      <c r="G254" t="s">
        <v>17</v>
      </c>
      <c r="H254" t="s">
        <v>28</v>
      </c>
      <c r="I254" t="s">
        <v>19</v>
      </c>
      <c r="J254" t="s">
        <v>20</v>
      </c>
      <c r="K254" t="s">
        <v>30</v>
      </c>
      <c r="L254">
        <v>1.88</v>
      </c>
      <c r="M254">
        <v>2.4</v>
      </c>
      <c r="N254">
        <v>2.86</v>
      </c>
      <c r="O254">
        <v>4.72</v>
      </c>
      <c r="P254">
        <v>3</v>
      </c>
      <c r="Q254">
        <v>6.7</v>
      </c>
      <c r="R254">
        <v>5.3</v>
      </c>
      <c r="S254">
        <v>3.8</v>
      </c>
      <c r="T254" t="s">
        <v>10</v>
      </c>
      <c r="U254">
        <v>5.9</v>
      </c>
      <c r="V254">
        <v>5.2</v>
      </c>
      <c r="W254">
        <v>1.3</v>
      </c>
      <c r="X254">
        <v>4.5</v>
      </c>
      <c r="Y254">
        <v>7.4</v>
      </c>
      <c r="Z254">
        <v>5.5</v>
      </c>
      <c r="AA254">
        <v>1.2</v>
      </c>
      <c r="AB254" t="s">
        <v>21</v>
      </c>
      <c r="AC254" t="s">
        <v>10</v>
      </c>
      <c r="AD254" t="s">
        <v>22</v>
      </c>
      <c r="AE254" t="str">
        <f t="shared" si="9"/>
        <v>20-24</v>
      </c>
      <c r="AF254" t="str">
        <f t="shared" si="10"/>
        <v>Low Usage</v>
      </c>
      <c r="AG254" t="str">
        <f t="shared" si="11"/>
        <v>High Loneliness</v>
      </c>
    </row>
    <row r="255" spans="1:33" x14ac:dyDescent="0.3">
      <c r="A255" t="s">
        <v>299</v>
      </c>
      <c r="B255">
        <v>26</v>
      </c>
      <c r="C255" t="s">
        <v>1</v>
      </c>
      <c r="D255" t="s">
        <v>14</v>
      </c>
      <c r="E255" t="s">
        <v>15</v>
      </c>
      <c r="F255" t="s">
        <v>12</v>
      </c>
      <c r="G255" t="s">
        <v>17</v>
      </c>
      <c r="H255" t="s">
        <v>28</v>
      </c>
      <c r="I255" t="s">
        <v>7</v>
      </c>
      <c r="J255" t="s">
        <v>20</v>
      </c>
      <c r="K255" t="s">
        <v>9</v>
      </c>
      <c r="L255">
        <v>2.4700000000000002</v>
      </c>
      <c r="M255">
        <v>3.26</v>
      </c>
      <c r="N255">
        <v>3.17</v>
      </c>
      <c r="O255">
        <v>6.87</v>
      </c>
      <c r="P255">
        <v>2</v>
      </c>
      <c r="Q255">
        <v>4.7</v>
      </c>
      <c r="R255">
        <v>5.3</v>
      </c>
      <c r="S255">
        <v>6.5</v>
      </c>
      <c r="T255" t="s">
        <v>39</v>
      </c>
      <c r="U255">
        <v>7.9</v>
      </c>
      <c r="V255">
        <v>5.9</v>
      </c>
      <c r="W255">
        <v>5.0999999999999996</v>
      </c>
      <c r="X255">
        <v>5.6</v>
      </c>
      <c r="Y255">
        <v>3.1</v>
      </c>
      <c r="Z255">
        <v>5.4</v>
      </c>
      <c r="AA255">
        <v>6.7</v>
      </c>
      <c r="AB255" t="s">
        <v>21</v>
      </c>
      <c r="AC255" t="s">
        <v>10</v>
      </c>
      <c r="AD255" t="s">
        <v>22</v>
      </c>
      <c r="AE255" t="str">
        <f t="shared" si="9"/>
        <v>25-34</v>
      </c>
      <c r="AF255" t="str">
        <f t="shared" si="10"/>
        <v>Low Usage</v>
      </c>
      <c r="AG255" t="str">
        <f t="shared" si="11"/>
        <v>Moderate Loneliness</v>
      </c>
    </row>
    <row r="256" spans="1:33" x14ac:dyDescent="0.3">
      <c r="A256" t="s">
        <v>300</v>
      </c>
      <c r="B256">
        <v>38</v>
      </c>
      <c r="C256" t="s">
        <v>32</v>
      </c>
      <c r="D256" t="s">
        <v>47</v>
      </c>
      <c r="E256" t="s">
        <v>59</v>
      </c>
      <c r="F256" t="s">
        <v>12</v>
      </c>
      <c r="G256" t="s">
        <v>66</v>
      </c>
      <c r="H256" t="s">
        <v>33</v>
      </c>
      <c r="I256" t="s">
        <v>29</v>
      </c>
      <c r="J256" t="s">
        <v>8</v>
      </c>
      <c r="K256" t="s">
        <v>53</v>
      </c>
      <c r="L256">
        <v>1.72</v>
      </c>
      <c r="M256">
        <v>3.49</v>
      </c>
      <c r="N256">
        <v>3.34</v>
      </c>
      <c r="O256">
        <v>8.15</v>
      </c>
      <c r="P256">
        <v>5</v>
      </c>
      <c r="Q256">
        <v>6.4</v>
      </c>
      <c r="R256">
        <v>5.0999999999999996</v>
      </c>
      <c r="S256">
        <v>2.6</v>
      </c>
      <c r="T256" t="s">
        <v>10</v>
      </c>
      <c r="U256">
        <v>6.5</v>
      </c>
      <c r="V256">
        <v>5.9</v>
      </c>
      <c r="W256">
        <v>2.9</v>
      </c>
      <c r="X256">
        <v>5</v>
      </c>
      <c r="Y256">
        <v>4.3</v>
      </c>
      <c r="Z256">
        <v>6.7</v>
      </c>
      <c r="AA256">
        <v>4.9000000000000004</v>
      </c>
      <c r="AB256" t="s">
        <v>44</v>
      </c>
      <c r="AC256" t="s">
        <v>10</v>
      </c>
      <c r="AD256" t="s">
        <v>45</v>
      </c>
      <c r="AE256" t="str">
        <f t="shared" si="9"/>
        <v>35-44</v>
      </c>
      <c r="AF256" t="str">
        <f t="shared" si="10"/>
        <v>Low Usage</v>
      </c>
      <c r="AG256" t="str">
        <f t="shared" si="11"/>
        <v>High Loneliness</v>
      </c>
    </row>
    <row r="257" spans="1:33" x14ac:dyDescent="0.3">
      <c r="A257" t="s">
        <v>301</v>
      </c>
      <c r="B257">
        <v>29</v>
      </c>
      <c r="C257" t="s">
        <v>32</v>
      </c>
      <c r="D257" t="s">
        <v>2</v>
      </c>
      <c r="E257" t="s">
        <v>37</v>
      </c>
      <c r="F257" t="s">
        <v>4</v>
      </c>
      <c r="G257" t="s">
        <v>17</v>
      </c>
      <c r="H257" t="s">
        <v>6</v>
      </c>
      <c r="I257" t="s">
        <v>19</v>
      </c>
      <c r="J257" t="s">
        <v>20</v>
      </c>
      <c r="K257" t="s">
        <v>53</v>
      </c>
      <c r="L257">
        <v>2.8</v>
      </c>
      <c r="M257">
        <v>1.84</v>
      </c>
      <c r="N257">
        <v>2.84</v>
      </c>
      <c r="O257">
        <v>7.62</v>
      </c>
      <c r="P257">
        <v>5</v>
      </c>
      <c r="Q257">
        <v>7.8</v>
      </c>
      <c r="R257">
        <v>8.1</v>
      </c>
      <c r="S257">
        <v>3.4</v>
      </c>
      <c r="T257" t="s">
        <v>39</v>
      </c>
      <c r="U257">
        <v>5.0999999999999996</v>
      </c>
      <c r="V257">
        <v>5.8</v>
      </c>
      <c r="W257">
        <v>3.2</v>
      </c>
      <c r="X257">
        <v>7.5</v>
      </c>
      <c r="Y257">
        <v>5.8</v>
      </c>
      <c r="Z257">
        <v>4.9000000000000004</v>
      </c>
      <c r="AA257">
        <v>5.7</v>
      </c>
      <c r="AB257" t="s">
        <v>44</v>
      </c>
      <c r="AC257" t="s">
        <v>10</v>
      </c>
      <c r="AD257" t="s">
        <v>45</v>
      </c>
      <c r="AE257" t="str">
        <f t="shared" si="9"/>
        <v>25-34</v>
      </c>
      <c r="AF257" t="str">
        <f t="shared" si="10"/>
        <v>Moderate Usage</v>
      </c>
      <c r="AG257" t="str">
        <f t="shared" si="11"/>
        <v>High Loneliness</v>
      </c>
    </row>
    <row r="258" spans="1:33" x14ac:dyDescent="0.3">
      <c r="A258" t="s">
        <v>302</v>
      </c>
      <c r="B258">
        <v>41</v>
      </c>
      <c r="C258" t="s">
        <v>32</v>
      </c>
      <c r="D258" t="s">
        <v>2</v>
      </c>
      <c r="E258" t="s">
        <v>37</v>
      </c>
      <c r="F258" t="s">
        <v>16</v>
      </c>
      <c r="G258" t="s">
        <v>17</v>
      </c>
      <c r="H258" t="s">
        <v>6</v>
      </c>
      <c r="I258" t="s">
        <v>29</v>
      </c>
      <c r="J258" t="s">
        <v>48</v>
      </c>
      <c r="K258" t="s">
        <v>25</v>
      </c>
      <c r="L258">
        <v>0.73</v>
      </c>
      <c r="M258">
        <v>6.17</v>
      </c>
      <c r="N258">
        <v>1.24</v>
      </c>
      <c r="O258">
        <v>3.9</v>
      </c>
      <c r="P258">
        <v>6</v>
      </c>
      <c r="Q258">
        <v>1.6</v>
      </c>
      <c r="R258">
        <v>2.2000000000000002</v>
      </c>
      <c r="S258">
        <v>6.3</v>
      </c>
      <c r="T258" t="s">
        <v>10</v>
      </c>
      <c r="U258">
        <v>7.6</v>
      </c>
      <c r="V258">
        <v>7.8</v>
      </c>
      <c r="W258">
        <v>4.3</v>
      </c>
      <c r="X258">
        <v>3.4</v>
      </c>
      <c r="Y258">
        <v>2.1</v>
      </c>
      <c r="Z258">
        <v>2.8</v>
      </c>
      <c r="AA258">
        <v>5.7</v>
      </c>
      <c r="AB258" t="s">
        <v>11</v>
      </c>
      <c r="AC258" t="s">
        <v>10</v>
      </c>
      <c r="AD258" t="s">
        <v>12</v>
      </c>
      <c r="AE258" t="str">
        <f t="shared" si="9"/>
        <v>35-44</v>
      </c>
      <c r="AF258" t="str">
        <f t="shared" si="10"/>
        <v>Very Low Usage</v>
      </c>
      <c r="AG258" t="str">
        <f t="shared" si="11"/>
        <v>Low Loneliness</v>
      </c>
    </row>
    <row r="259" spans="1:33" x14ac:dyDescent="0.3">
      <c r="A259" t="s">
        <v>303</v>
      </c>
      <c r="B259">
        <v>36</v>
      </c>
      <c r="C259" t="s">
        <v>1</v>
      </c>
      <c r="D259" t="s">
        <v>14</v>
      </c>
      <c r="E259" t="s">
        <v>37</v>
      </c>
      <c r="F259" t="s">
        <v>12</v>
      </c>
      <c r="G259" t="s">
        <v>17</v>
      </c>
      <c r="H259" t="s">
        <v>18</v>
      </c>
      <c r="I259" t="s">
        <v>19</v>
      </c>
      <c r="J259" t="s">
        <v>48</v>
      </c>
      <c r="K259" t="s">
        <v>1079</v>
      </c>
      <c r="L259">
        <v>0</v>
      </c>
      <c r="M259">
        <v>5.72</v>
      </c>
      <c r="N259">
        <v>1.93</v>
      </c>
      <c r="O259">
        <v>3.98</v>
      </c>
      <c r="P259">
        <v>6</v>
      </c>
      <c r="Q259">
        <v>4.4000000000000004</v>
      </c>
      <c r="R259">
        <v>2.9</v>
      </c>
      <c r="S259">
        <v>7.8</v>
      </c>
      <c r="T259" t="s">
        <v>10</v>
      </c>
      <c r="U259">
        <v>7.2</v>
      </c>
      <c r="V259">
        <v>7.2</v>
      </c>
      <c r="W259">
        <v>4.0999999999999996</v>
      </c>
      <c r="X259">
        <v>2.9</v>
      </c>
      <c r="Y259">
        <v>1</v>
      </c>
      <c r="Z259">
        <v>1</v>
      </c>
      <c r="AA259">
        <v>7.1</v>
      </c>
      <c r="AB259" t="s">
        <v>21</v>
      </c>
      <c r="AC259" t="s">
        <v>10</v>
      </c>
      <c r="AD259" t="s">
        <v>12</v>
      </c>
      <c r="AE259" t="str">
        <f t="shared" ref="AE259:AE322" si="12">IF(B259&lt;20,"15-19",IF(B259&lt;25,"20-24",IF(B259&lt;35,"25-34","35-44")))</f>
        <v>35-44</v>
      </c>
      <c r="AF259" t="str">
        <f t="shared" ref="AF259:AF322" si="13">IF(L259&lt;=1,"Very Low Usage",IF(L259&lt;=2.5,"Low Usage",IF(L259&lt;=4,"Moderate Usage","High Usage")))</f>
        <v>Very Low Usage</v>
      </c>
      <c r="AG259" t="str">
        <f t="shared" ref="AG259:AG322" si="14">IF(Q259&lt;=3,"Low Loneliness",IF(Q259&lt;=6,"Moderate Loneliness","High Loneliness"))</f>
        <v>Moderate Loneliness</v>
      </c>
    </row>
    <row r="260" spans="1:33" x14ac:dyDescent="0.3">
      <c r="A260" t="s">
        <v>304</v>
      </c>
      <c r="B260">
        <v>38</v>
      </c>
      <c r="C260" t="s">
        <v>32</v>
      </c>
      <c r="D260" t="s">
        <v>14</v>
      </c>
      <c r="E260" t="s">
        <v>37</v>
      </c>
      <c r="F260" t="s">
        <v>16</v>
      </c>
      <c r="G260" t="s">
        <v>17</v>
      </c>
      <c r="H260" t="s">
        <v>33</v>
      </c>
      <c r="I260" t="s">
        <v>29</v>
      </c>
      <c r="J260" t="s">
        <v>8</v>
      </c>
      <c r="K260" t="s">
        <v>1079</v>
      </c>
      <c r="L260">
        <v>0</v>
      </c>
      <c r="M260">
        <v>4.7300000000000004</v>
      </c>
      <c r="N260">
        <v>1.94</v>
      </c>
      <c r="O260">
        <v>3.87</v>
      </c>
      <c r="P260">
        <v>7</v>
      </c>
      <c r="Q260">
        <v>1</v>
      </c>
      <c r="R260">
        <v>1</v>
      </c>
      <c r="S260">
        <v>10</v>
      </c>
      <c r="T260" t="s">
        <v>39</v>
      </c>
      <c r="U260">
        <v>7.6</v>
      </c>
      <c r="V260">
        <v>8.9</v>
      </c>
      <c r="W260">
        <v>6.2</v>
      </c>
      <c r="X260">
        <v>2.6</v>
      </c>
      <c r="Y260">
        <v>1</v>
      </c>
      <c r="Z260">
        <v>2.2999999999999998</v>
      </c>
      <c r="AA260">
        <v>9.6</v>
      </c>
      <c r="AB260" t="s">
        <v>11</v>
      </c>
      <c r="AC260" t="s">
        <v>10</v>
      </c>
      <c r="AD260" t="s">
        <v>12</v>
      </c>
      <c r="AE260" t="str">
        <f t="shared" si="12"/>
        <v>35-44</v>
      </c>
      <c r="AF260" t="str">
        <f t="shared" si="13"/>
        <v>Very Low Usage</v>
      </c>
      <c r="AG260" t="str">
        <f t="shared" si="14"/>
        <v>Low Loneliness</v>
      </c>
    </row>
    <row r="261" spans="1:33" x14ac:dyDescent="0.3">
      <c r="A261" t="s">
        <v>305</v>
      </c>
      <c r="B261">
        <v>23</v>
      </c>
      <c r="C261" t="s">
        <v>27</v>
      </c>
      <c r="D261" t="s">
        <v>2</v>
      </c>
      <c r="E261" t="s">
        <v>3</v>
      </c>
      <c r="F261" t="s">
        <v>4</v>
      </c>
      <c r="G261" t="s">
        <v>17</v>
      </c>
      <c r="H261" t="s">
        <v>28</v>
      </c>
      <c r="I261" t="s">
        <v>35</v>
      </c>
      <c r="J261" t="s">
        <v>38</v>
      </c>
      <c r="K261" t="s">
        <v>53</v>
      </c>
      <c r="L261">
        <v>1.73</v>
      </c>
      <c r="M261">
        <v>4.88</v>
      </c>
      <c r="N261">
        <v>3.52</v>
      </c>
      <c r="O261">
        <v>8.25</v>
      </c>
      <c r="P261">
        <v>1</v>
      </c>
      <c r="Q261">
        <v>6.5</v>
      </c>
      <c r="R261">
        <v>4.8</v>
      </c>
      <c r="S261">
        <v>4.9000000000000004</v>
      </c>
      <c r="T261" t="s">
        <v>10</v>
      </c>
      <c r="U261">
        <v>10</v>
      </c>
      <c r="V261">
        <v>9.1</v>
      </c>
      <c r="W261">
        <v>1.8</v>
      </c>
      <c r="X261">
        <v>3.8</v>
      </c>
      <c r="Y261">
        <v>4.5</v>
      </c>
      <c r="Z261">
        <v>7.5</v>
      </c>
      <c r="AA261">
        <v>7.3</v>
      </c>
      <c r="AB261" t="s">
        <v>21</v>
      </c>
      <c r="AC261" t="s">
        <v>10</v>
      </c>
      <c r="AD261" t="s">
        <v>22</v>
      </c>
      <c r="AE261" t="str">
        <f t="shared" si="12"/>
        <v>20-24</v>
      </c>
      <c r="AF261" t="str">
        <f t="shared" si="13"/>
        <v>Low Usage</v>
      </c>
      <c r="AG261" t="str">
        <f t="shared" si="14"/>
        <v>High Loneliness</v>
      </c>
    </row>
    <row r="262" spans="1:33" x14ac:dyDescent="0.3">
      <c r="A262" t="s">
        <v>306</v>
      </c>
      <c r="B262">
        <v>34</v>
      </c>
      <c r="C262" t="s">
        <v>32</v>
      </c>
      <c r="D262" t="s">
        <v>14</v>
      </c>
      <c r="E262" t="s">
        <v>37</v>
      </c>
      <c r="F262" t="s">
        <v>12</v>
      </c>
      <c r="G262" t="s">
        <v>43</v>
      </c>
      <c r="H262" t="s">
        <v>6</v>
      </c>
      <c r="I262" t="s">
        <v>29</v>
      </c>
      <c r="J262" t="s">
        <v>8</v>
      </c>
      <c r="K262" t="s">
        <v>1079</v>
      </c>
      <c r="L262">
        <v>2.38</v>
      </c>
      <c r="M262">
        <v>4.72</v>
      </c>
      <c r="N262">
        <v>2.0099999999999998</v>
      </c>
      <c r="O262">
        <v>5.77</v>
      </c>
      <c r="P262">
        <v>1</v>
      </c>
      <c r="Q262">
        <v>6.8</v>
      </c>
      <c r="R262">
        <v>4.7</v>
      </c>
      <c r="S262">
        <v>4.3</v>
      </c>
      <c r="T262" t="s">
        <v>10</v>
      </c>
      <c r="U262">
        <v>7.2</v>
      </c>
      <c r="V262">
        <v>6.8</v>
      </c>
      <c r="W262">
        <v>3.3</v>
      </c>
      <c r="X262">
        <v>4.0999999999999996</v>
      </c>
      <c r="Y262">
        <v>5.8</v>
      </c>
      <c r="Z262">
        <v>4.9000000000000004</v>
      </c>
      <c r="AA262">
        <v>5.5</v>
      </c>
      <c r="AB262" t="s">
        <v>44</v>
      </c>
      <c r="AC262" t="s">
        <v>39</v>
      </c>
      <c r="AD262" t="s">
        <v>12</v>
      </c>
      <c r="AE262" t="str">
        <f t="shared" si="12"/>
        <v>25-34</v>
      </c>
      <c r="AF262" t="str">
        <f t="shared" si="13"/>
        <v>Low Usage</v>
      </c>
      <c r="AG262" t="str">
        <f t="shared" si="14"/>
        <v>High Loneliness</v>
      </c>
    </row>
    <row r="263" spans="1:33" x14ac:dyDescent="0.3">
      <c r="A263" t="s">
        <v>307</v>
      </c>
      <c r="B263">
        <v>31</v>
      </c>
      <c r="C263" t="s">
        <v>32</v>
      </c>
      <c r="D263" t="s">
        <v>14</v>
      </c>
      <c r="E263" t="s">
        <v>59</v>
      </c>
      <c r="F263" t="s">
        <v>12</v>
      </c>
      <c r="G263" t="s">
        <v>17</v>
      </c>
      <c r="H263" t="s">
        <v>6</v>
      </c>
      <c r="I263" t="s">
        <v>29</v>
      </c>
      <c r="J263" t="s">
        <v>8</v>
      </c>
      <c r="K263" t="s">
        <v>53</v>
      </c>
      <c r="L263">
        <v>0</v>
      </c>
      <c r="M263">
        <v>4.3099999999999996</v>
      </c>
      <c r="N263">
        <v>0.34</v>
      </c>
      <c r="O263">
        <v>2.76</v>
      </c>
      <c r="P263">
        <v>7</v>
      </c>
      <c r="Q263">
        <v>1.6</v>
      </c>
      <c r="R263">
        <v>1.1000000000000001</v>
      </c>
      <c r="S263">
        <v>7.8</v>
      </c>
      <c r="T263" t="s">
        <v>10</v>
      </c>
      <c r="U263">
        <v>7.7</v>
      </c>
      <c r="V263">
        <v>8.6</v>
      </c>
      <c r="W263">
        <v>8.6</v>
      </c>
      <c r="X263">
        <v>2.5</v>
      </c>
      <c r="Y263">
        <v>1</v>
      </c>
      <c r="Z263">
        <v>2.5</v>
      </c>
      <c r="AA263">
        <v>7.7</v>
      </c>
      <c r="AB263" t="s">
        <v>21</v>
      </c>
      <c r="AC263" t="s">
        <v>10</v>
      </c>
      <c r="AD263" t="s">
        <v>12</v>
      </c>
      <c r="AE263" t="str">
        <f t="shared" si="12"/>
        <v>25-34</v>
      </c>
      <c r="AF263" t="str">
        <f t="shared" si="13"/>
        <v>Very Low Usage</v>
      </c>
      <c r="AG263" t="str">
        <f t="shared" si="14"/>
        <v>Low Loneliness</v>
      </c>
    </row>
    <row r="264" spans="1:33" x14ac:dyDescent="0.3">
      <c r="A264" t="s">
        <v>308</v>
      </c>
      <c r="B264">
        <v>44</v>
      </c>
      <c r="C264" t="s">
        <v>27</v>
      </c>
      <c r="D264" t="s">
        <v>14</v>
      </c>
      <c r="E264" t="s">
        <v>3</v>
      </c>
      <c r="F264" t="s">
        <v>4</v>
      </c>
      <c r="G264" t="s">
        <v>5</v>
      </c>
      <c r="H264" t="s">
        <v>28</v>
      </c>
      <c r="I264" t="s">
        <v>19</v>
      </c>
      <c r="J264" t="s">
        <v>8</v>
      </c>
      <c r="K264" t="s">
        <v>1079</v>
      </c>
      <c r="L264">
        <v>5.0599999999999996</v>
      </c>
      <c r="M264">
        <v>1.27</v>
      </c>
      <c r="N264">
        <v>3.23</v>
      </c>
      <c r="O264">
        <v>9.14</v>
      </c>
      <c r="P264">
        <v>2</v>
      </c>
      <c r="Q264">
        <v>8</v>
      </c>
      <c r="R264">
        <v>4.8</v>
      </c>
      <c r="S264">
        <v>2.7</v>
      </c>
      <c r="T264" t="s">
        <v>10</v>
      </c>
      <c r="U264">
        <v>6.8</v>
      </c>
      <c r="V264">
        <v>3.3</v>
      </c>
      <c r="W264">
        <v>0.5</v>
      </c>
      <c r="X264">
        <v>5.8</v>
      </c>
      <c r="Y264">
        <v>6.9</v>
      </c>
      <c r="Z264">
        <v>8.6</v>
      </c>
      <c r="AA264">
        <v>4.9000000000000004</v>
      </c>
      <c r="AB264" t="s">
        <v>44</v>
      </c>
      <c r="AC264" t="s">
        <v>10</v>
      </c>
      <c r="AD264" t="s">
        <v>45</v>
      </c>
      <c r="AE264" t="str">
        <f t="shared" si="12"/>
        <v>35-44</v>
      </c>
      <c r="AF264" t="str">
        <f t="shared" si="13"/>
        <v>High Usage</v>
      </c>
      <c r="AG264" t="str">
        <f t="shared" si="14"/>
        <v>High Loneliness</v>
      </c>
    </row>
    <row r="265" spans="1:33" x14ac:dyDescent="0.3">
      <c r="A265" t="s">
        <v>309</v>
      </c>
      <c r="B265">
        <v>31</v>
      </c>
      <c r="C265" t="s">
        <v>32</v>
      </c>
      <c r="D265" t="s">
        <v>41</v>
      </c>
      <c r="E265" t="s">
        <v>15</v>
      </c>
      <c r="F265" t="s">
        <v>4</v>
      </c>
      <c r="G265" t="s">
        <v>17</v>
      </c>
      <c r="H265" t="s">
        <v>28</v>
      </c>
      <c r="I265" t="s">
        <v>29</v>
      </c>
      <c r="J265" t="s">
        <v>8</v>
      </c>
      <c r="K265" t="s">
        <v>25</v>
      </c>
      <c r="L265">
        <v>1.36</v>
      </c>
      <c r="M265">
        <v>4.29</v>
      </c>
      <c r="N265">
        <v>1.08</v>
      </c>
      <c r="O265">
        <v>5.18</v>
      </c>
      <c r="P265">
        <v>3</v>
      </c>
      <c r="Q265">
        <v>3.2</v>
      </c>
      <c r="R265">
        <v>1.6</v>
      </c>
      <c r="S265">
        <v>7.6</v>
      </c>
      <c r="T265" t="s">
        <v>10</v>
      </c>
      <c r="U265">
        <v>7.3</v>
      </c>
      <c r="V265">
        <v>6.3</v>
      </c>
      <c r="W265">
        <v>7.1</v>
      </c>
      <c r="X265">
        <v>1.9</v>
      </c>
      <c r="Y265">
        <v>2.5</v>
      </c>
      <c r="Z265">
        <v>3.9</v>
      </c>
      <c r="AA265">
        <v>7.2</v>
      </c>
      <c r="AB265" t="s">
        <v>21</v>
      </c>
      <c r="AC265" t="s">
        <v>10</v>
      </c>
      <c r="AD265" t="s">
        <v>12</v>
      </c>
      <c r="AE265" t="str">
        <f t="shared" si="12"/>
        <v>25-34</v>
      </c>
      <c r="AF265" t="str">
        <f t="shared" si="13"/>
        <v>Low Usage</v>
      </c>
      <c r="AG265" t="str">
        <f t="shared" si="14"/>
        <v>Moderate Loneliness</v>
      </c>
    </row>
    <row r="266" spans="1:33" x14ac:dyDescent="0.3">
      <c r="A266" t="s">
        <v>310</v>
      </c>
      <c r="B266">
        <v>40</v>
      </c>
      <c r="C266" t="s">
        <v>1</v>
      </c>
      <c r="D266" t="s">
        <v>47</v>
      </c>
      <c r="E266" t="s">
        <v>59</v>
      </c>
      <c r="F266" t="s">
        <v>45</v>
      </c>
      <c r="G266" t="s">
        <v>17</v>
      </c>
      <c r="H266" t="s">
        <v>28</v>
      </c>
      <c r="I266" t="s">
        <v>29</v>
      </c>
      <c r="J266" t="s">
        <v>8</v>
      </c>
      <c r="K266" t="s">
        <v>53</v>
      </c>
      <c r="L266">
        <v>0</v>
      </c>
      <c r="M266">
        <v>4.9000000000000004</v>
      </c>
      <c r="N266">
        <v>0</v>
      </c>
      <c r="O266">
        <v>1.68</v>
      </c>
      <c r="P266">
        <v>5</v>
      </c>
      <c r="Q266">
        <v>2.2999999999999998</v>
      </c>
      <c r="R266">
        <v>1</v>
      </c>
      <c r="S266">
        <v>10</v>
      </c>
      <c r="T266" t="s">
        <v>39</v>
      </c>
      <c r="U266">
        <v>8</v>
      </c>
      <c r="V266">
        <v>10</v>
      </c>
      <c r="W266">
        <v>9.6999999999999993</v>
      </c>
      <c r="X266">
        <v>1</v>
      </c>
      <c r="Y266">
        <v>1</v>
      </c>
      <c r="Z266">
        <v>1</v>
      </c>
      <c r="AA266">
        <v>10</v>
      </c>
      <c r="AB266" t="s">
        <v>11</v>
      </c>
      <c r="AC266" t="s">
        <v>10</v>
      </c>
      <c r="AD266" t="s">
        <v>12</v>
      </c>
      <c r="AE266" t="str">
        <f t="shared" si="12"/>
        <v>35-44</v>
      </c>
      <c r="AF266" t="str">
        <f t="shared" si="13"/>
        <v>Very Low Usage</v>
      </c>
      <c r="AG266" t="str">
        <f t="shared" si="14"/>
        <v>Low Loneliness</v>
      </c>
    </row>
    <row r="267" spans="1:33" x14ac:dyDescent="0.3">
      <c r="A267" t="s">
        <v>311</v>
      </c>
      <c r="B267">
        <v>34</v>
      </c>
      <c r="C267" t="s">
        <v>32</v>
      </c>
      <c r="D267" t="s">
        <v>14</v>
      </c>
      <c r="E267" t="s">
        <v>59</v>
      </c>
      <c r="F267" t="s">
        <v>16</v>
      </c>
      <c r="G267" t="s">
        <v>43</v>
      </c>
      <c r="H267" t="s">
        <v>28</v>
      </c>
      <c r="I267" t="s">
        <v>29</v>
      </c>
      <c r="J267" t="s">
        <v>38</v>
      </c>
      <c r="K267" t="s">
        <v>1079</v>
      </c>
      <c r="L267">
        <v>3.55</v>
      </c>
      <c r="M267">
        <v>1.58</v>
      </c>
      <c r="N267">
        <v>4.78</v>
      </c>
      <c r="O267">
        <v>10.29</v>
      </c>
      <c r="P267">
        <v>3</v>
      </c>
      <c r="Q267">
        <v>6.9</v>
      </c>
      <c r="R267">
        <v>8</v>
      </c>
      <c r="S267">
        <v>1.7</v>
      </c>
      <c r="T267" t="s">
        <v>39</v>
      </c>
      <c r="U267">
        <v>6.2</v>
      </c>
      <c r="V267">
        <v>3</v>
      </c>
      <c r="W267">
        <v>1</v>
      </c>
      <c r="X267">
        <v>8.9</v>
      </c>
      <c r="Y267">
        <v>8.1999999999999993</v>
      </c>
      <c r="Z267">
        <v>9.4</v>
      </c>
      <c r="AA267">
        <v>4.0999999999999996</v>
      </c>
      <c r="AB267" t="s">
        <v>44</v>
      </c>
      <c r="AC267" t="s">
        <v>10</v>
      </c>
      <c r="AD267" t="s">
        <v>45</v>
      </c>
      <c r="AE267" t="str">
        <f t="shared" si="12"/>
        <v>25-34</v>
      </c>
      <c r="AF267" t="str">
        <f t="shared" si="13"/>
        <v>Moderate Usage</v>
      </c>
      <c r="AG267" t="str">
        <f t="shared" si="14"/>
        <v>High Loneliness</v>
      </c>
    </row>
    <row r="268" spans="1:33" x14ac:dyDescent="0.3">
      <c r="A268" t="s">
        <v>312</v>
      </c>
      <c r="B268">
        <v>26</v>
      </c>
      <c r="C268" t="s">
        <v>32</v>
      </c>
      <c r="D268" t="s">
        <v>14</v>
      </c>
      <c r="E268" t="s">
        <v>59</v>
      </c>
      <c r="F268" t="s">
        <v>45</v>
      </c>
      <c r="G268" t="s">
        <v>17</v>
      </c>
      <c r="H268" t="s">
        <v>33</v>
      </c>
      <c r="I268" t="s">
        <v>19</v>
      </c>
      <c r="J268" t="s">
        <v>8</v>
      </c>
      <c r="K268" t="s">
        <v>9</v>
      </c>
      <c r="L268">
        <v>0.35</v>
      </c>
      <c r="M268">
        <v>5.77</v>
      </c>
      <c r="N268">
        <v>7.0000000000000007E-2</v>
      </c>
      <c r="O268">
        <v>2.0499999999999998</v>
      </c>
      <c r="P268">
        <v>8</v>
      </c>
      <c r="Q268">
        <v>1</v>
      </c>
      <c r="R268">
        <v>1.3</v>
      </c>
      <c r="S268">
        <v>10</v>
      </c>
      <c r="T268" t="s">
        <v>10</v>
      </c>
      <c r="U268">
        <v>8.8000000000000007</v>
      </c>
      <c r="V268">
        <v>10</v>
      </c>
      <c r="W268">
        <v>6.9</v>
      </c>
      <c r="X268">
        <v>1</v>
      </c>
      <c r="Y268">
        <v>1</v>
      </c>
      <c r="Z268">
        <v>1.9</v>
      </c>
      <c r="AA268">
        <v>10</v>
      </c>
      <c r="AB268" t="s">
        <v>11</v>
      </c>
      <c r="AC268" t="s">
        <v>39</v>
      </c>
      <c r="AD268" t="s">
        <v>12</v>
      </c>
      <c r="AE268" t="str">
        <f t="shared" si="12"/>
        <v>25-34</v>
      </c>
      <c r="AF268" t="str">
        <f t="shared" si="13"/>
        <v>Very Low Usage</v>
      </c>
      <c r="AG268" t="str">
        <f t="shared" si="14"/>
        <v>Low Loneliness</v>
      </c>
    </row>
    <row r="269" spans="1:33" x14ac:dyDescent="0.3">
      <c r="A269" t="s">
        <v>313</v>
      </c>
      <c r="B269">
        <v>44</v>
      </c>
      <c r="C269" t="s">
        <v>1</v>
      </c>
      <c r="D269" t="s">
        <v>14</v>
      </c>
      <c r="E269" t="s">
        <v>37</v>
      </c>
      <c r="F269" t="s">
        <v>4</v>
      </c>
      <c r="G269" t="s">
        <v>43</v>
      </c>
      <c r="H269" t="s">
        <v>28</v>
      </c>
      <c r="I269" t="s">
        <v>19</v>
      </c>
      <c r="J269" t="s">
        <v>8</v>
      </c>
      <c r="K269" t="s">
        <v>30</v>
      </c>
      <c r="L269">
        <v>3.44</v>
      </c>
      <c r="M269">
        <v>3.44</v>
      </c>
      <c r="N269">
        <v>3.93</v>
      </c>
      <c r="O269">
        <v>9.1300000000000008</v>
      </c>
      <c r="P269">
        <v>0</v>
      </c>
      <c r="Q269">
        <v>5.2</v>
      </c>
      <c r="R269">
        <v>6</v>
      </c>
      <c r="S269">
        <v>2.5</v>
      </c>
      <c r="T269" t="s">
        <v>39</v>
      </c>
      <c r="U269">
        <v>7.2</v>
      </c>
      <c r="V269">
        <v>5.8</v>
      </c>
      <c r="W269">
        <v>0.9</v>
      </c>
      <c r="X269">
        <v>5.6</v>
      </c>
      <c r="Y269">
        <v>6.7</v>
      </c>
      <c r="Z269">
        <v>6.4</v>
      </c>
      <c r="AA269">
        <v>4.5999999999999996</v>
      </c>
      <c r="AB269" t="s">
        <v>44</v>
      </c>
      <c r="AC269" t="s">
        <v>39</v>
      </c>
      <c r="AD269" t="s">
        <v>45</v>
      </c>
      <c r="AE269" t="str">
        <f t="shared" si="12"/>
        <v>35-44</v>
      </c>
      <c r="AF269" t="str">
        <f t="shared" si="13"/>
        <v>Moderate Usage</v>
      </c>
      <c r="AG269" t="str">
        <f t="shared" si="14"/>
        <v>Moderate Loneliness</v>
      </c>
    </row>
    <row r="270" spans="1:33" x14ac:dyDescent="0.3">
      <c r="A270" t="s">
        <v>314</v>
      </c>
      <c r="B270">
        <v>21</v>
      </c>
      <c r="C270" t="s">
        <v>32</v>
      </c>
      <c r="D270" t="s">
        <v>47</v>
      </c>
      <c r="E270" t="s">
        <v>59</v>
      </c>
      <c r="F270" t="s">
        <v>45</v>
      </c>
      <c r="G270" t="s">
        <v>5</v>
      </c>
      <c r="H270" t="s">
        <v>28</v>
      </c>
      <c r="I270" t="s">
        <v>7</v>
      </c>
      <c r="J270" t="s">
        <v>8</v>
      </c>
      <c r="K270" t="s">
        <v>25</v>
      </c>
      <c r="L270">
        <v>1.45</v>
      </c>
      <c r="M270">
        <v>3.29</v>
      </c>
      <c r="N270">
        <v>2.91</v>
      </c>
      <c r="O270">
        <v>5.35</v>
      </c>
      <c r="P270">
        <v>3</v>
      </c>
      <c r="Q270">
        <v>6.7</v>
      </c>
      <c r="R270">
        <v>7.9</v>
      </c>
      <c r="S270">
        <v>5.8</v>
      </c>
      <c r="T270" t="s">
        <v>39</v>
      </c>
      <c r="U270">
        <v>7.8</v>
      </c>
      <c r="V270">
        <v>6.8</v>
      </c>
      <c r="W270">
        <v>1</v>
      </c>
      <c r="X270">
        <v>4.4000000000000004</v>
      </c>
      <c r="Y270">
        <v>6.3</v>
      </c>
      <c r="Z270">
        <v>6</v>
      </c>
      <c r="AA270">
        <v>7.7</v>
      </c>
      <c r="AB270" t="s">
        <v>44</v>
      </c>
      <c r="AC270" t="s">
        <v>10</v>
      </c>
      <c r="AD270" t="s">
        <v>22</v>
      </c>
      <c r="AE270" t="str">
        <f t="shared" si="12"/>
        <v>20-24</v>
      </c>
      <c r="AF270" t="str">
        <f t="shared" si="13"/>
        <v>Low Usage</v>
      </c>
      <c r="AG270" t="str">
        <f t="shared" si="14"/>
        <v>High Loneliness</v>
      </c>
    </row>
    <row r="271" spans="1:33" x14ac:dyDescent="0.3">
      <c r="A271" t="s">
        <v>315</v>
      </c>
      <c r="B271">
        <v>16</v>
      </c>
      <c r="C271" t="s">
        <v>27</v>
      </c>
      <c r="D271" t="s">
        <v>2</v>
      </c>
      <c r="E271" t="s">
        <v>15</v>
      </c>
      <c r="F271" t="s">
        <v>4</v>
      </c>
      <c r="G271" t="s">
        <v>17</v>
      </c>
      <c r="H271" t="s">
        <v>28</v>
      </c>
      <c r="I271" t="s">
        <v>24</v>
      </c>
      <c r="J271" t="s">
        <v>48</v>
      </c>
      <c r="K271" t="s">
        <v>1079</v>
      </c>
      <c r="L271">
        <v>2.67</v>
      </c>
      <c r="M271">
        <v>3.5</v>
      </c>
      <c r="N271">
        <v>2.8</v>
      </c>
      <c r="O271">
        <v>7.8</v>
      </c>
      <c r="P271">
        <v>4</v>
      </c>
      <c r="Q271">
        <v>5</v>
      </c>
      <c r="R271">
        <v>4.2</v>
      </c>
      <c r="S271">
        <v>4.7</v>
      </c>
      <c r="T271" t="s">
        <v>10</v>
      </c>
      <c r="U271">
        <v>7.8</v>
      </c>
      <c r="V271">
        <v>6.8</v>
      </c>
      <c r="W271">
        <v>3.9</v>
      </c>
      <c r="X271">
        <v>4.7</v>
      </c>
      <c r="Y271">
        <v>7.6</v>
      </c>
      <c r="Z271">
        <v>6.3</v>
      </c>
      <c r="AA271">
        <v>5.3</v>
      </c>
      <c r="AB271" t="s">
        <v>21</v>
      </c>
      <c r="AC271" t="s">
        <v>10</v>
      </c>
      <c r="AD271" t="s">
        <v>22</v>
      </c>
      <c r="AE271" t="str">
        <f t="shared" si="12"/>
        <v>15-19</v>
      </c>
      <c r="AF271" t="str">
        <f t="shared" si="13"/>
        <v>Moderate Usage</v>
      </c>
      <c r="AG271" t="str">
        <f t="shared" si="14"/>
        <v>Moderate Loneliness</v>
      </c>
    </row>
    <row r="272" spans="1:33" x14ac:dyDescent="0.3">
      <c r="A272" t="s">
        <v>316</v>
      </c>
      <c r="B272">
        <v>17</v>
      </c>
      <c r="C272" t="s">
        <v>27</v>
      </c>
      <c r="D272" t="s">
        <v>14</v>
      </c>
      <c r="E272" t="s">
        <v>3</v>
      </c>
      <c r="F272" t="s">
        <v>4</v>
      </c>
      <c r="G272" t="s">
        <v>66</v>
      </c>
      <c r="H272" t="s">
        <v>6</v>
      </c>
      <c r="I272" t="s">
        <v>19</v>
      </c>
      <c r="J272" t="s">
        <v>51</v>
      </c>
      <c r="K272" t="s">
        <v>25</v>
      </c>
      <c r="L272">
        <v>1.81</v>
      </c>
      <c r="M272">
        <v>4.09</v>
      </c>
      <c r="N272">
        <v>1.29</v>
      </c>
      <c r="O272">
        <v>5.66</v>
      </c>
      <c r="P272">
        <v>4</v>
      </c>
      <c r="Q272">
        <v>3.2</v>
      </c>
      <c r="R272">
        <v>1.9</v>
      </c>
      <c r="S272">
        <v>5.9</v>
      </c>
      <c r="T272" t="s">
        <v>39</v>
      </c>
      <c r="U272">
        <v>8.1</v>
      </c>
      <c r="V272">
        <v>7.2</v>
      </c>
      <c r="W272">
        <v>5.2</v>
      </c>
      <c r="X272">
        <v>3.3</v>
      </c>
      <c r="Y272">
        <v>1.7</v>
      </c>
      <c r="Z272">
        <v>3.4</v>
      </c>
      <c r="AA272">
        <v>7.3</v>
      </c>
      <c r="AB272" t="s">
        <v>44</v>
      </c>
      <c r="AC272" t="s">
        <v>10</v>
      </c>
      <c r="AD272" t="s">
        <v>12</v>
      </c>
      <c r="AE272" t="str">
        <f t="shared" si="12"/>
        <v>15-19</v>
      </c>
      <c r="AF272" t="str">
        <f t="shared" si="13"/>
        <v>Low Usage</v>
      </c>
      <c r="AG272" t="str">
        <f t="shared" si="14"/>
        <v>Moderate Loneliness</v>
      </c>
    </row>
    <row r="273" spans="1:33" x14ac:dyDescent="0.3">
      <c r="A273" t="s">
        <v>317</v>
      </c>
      <c r="B273">
        <v>31</v>
      </c>
      <c r="C273" t="s">
        <v>1</v>
      </c>
      <c r="D273" t="s">
        <v>14</v>
      </c>
      <c r="E273" t="s">
        <v>37</v>
      </c>
      <c r="F273" t="s">
        <v>12</v>
      </c>
      <c r="G273" t="s">
        <v>17</v>
      </c>
      <c r="H273" t="s">
        <v>33</v>
      </c>
      <c r="I273" t="s">
        <v>29</v>
      </c>
      <c r="J273" t="s">
        <v>8</v>
      </c>
      <c r="K273" t="s">
        <v>53</v>
      </c>
      <c r="L273">
        <v>3.45</v>
      </c>
      <c r="M273">
        <v>2.14</v>
      </c>
      <c r="N273">
        <v>2.97</v>
      </c>
      <c r="O273">
        <v>7.09</v>
      </c>
      <c r="P273">
        <v>5</v>
      </c>
      <c r="Q273">
        <v>7.9</v>
      </c>
      <c r="R273">
        <v>3.4</v>
      </c>
      <c r="S273">
        <v>6.7</v>
      </c>
      <c r="T273" t="s">
        <v>10</v>
      </c>
      <c r="U273">
        <v>7.5</v>
      </c>
      <c r="V273">
        <v>5.6</v>
      </c>
      <c r="W273">
        <v>2.5</v>
      </c>
      <c r="X273">
        <v>6.5</v>
      </c>
      <c r="Y273">
        <v>4</v>
      </c>
      <c r="Z273">
        <v>7.7</v>
      </c>
      <c r="AA273">
        <v>4.3</v>
      </c>
      <c r="AB273" t="s">
        <v>44</v>
      </c>
      <c r="AC273" t="s">
        <v>10</v>
      </c>
      <c r="AD273" t="s">
        <v>45</v>
      </c>
      <c r="AE273" t="str">
        <f t="shared" si="12"/>
        <v>25-34</v>
      </c>
      <c r="AF273" t="str">
        <f t="shared" si="13"/>
        <v>Moderate Usage</v>
      </c>
      <c r="AG273" t="str">
        <f t="shared" si="14"/>
        <v>High Loneliness</v>
      </c>
    </row>
    <row r="274" spans="1:33" x14ac:dyDescent="0.3">
      <c r="A274" t="s">
        <v>318</v>
      </c>
      <c r="B274">
        <v>19</v>
      </c>
      <c r="C274" t="s">
        <v>1</v>
      </c>
      <c r="D274" t="s">
        <v>14</v>
      </c>
      <c r="E274" t="s">
        <v>15</v>
      </c>
      <c r="F274" t="s">
        <v>12</v>
      </c>
      <c r="G274" t="s">
        <v>43</v>
      </c>
      <c r="H274" t="s">
        <v>18</v>
      </c>
      <c r="I274" t="s">
        <v>29</v>
      </c>
      <c r="J274" t="s">
        <v>8</v>
      </c>
      <c r="K274" t="s">
        <v>53</v>
      </c>
      <c r="L274">
        <v>2.54</v>
      </c>
      <c r="M274">
        <v>3.44</v>
      </c>
      <c r="N274">
        <v>2.68</v>
      </c>
      <c r="O274">
        <v>6.62</v>
      </c>
      <c r="P274">
        <v>2</v>
      </c>
      <c r="Q274">
        <v>6.3</v>
      </c>
      <c r="R274">
        <v>7.7</v>
      </c>
      <c r="S274">
        <v>4</v>
      </c>
      <c r="T274" t="s">
        <v>39</v>
      </c>
      <c r="U274">
        <v>7.3</v>
      </c>
      <c r="V274">
        <v>4.5999999999999996</v>
      </c>
      <c r="W274">
        <v>1</v>
      </c>
      <c r="X274">
        <v>5</v>
      </c>
      <c r="Y274">
        <v>8.1999999999999993</v>
      </c>
      <c r="Z274">
        <v>8.3000000000000007</v>
      </c>
      <c r="AA274">
        <v>4.4000000000000004</v>
      </c>
      <c r="AB274" t="s">
        <v>44</v>
      </c>
      <c r="AC274" t="s">
        <v>39</v>
      </c>
      <c r="AD274" t="s">
        <v>45</v>
      </c>
      <c r="AE274" t="str">
        <f t="shared" si="12"/>
        <v>15-19</v>
      </c>
      <c r="AF274" t="str">
        <f t="shared" si="13"/>
        <v>Moderate Usage</v>
      </c>
      <c r="AG274" t="str">
        <f t="shared" si="14"/>
        <v>High Loneliness</v>
      </c>
    </row>
    <row r="275" spans="1:33" x14ac:dyDescent="0.3">
      <c r="A275" t="s">
        <v>319</v>
      </c>
      <c r="B275">
        <v>31</v>
      </c>
      <c r="C275" t="s">
        <v>89</v>
      </c>
      <c r="D275" t="s">
        <v>2</v>
      </c>
      <c r="E275" t="s">
        <v>3</v>
      </c>
      <c r="F275" t="s">
        <v>16</v>
      </c>
      <c r="G275" t="s">
        <v>17</v>
      </c>
      <c r="H275" t="s">
        <v>28</v>
      </c>
      <c r="I275" t="s">
        <v>24</v>
      </c>
      <c r="J275" t="s">
        <v>8</v>
      </c>
      <c r="K275" t="s">
        <v>53</v>
      </c>
      <c r="L275">
        <v>0</v>
      </c>
      <c r="M275">
        <v>5.65</v>
      </c>
      <c r="N275">
        <v>1.49</v>
      </c>
      <c r="O275">
        <v>3.52</v>
      </c>
      <c r="P275">
        <v>3</v>
      </c>
      <c r="Q275">
        <v>2.6</v>
      </c>
      <c r="R275">
        <v>2.2000000000000002</v>
      </c>
      <c r="S275">
        <v>8</v>
      </c>
      <c r="T275" t="s">
        <v>10</v>
      </c>
      <c r="U275">
        <v>8.3000000000000007</v>
      </c>
      <c r="V275">
        <v>8</v>
      </c>
      <c r="W275">
        <v>4</v>
      </c>
      <c r="X275">
        <v>1.8</v>
      </c>
      <c r="Y275">
        <v>2.7</v>
      </c>
      <c r="Z275">
        <v>3.3</v>
      </c>
      <c r="AA275">
        <v>8.1999999999999993</v>
      </c>
      <c r="AB275" t="s">
        <v>11</v>
      </c>
      <c r="AC275" t="s">
        <v>10</v>
      </c>
      <c r="AD275" t="s">
        <v>12</v>
      </c>
      <c r="AE275" t="str">
        <f t="shared" si="12"/>
        <v>25-34</v>
      </c>
      <c r="AF275" t="str">
        <f t="shared" si="13"/>
        <v>Very Low Usage</v>
      </c>
      <c r="AG275" t="str">
        <f t="shared" si="14"/>
        <v>Low Loneliness</v>
      </c>
    </row>
    <row r="276" spans="1:33" x14ac:dyDescent="0.3">
      <c r="A276" t="s">
        <v>320</v>
      </c>
      <c r="B276">
        <v>38</v>
      </c>
      <c r="C276" t="s">
        <v>32</v>
      </c>
      <c r="D276" t="s">
        <v>47</v>
      </c>
      <c r="E276" t="s">
        <v>37</v>
      </c>
      <c r="F276" t="s">
        <v>4</v>
      </c>
      <c r="G276" t="s">
        <v>43</v>
      </c>
      <c r="H276" t="s">
        <v>6</v>
      </c>
      <c r="I276" t="s">
        <v>29</v>
      </c>
      <c r="J276" t="s">
        <v>8</v>
      </c>
      <c r="K276" t="s">
        <v>1079</v>
      </c>
      <c r="L276">
        <v>2.02</v>
      </c>
      <c r="M276">
        <v>2.31</v>
      </c>
      <c r="N276">
        <v>4.93</v>
      </c>
      <c r="O276">
        <v>8.35</v>
      </c>
      <c r="P276">
        <v>2</v>
      </c>
      <c r="Q276">
        <v>6.6</v>
      </c>
      <c r="R276">
        <v>7.5</v>
      </c>
      <c r="S276">
        <v>3.7</v>
      </c>
      <c r="T276" t="s">
        <v>39</v>
      </c>
      <c r="U276">
        <v>4.9000000000000004</v>
      </c>
      <c r="V276">
        <v>2.8</v>
      </c>
      <c r="W276">
        <v>4.2</v>
      </c>
      <c r="X276">
        <v>8.1999999999999993</v>
      </c>
      <c r="Y276">
        <v>6.1</v>
      </c>
      <c r="Z276">
        <v>6.7</v>
      </c>
      <c r="AA276">
        <v>5.4</v>
      </c>
      <c r="AB276" t="s">
        <v>44</v>
      </c>
      <c r="AC276" t="s">
        <v>10</v>
      </c>
      <c r="AD276" t="s">
        <v>45</v>
      </c>
      <c r="AE276" t="str">
        <f t="shared" si="12"/>
        <v>35-44</v>
      </c>
      <c r="AF276" t="str">
        <f t="shared" si="13"/>
        <v>Low Usage</v>
      </c>
      <c r="AG276" t="str">
        <f t="shared" si="14"/>
        <v>High Loneliness</v>
      </c>
    </row>
    <row r="277" spans="1:33" x14ac:dyDescent="0.3">
      <c r="A277" t="s">
        <v>321</v>
      </c>
      <c r="B277">
        <v>31</v>
      </c>
      <c r="C277" t="s">
        <v>1</v>
      </c>
      <c r="D277" t="s">
        <v>14</v>
      </c>
      <c r="E277" t="s">
        <v>15</v>
      </c>
      <c r="F277" t="s">
        <v>12</v>
      </c>
      <c r="G277" t="s">
        <v>17</v>
      </c>
      <c r="H277" t="s">
        <v>6</v>
      </c>
      <c r="I277" t="s">
        <v>29</v>
      </c>
      <c r="J277" t="s">
        <v>8</v>
      </c>
      <c r="K277" t="s">
        <v>25</v>
      </c>
      <c r="L277">
        <v>2.96</v>
      </c>
      <c r="M277">
        <v>1.87</v>
      </c>
      <c r="N277">
        <v>3.95</v>
      </c>
      <c r="O277">
        <v>8.69</v>
      </c>
      <c r="P277">
        <v>5</v>
      </c>
      <c r="Q277">
        <v>6.6</v>
      </c>
      <c r="R277">
        <v>6.9</v>
      </c>
      <c r="S277">
        <v>3.4</v>
      </c>
      <c r="T277" t="s">
        <v>39</v>
      </c>
      <c r="U277">
        <v>6.8</v>
      </c>
      <c r="V277">
        <v>2.2000000000000002</v>
      </c>
      <c r="W277">
        <v>4.2</v>
      </c>
      <c r="X277">
        <v>7.6</v>
      </c>
      <c r="Y277">
        <v>5.4</v>
      </c>
      <c r="Z277">
        <v>5.6</v>
      </c>
      <c r="AA277">
        <v>4.8</v>
      </c>
      <c r="AB277" t="s">
        <v>21</v>
      </c>
      <c r="AC277" t="s">
        <v>39</v>
      </c>
      <c r="AD277" t="s">
        <v>45</v>
      </c>
      <c r="AE277" t="str">
        <f t="shared" si="12"/>
        <v>25-34</v>
      </c>
      <c r="AF277" t="str">
        <f t="shared" si="13"/>
        <v>Moderate Usage</v>
      </c>
      <c r="AG277" t="str">
        <f t="shared" si="14"/>
        <v>High Loneliness</v>
      </c>
    </row>
    <row r="278" spans="1:33" x14ac:dyDescent="0.3">
      <c r="A278" t="s">
        <v>322</v>
      </c>
      <c r="B278">
        <v>41</v>
      </c>
      <c r="C278" t="s">
        <v>27</v>
      </c>
      <c r="D278" t="s">
        <v>14</v>
      </c>
      <c r="E278" t="s">
        <v>3</v>
      </c>
      <c r="F278" t="s">
        <v>16</v>
      </c>
      <c r="G278" t="s">
        <v>5</v>
      </c>
      <c r="H278" t="s">
        <v>28</v>
      </c>
      <c r="I278" t="s">
        <v>7</v>
      </c>
      <c r="J278" t="s">
        <v>20</v>
      </c>
      <c r="K278" t="s">
        <v>1079</v>
      </c>
      <c r="L278">
        <v>2.4700000000000002</v>
      </c>
      <c r="M278">
        <v>5.23</v>
      </c>
      <c r="N278">
        <v>3.08</v>
      </c>
      <c r="O278">
        <v>9.17</v>
      </c>
      <c r="P278">
        <v>3</v>
      </c>
      <c r="Q278">
        <v>9</v>
      </c>
      <c r="R278">
        <v>5.2</v>
      </c>
      <c r="S278">
        <v>5.2</v>
      </c>
      <c r="T278" t="s">
        <v>10</v>
      </c>
      <c r="U278">
        <v>8</v>
      </c>
      <c r="V278">
        <v>6.9</v>
      </c>
      <c r="W278">
        <v>4.5999999999999996</v>
      </c>
      <c r="X278">
        <v>4.3</v>
      </c>
      <c r="Y278">
        <v>4.3</v>
      </c>
      <c r="Z278">
        <v>4.7</v>
      </c>
      <c r="AA278">
        <v>4.8</v>
      </c>
      <c r="AB278" t="s">
        <v>21</v>
      </c>
      <c r="AC278" t="s">
        <v>10</v>
      </c>
      <c r="AD278" t="s">
        <v>45</v>
      </c>
      <c r="AE278" t="str">
        <f t="shared" si="12"/>
        <v>35-44</v>
      </c>
      <c r="AF278" t="str">
        <f t="shared" si="13"/>
        <v>Low Usage</v>
      </c>
      <c r="AG278" t="str">
        <f t="shared" si="14"/>
        <v>High Loneliness</v>
      </c>
    </row>
    <row r="279" spans="1:33" x14ac:dyDescent="0.3">
      <c r="A279" t="s">
        <v>323</v>
      </c>
      <c r="B279">
        <v>31</v>
      </c>
      <c r="C279" t="s">
        <v>32</v>
      </c>
      <c r="D279" t="s">
        <v>14</v>
      </c>
      <c r="E279" t="s">
        <v>37</v>
      </c>
      <c r="F279" t="s">
        <v>4</v>
      </c>
      <c r="G279" t="s">
        <v>43</v>
      </c>
      <c r="H279" t="s">
        <v>28</v>
      </c>
      <c r="I279" t="s">
        <v>19</v>
      </c>
      <c r="J279" t="s">
        <v>8</v>
      </c>
      <c r="K279" t="s">
        <v>30</v>
      </c>
      <c r="L279">
        <v>0.39</v>
      </c>
      <c r="M279">
        <v>4.84</v>
      </c>
      <c r="N279">
        <v>0.64</v>
      </c>
      <c r="O279">
        <v>2.0099999999999998</v>
      </c>
      <c r="P279">
        <v>3</v>
      </c>
      <c r="Q279">
        <v>1.7</v>
      </c>
      <c r="R279">
        <v>3.6</v>
      </c>
      <c r="S279">
        <v>2.9</v>
      </c>
      <c r="T279" t="s">
        <v>10</v>
      </c>
      <c r="U279">
        <v>6.7</v>
      </c>
      <c r="V279">
        <v>7.3</v>
      </c>
      <c r="W279">
        <v>4.0999999999999996</v>
      </c>
      <c r="X279">
        <v>3.4</v>
      </c>
      <c r="Y279">
        <v>2.6</v>
      </c>
      <c r="Z279">
        <v>2.7</v>
      </c>
      <c r="AA279">
        <v>7.3</v>
      </c>
      <c r="AB279" t="s">
        <v>11</v>
      </c>
      <c r="AC279" t="s">
        <v>39</v>
      </c>
      <c r="AD279" t="s">
        <v>12</v>
      </c>
      <c r="AE279" t="str">
        <f t="shared" si="12"/>
        <v>25-34</v>
      </c>
      <c r="AF279" t="str">
        <f t="shared" si="13"/>
        <v>Very Low Usage</v>
      </c>
      <c r="AG279" t="str">
        <f t="shared" si="14"/>
        <v>Low Loneliness</v>
      </c>
    </row>
    <row r="280" spans="1:33" x14ac:dyDescent="0.3">
      <c r="A280" t="s">
        <v>324</v>
      </c>
      <c r="B280">
        <v>16</v>
      </c>
      <c r="C280" t="s">
        <v>32</v>
      </c>
      <c r="D280" t="s">
        <v>41</v>
      </c>
      <c r="E280" t="s">
        <v>15</v>
      </c>
      <c r="F280" t="s">
        <v>4</v>
      </c>
      <c r="G280" t="s">
        <v>43</v>
      </c>
      <c r="H280" t="s">
        <v>28</v>
      </c>
      <c r="I280" t="s">
        <v>29</v>
      </c>
      <c r="J280" t="s">
        <v>20</v>
      </c>
      <c r="K280" t="s">
        <v>25</v>
      </c>
      <c r="L280">
        <v>2.6</v>
      </c>
      <c r="M280">
        <v>3.37</v>
      </c>
      <c r="N280">
        <v>4</v>
      </c>
      <c r="O280">
        <v>6.29</v>
      </c>
      <c r="P280">
        <v>4</v>
      </c>
      <c r="Q280">
        <v>7.8</v>
      </c>
      <c r="R280">
        <v>9.3000000000000007</v>
      </c>
      <c r="S280">
        <v>1.7</v>
      </c>
      <c r="T280" t="s">
        <v>39</v>
      </c>
      <c r="U280">
        <v>6</v>
      </c>
      <c r="V280">
        <v>6</v>
      </c>
      <c r="W280">
        <v>1.3</v>
      </c>
      <c r="X280">
        <v>8.6999999999999993</v>
      </c>
      <c r="Y280">
        <v>4.2</v>
      </c>
      <c r="Z280">
        <v>6.3</v>
      </c>
      <c r="AA280">
        <v>3.4</v>
      </c>
      <c r="AB280" t="s">
        <v>21</v>
      </c>
      <c r="AC280" t="s">
        <v>10</v>
      </c>
      <c r="AD280" t="s">
        <v>45</v>
      </c>
      <c r="AE280" t="str">
        <f t="shared" si="12"/>
        <v>15-19</v>
      </c>
      <c r="AF280" t="str">
        <f t="shared" si="13"/>
        <v>Moderate Usage</v>
      </c>
      <c r="AG280" t="str">
        <f t="shared" si="14"/>
        <v>High Loneliness</v>
      </c>
    </row>
    <row r="281" spans="1:33" x14ac:dyDescent="0.3">
      <c r="A281" t="s">
        <v>325</v>
      </c>
      <c r="B281">
        <v>16</v>
      </c>
      <c r="C281" t="s">
        <v>32</v>
      </c>
      <c r="D281" t="s">
        <v>14</v>
      </c>
      <c r="E281" t="s">
        <v>37</v>
      </c>
      <c r="F281" t="s">
        <v>4</v>
      </c>
      <c r="G281" t="s">
        <v>43</v>
      </c>
      <c r="H281" t="s">
        <v>28</v>
      </c>
      <c r="I281" t="s">
        <v>29</v>
      </c>
      <c r="J281" t="s">
        <v>8</v>
      </c>
      <c r="K281" t="s">
        <v>30</v>
      </c>
      <c r="L281">
        <v>0.52</v>
      </c>
      <c r="M281">
        <v>3.88</v>
      </c>
      <c r="N281">
        <v>3.67</v>
      </c>
      <c r="O281">
        <v>5.59</v>
      </c>
      <c r="P281">
        <v>4</v>
      </c>
      <c r="Q281">
        <v>9</v>
      </c>
      <c r="R281">
        <v>5.2</v>
      </c>
      <c r="S281">
        <v>5.5</v>
      </c>
      <c r="T281" t="s">
        <v>39</v>
      </c>
      <c r="U281">
        <v>6.6</v>
      </c>
      <c r="V281">
        <v>5.0999999999999996</v>
      </c>
      <c r="W281">
        <v>5.4</v>
      </c>
      <c r="X281">
        <v>4.0999999999999996</v>
      </c>
      <c r="Y281">
        <v>6.2</v>
      </c>
      <c r="Z281">
        <v>5.9</v>
      </c>
      <c r="AA281">
        <v>5.7</v>
      </c>
      <c r="AB281" t="s">
        <v>44</v>
      </c>
      <c r="AC281" t="s">
        <v>10</v>
      </c>
      <c r="AD281" t="s">
        <v>22</v>
      </c>
      <c r="AE281" t="str">
        <f t="shared" si="12"/>
        <v>15-19</v>
      </c>
      <c r="AF281" t="str">
        <f t="shared" si="13"/>
        <v>Very Low Usage</v>
      </c>
      <c r="AG281" t="str">
        <f t="shared" si="14"/>
        <v>High Loneliness</v>
      </c>
    </row>
    <row r="282" spans="1:33" x14ac:dyDescent="0.3">
      <c r="A282" t="s">
        <v>326</v>
      </c>
      <c r="B282">
        <v>42</v>
      </c>
      <c r="C282" t="s">
        <v>1</v>
      </c>
      <c r="D282" t="s">
        <v>47</v>
      </c>
      <c r="E282" t="s">
        <v>3</v>
      </c>
      <c r="F282" t="s">
        <v>16</v>
      </c>
      <c r="G282" t="s">
        <v>43</v>
      </c>
      <c r="H282" t="s">
        <v>18</v>
      </c>
      <c r="I282" t="s">
        <v>35</v>
      </c>
      <c r="J282" t="s">
        <v>38</v>
      </c>
      <c r="K282" t="s">
        <v>1079</v>
      </c>
      <c r="L282">
        <v>1.39</v>
      </c>
      <c r="M282">
        <v>3.92</v>
      </c>
      <c r="N282">
        <v>1.75</v>
      </c>
      <c r="O282">
        <v>4.8099999999999996</v>
      </c>
      <c r="P282">
        <v>6</v>
      </c>
      <c r="Q282">
        <v>4.0999999999999996</v>
      </c>
      <c r="R282">
        <v>4.5</v>
      </c>
      <c r="S282">
        <v>9.6</v>
      </c>
      <c r="T282" t="s">
        <v>10</v>
      </c>
      <c r="U282">
        <v>7.9</v>
      </c>
      <c r="V282">
        <v>8.3000000000000007</v>
      </c>
      <c r="W282">
        <v>7.7</v>
      </c>
      <c r="X282">
        <v>1</v>
      </c>
      <c r="Y282">
        <v>1</v>
      </c>
      <c r="Z282">
        <v>1.4</v>
      </c>
      <c r="AA282">
        <v>7.3</v>
      </c>
      <c r="AB282" t="s">
        <v>21</v>
      </c>
      <c r="AC282" t="s">
        <v>10</v>
      </c>
      <c r="AD282" t="s">
        <v>12</v>
      </c>
      <c r="AE282" t="str">
        <f t="shared" si="12"/>
        <v>35-44</v>
      </c>
      <c r="AF282" t="str">
        <f t="shared" si="13"/>
        <v>Low Usage</v>
      </c>
      <c r="AG282" t="str">
        <f t="shared" si="14"/>
        <v>Moderate Loneliness</v>
      </c>
    </row>
    <row r="283" spans="1:33" x14ac:dyDescent="0.3">
      <c r="A283" t="s">
        <v>327</v>
      </c>
      <c r="B283">
        <v>36</v>
      </c>
      <c r="C283" t="s">
        <v>1</v>
      </c>
      <c r="D283" t="s">
        <v>2</v>
      </c>
      <c r="E283" t="s">
        <v>3</v>
      </c>
      <c r="F283" t="s">
        <v>16</v>
      </c>
      <c r="G283" t="s">
        <v>43</v>
      </c>
      <c r="H283" t="s">
        <v>6</v>
      </c>
      <c r="I283" t="s">
        <v>7</v>
      </c>
      <c r="J283" t="s">
        <v>38</v>
      </c>
      <c r="K283" t="s">
        <v>30</v>
      </c>
      <c r="L283">
        <v>0</v>
      </c>
      <c r="M283">
        <v>5.9</v>
      </c>
      <c r="N283">
        <v>2.35</v>
      </c>
      <c r="O283">
        <v>3.86</v>
      </c>
      <c r="P283">
        <v>5</v>
      </c>
      <c r="Q283">
        <v>4.2</v>
      </c>
      <c r="R283">
        <v>4.5999999999999996</v>
      </c>
      <c r="S283">
        <v>8.5</v>
      </c>
      <c r="T283" t="s">
        <v>10</v>
      </c>
      <c r="U283">
        <v>6.8</v>
      </c>
      <c r="V283">
        <v>8.3000000000000007</v>
      </c>
      <c r="W283">
        <v>3.7</v>
      </c>
      <c r="X283">
        <v>3.1</v>
      </c>
      <c r="Y283">
        <v>2.2000000000000002</v>
      </c>
      <c r="Z283">
        <v>5.2</v>
      </c>
      <c r="AA283">
        <v>5</v>
      </c>
      <c r="AB283" t="s">
        <v>21</v>
      </c>
      <c r="AC283" t="s">
        <v>10</v>
      </c>
      <c r="AD283" t="s">
        <v>12</v>
      </c>
      <c r="AE283" t="str">
        <f t="shared" si="12"/>
        <v>35-44</v>
      </c>
      <c r="AF283" t="str">
        <f t="shared" si="13"/>
        <v>Very Low Usage</v>
      </c>
      <c r="AG283" t="str">
        <f t="shared" si="14"/>
        <v>Moderate Loneliness</v>
      </c>
    </row>
    <row r="284" spans="1:33" x14ac:dyDescent="0.3">
      <c r="A284" t="s">
        <v>328</v>
      </c>
      <c r="B284">
        <v>37</v>
      </c>
      <c r="C284" t="s">
        <v>1</v>
      </c>
      <c r="D284" t="s">
        <v>14</v>
      </c>
      <c r="E284" t="s">
        <v>37</v>
      </c>
      <c r="F284" t="s">
        <v>4</v>
      </c>
      <c r="G284" t="s">
        <v>17</v>
      </c>
      <c r="H284" t="s">
        <v>18</v>
      </c>
      <c r="I284" t="s">
        <v>24</v>
      </c>
      <c r="J284" t="s">
        <v>20</v>
      </c>
      <c r="K284" t="s">
        <v>1079</v>
      </c>
      <c r="L284">
        <v>2.86</v>
      </c>
      <c r="M284">
        <v>2.7</v>
      </c>
      <c r="N284">
        <v>3.18</v>
      </c>
      <c r="O284">
        <v>8.31</v>
      </c>
      <c r="P284">
        <v>2</v>
      </c>
      <c r="Q284">
        <v>5.4</v>
      </c>
      <c r="R284">
        <v>6.9</v>
      </c>
      <c r="S284">
        <v>3.1</v>
      </c>
      <c r="T284" t="s">
        <v>39</v>
      </c>
      <c r="U284">
        <v>6.5</v>
      </c>
      <c r="V284">
        <v>6.9</v>
      </c>
      <c r="W284">
        <v>2.8</v>
      </c>
      <c r="X284">
        <v>6</v>
      </c>
      <c r="Y284">
        <v>5.2</v>
      </c>
      <c r="Z284">
        <v>5.3</v>
      </c>
      <c r="AA284">
        <v>3.1</v>
      </c>
      <c r="AB284" t="s">
        <v>44</v>
      </c>
      <c r="AC284" t="s">
        <v>10</v>
      </c>
      <c r="AD284" t="s">
        <v>45</v>
      </c>
      <c r="AE284" t="str">
        <f t="shared" si="12"/>
        <v>35-44</v>
      </c>
      <c r="AF284" t="str">
        <f t="shared" si="13"/>
        <v>Moderate Usage</v>
      </c>
      <c r="AG284" t="str">
        <f t="shared" si="14"/>
        <v>Moderate Loneliness</v>
      </c>
    </row>
    <row r="285" spans="1:33" x14ac:dyDescent="0.3">
      <c r="A285" t="s">
        <v>329</v>
      </c>
      <c r="B285">
        <v>19</v>
      </c>
      <c r="C285" t="s">
        <v>32</v>
      </c>
      <c r="D285" t="s">
        <v>14</v>
      </c>
      <c r="E285" t="s">
        <v>59</v>
      </c>
      <c r="F285" t="s">
        <v>4</v>
      </c>
      <c r="G285" t="s">
        <v>17</v>
      </c>
      <c r="H285" t="s">
        <v>6</v>
      </c>
      <c r="I285" t="s">
        <v>19</v>
      </c>
      <c r="J285" t="s">
        <v>8</v>
      </c>
      <c r="K285" t="s">
        <v>53</v>
      </c>
      <c r="L285">
        <v>1.84</v>
      </c>
      <c r="M285">
        <v>4.7</v>
      </c>
      <c r="N285">
        <v>3.26</v>
      </c>
      <c r="O285">
        <v>6.08</v>
      </c>
      <c r="P285">
        <v>3</v>
      </c>
      <c r="Q285">
        <v>6.8</v>
      </c>
      <c r="R285">
        <v>5.4</v>
      </c>
      <c r="S285">
        <v>6</v>
      </c>
      <c r="T285" t="s">
        <v>10</v>
      </c>
      <c r="U285">
        <v>7.4</v>
      </c>
      <c r="V285">
        <v>5.9</v>
      </c>
      <c r="W285">
        <v>1.7</v>
      </c>
      <c r="X285">
        <v>3.8</v>
      </c>
      <c r="Y285">
        <v>6.8</v>
      </c>
      <c r="Z285">
        <v>5.7</v>
      </c>
      <c r="AA285">
        <v>4.4000000000000004</v>
      </c>
      <c r="AB285" t="s">
        <v>21</v>
      </c>
      <c r="AC285" t="s">
        <v>10</v>
      </c>
      <c r="AD285" t="s">
        <v>22</v>
      </c>
      <c r="AE285" t="str">
        <f t="shared" si="12"/>
        <v>15-19</v>
      </c>
      <c r="AF285" t="str">
        <f t="shared" si="13"/>
        <v>Low Usage</v>
      </c>
      <c r="AG285" t="str">
        <f t="shared" si="14"/>
        <v>High Loneliness</v>
      </c>
    </row>
    <row r="286" spans="1:33" x14ac:dyDescent="0.3">
      <c r="A286" t="s">
        <v>330</v>
      </c>
      <c r="B286">
        <v>15</v>
      </c>
      <c r="C286" t="s">
        <v>1</v>
      </c>
      <c r="D286" t="s">
        <v>14</v>
      </c>
      <c r="E286" t="s">
        <v>3</v>
      </c>
      <c r="F286" t="s">
        <v>4</v>
      </c>
      <c r="G286" t="s">
        <v>17</v>
      </c>
      <c r="H286" t="s">
        <v>18</v>
      </c>
      <c r="I286" t="s">
        <v>19</v>
      </c>
      <c r="J286" t="s">
        <v>20</v>
      </c>
      <c r="K286" t="s">
        <v>9</v>
      </c>
      <c r="L286">
        <v>2.95</v>
      </c>
      <c r="M286">
        <v>4.26</v>
      </c>
      <c r="N286">
        <v>4.9800000000000004</v>
      </c>
      <c r="O286">
        <v>8.76</v>
      </c>
      <c r="P286">
        <v>3</v>
      </c>
      <c r="Q286">
        <v>8.5</v>
      </c>
      <c r="R286">
        <v>3.3</v>
      </c>
      <c r="S286">
        <v>1</v>
      </c>
      <c r="T286" t="s">
        <v>39</v>
      </c>
      <c r="U286">
        <v>4.4000000000000004</v>
      </c>
      <c r="V286">
        <v>3.3</v>
      </c>
      <c r="W286">
        <v>3.5</v>
      </c>
      <c r="X286">
        <v>7.8</v>
      </c>
      <c r="Y286">
        <v>6.2</v>
      </c>
      <c r="Z286">
        <v>7.8</v>
      </c>
      <c r="AA286">
        <v>3.3</v>
      </c>
      <c r="AB286" t="s">
        <v>44</v>
      </c>
      <c r="AC286" t="s">
        <v>39</v>
      </c>
      <c r="AD286" t="s">
        <v>45</v>
      </c>
      <c r="AE286" t="str">
        <f t="shared" si="12"/>
        <v>15-19</v>
      </c>
      <c r="AF286" t="str">
        <f t="shared" si="13"/>
        <v>Moderate Usage</v>
      </c>
      <c r="AG286" t="str">
        <f t="shared" si="14"/>
        <v>High Loneliness</v>
      </c>
    </row>
    <row r="287" spans="1:33" x14ac:dyDescent="0.3">
      <c r="A287" t="s">
        <v>331</v>
      </c>
      <c r="B287">
        <v>15</v>
      </c>
      <c r="C287" t="s">
        <v>1</v>
      </c>
      <c r="D287" t="s">
        <v>2</v>
      </c>
      <c r="E287" t="s">
        <v>37</v>
      </c>
      <c r="F287" t="s">
        <v>16</v>
      </c>
      <c r="G287" t="s">
        <v>17</v>
      </c>
      <c r="H287" t="s">
        <v>33</v>
      </c>
      <c r="I287" t="s">
        <v>254</v>
      </c>
      <c r="J287" t="s">
        <v>20</v>
      </c>
      <c r="K287" t="s">
        <v>53</v>
      </c>
      <c r="L287">
        <v>1.1100000000000001</v>
      </c>
      <c r="M287">
        <v>4.46</v>
      </c>
      <c r="N287">
        <v>2.4900000000000002</v>
      </c>
      <c r="O287">
        <v>4.93</v>
      </c>
      <c r="P287">
        <v>3</v>
      </c>
      <c r="Q287">
        <v>2.4</v>
      </c>
      <c r="R287">
        <v>3.4</v>
      </c>
      <c r="S287">
        <v>6.2</v>
      </c>
      <c r="T287" t="s">
        <v>10</v>
      </c>
      <c r="U287">
        <v>7.3</v>
      </c>
      <c r="V287">
        <v>8.6</v>
      </c>
      <c r="W287">
        <v>7.5</v>
      </c>
      <c r="X287">
        <v>4.0999999999999996</v>
      </c>
      <c r="Y287">
        <v>3.7</v>
      </c>
      <c r="Z287">
        <v>6</v>
      </c>
      <c r="AA287">
        <v>5.6</v>
      </c>
      <c r="AB287" t="s">
        <v>44</v>
      </c>
      <c r="AC287" t="s">
        <v>10</v>
      </c>
      <c r="AD287" t="s">
        <v>12</v>
      </c>
      <c r="AE287" t="str">
        <f t="shared" si="12"/>
        <v>15-19</v>
      </c>
      <c r="AF287" t="str">
        <f t="shared" si="13"/>
        <v>Low Usage</v>
      </c>
      <c r="AG287" t="str">
        <f t="shared" si="14"/>
        <v>Low Loneliness</v>
      </c>
    </row>
    <row r="288" spans="1:33" x14ac:dyDescent="0.3">
      <c r="A288" t="s">
        <v>332</v>
      </c>
      <c r="B288">
        <v>33</v>
      </c>
      <c r="C288" t="s">
        <v>1</v>
      </c>
      <c r="D288" t="s">
        <v>47</v>
      </c>
      <c r="E288" t="s">
        <v>3</v>
      </c>
      <c r="F288" t="s">
        <v>4</v>
      </c>
      <c r="G288" t="s">
        <v>17</v>
      </c>
      <c r="H288" t="s">
        <v>33</v>
      </c>
      <c r="I288" t="s">
        <v>35</v>
      </c>
      <c r="J288" t="s">
        <v>48</v>
      </c>
      <c r="K288" t="s">
        <v>53</v>
      </c>
      <c r="L288">
        <v>0</v>
      </c>
      <c r="M288">
        <v>3.92</v>
      </c>
      <c r="N288">
        <v>0.53</v>
      </c>
      <c r="O288">
        <v>1.87</v>
      </c>
      <c r="P288">
        <v>8</v>
      </c>
      <c r="Q288">
        <v>2.4</v>
      </c>
      <c r="R288">
        <v>1.3</v>
      </c>
      <c r="S288">
        <v>9.1</v>
      </c>
      <c r="T288" t="s">
        <v>39</v>
      </c>
      <c r="U288">
        <v>7.4</v>
      </c>
      <c r="V288">
        <v>8</v>
      </c>
      <c r="W288">
        <v>6.6</v>
      </c>
      <c r="X288">
        <v>1.8</v>
      </c>
      <c r="Y288">
        <v>1</v>
      </c>
      <c r="Z288">
        <v>4.5999999999999996</v>
      </c>
      <c r="AA288">
        <v>7.9</v>
      </c>
      <c r="AB288" t="s">
        <v>21</v>
      </c>
      <c r="AC288" t="s">
        <v>10</v>
      </c>
      <c r="AD288" t="s">
        <v>12</v>
      </c>
      <c r="AE288" t="str">
        <f t="shared" si="12"/>
        <v>25-34</v>
      </c>
      <c r="AF288" t="str">
        <f t="shared" si="13"/>
        <v>Very Low Usage</v>
      </c>
      <c r="AG288" t="str">
        <f t="shared" si="14"/>
        <v>Low Loneliness</v>
      </c>
    </row>
    <row r="289" spans="1:33" x14ac:dyDescent="0.3">
      <c r="A289" t="s">
        <v>333</v>
      </c>
      <c r="B289">
        <v>44</v>
      </c>
      <c r="C289" t="s">
        <v>32</v>
      </c>
      <c r="D289" t="s">
        <v>2</v>
      </c>
      <c r="E289" t="s">
        <v>37</v>
      </c>
      <c r="F289" t="s">
        <v>12</v>
      </c>
      <c r="G289" t="s">
        <v>5</v>
      </c>
      <c r="H289" t="s">
        <v>28</v>
      </c>
      <c r="I289" t="s">
        <v>29</v>
      </c>
      <c r="J289" t="s">
        <v>20</v>
      </c>
      <c r="K289" t="s">
        <v>25</v>
      </c>
      <c r="L289">
        <v>4.09</v>
      </c>
      <c r="M289">
        <v>0</v>
      </c>
      <c r="N289">
        <v>3.8</v>
      </c>
      <c r="O289">
        <v>12.01</v>
      </c>
      <c r="P289">
        <v>3</v>
      </c>
      <c r="Q289">
        <v>8.4</v>
      </c>
      <c r="R289">
        <v>10</v>
      </c>
      <c r="S289">
        <v>1.6</v>
      </c>
      <c r="T289" t="s">
        <v>39</v>
      </c>
      <c r="U289">
        <v>3.9</v>
      </c>
      <c r="V289">
        <v>2</v>
      </c>
      <c r="W289">
        <v>4.7</v>
      </c>
      <c r="X289">
        <v>8.1999999999999993</v>
      </c>
      <c r="Y289">
        <v>9.6</v>
      </c>
      <c r="Z289">
        <v>10</v>
      </c>
      <c r="AA289">
        <v>1.4</v>
      </c>
      <c r="AB289" t="s">
        <v>21</v>
      </c>
      <c r="AC289" t="s">
        <v>39</v>
      </c>
      <c r="AD289" t="s">
        <v>45</v>
      </c>
      <c r="AE289" t="str">
        <f t="shared" si="12"/>
        <v>35-44</v>
      </c>
      <c r="AF289" t="str">
        <f t="shared" si="13"/>
        <v>High Usage</v>
      </c>
      <c r="AG289" t="str">
        <f t="shared" si="14"/>
        <v>High Loneliness</v>
      </c>
    </row>
    <row r="290" spans="1:33" x14ac:dyDescent="0.3">
      <c r="A290" t="s">
        <v>334</v>
      </c>
      <c r="B290">
        <v>16</v>
      </c>
      <c r="C290" t="s">
        <v>32</v>
      </c>
      <c r="D290" t="s">
        <v>2</v>
      </c>
      <c r="E290" t="s">
        <v>15</v>
      </c>
      <c r="F290" t="s">
        <v>12</v>
      </c>
      <c r="G290" t="s">
        <v>17</v>
      </c>
      <c r="H290" t="s">
        <v>28</v>
      </c>
      <c r="I290" t="s">
        <v>7</v>
      </c>
      <c r="J290" t="s">
        <v>51</v>
      </c>
      <c r="K290" t="s">
        <v>1079</v>
      </c>
      <c r="L290">
        <v>0.09</v>
      </c>
      <c r="M290">
        <v>5.81</v>
      </c>
      <c r="N290">
        <v>1.55</v>
      </c>
      <c r="O290">
        <v>5.19</v>
      </c>
      <c r="P290">
        <v>5</v>
      </c>
      <c r="Q290">
        <v>1</v>
      </c>
      <c r="R290">
        <v>1</v>
      </c>
      <c r="S290">
        <v>8.9</v>
      </c>
      <c r="T290" t="s">
        <v>10</v>
      </c>
      <c r="U290">
        <v>8.6999999999999993</v>
      </c>
      <c r="V290">
        <v>9</v>
      </c>
      <c r="W290">
        <v>5.4</v>
      </c>
      <c r="X290">
        <v>1</v>
      </c>
      <c r="Y290">
        <v>4</v>
      </c>
      <c r="Z290">
        <v>3.1</v>
      </c>
      <c r="AA290">
        <v>9.8000000000000007</v>
      </c>
      <c r="AB290" t="s">
        <v>11</v>
      </c>
      <c r="AC290" t="s">
        <v>10</v>
      </c>
      <c r="AD290" t="s">
        <v>12</v>
      </c>
      <c r="AE290" t="str">
        <f t="shared" si="12"/>
        <v>15-19</v>
      </c>
      <c r="AF290" t="str">
        <f t="shared" si="13"/>
        <v>Very Low Usage</v>
      </c>
      <c r="AG290" t="str">
        <f t="shared" si="14"/>
        <v>Low Loneliness</v>
      </c>
    </row>
    <row r="291" spans="1:33" x14ac:dyDescent="0.3">
      <c r="A291" t="s">
        <v>335</v>
      </c>
      <c r="B291">
        <v>35</v>
      </c>
      <c r="C291" t="s">
        <v>1</v>
      </c>
      <c r="D291" t="s">
        <v>14</v>
      </c>
      <c r="E291" t="s">
        <v>15</v>
      </c>
      <c r="F291" t="s">
        <v>4</v>
      </c>
      <c r="G291" t="s">
        <v>5</v>
      </c>
      <c r="H291" t="s">
        <v>33</v>
      </c>
      <c r="I291" t="s">
        <v>29</v>
      </c>
      <c r="J291" t="s">
        <v>38</v>
      </c>
      <c r="K291" t="s">
        <v>30</v>
      </c>
      <c r="L291">
        <v>1.86</v>
      </c>
      <c r="M291">
        <v>4.8</v>
      </c>
      <c r="N291">
        <v>1.04</v>
      </c>
      <c r="O291">
        <v>3.23</v>
      </c>
      <c r="P291">
        <v>7</v>
      </c>
      <c r="Q291">
        <v>2.4</v>
      </c>
      <c r="R291">
        <v>3.3</v>
      </c>
      <c r="S291">
        <v>7</v>
      </c>
      <c r="T291" t="s">
        <v>10</v>
      </c>
      <c r="U291">
        <v>7.6</v>
      </c>
      <c r="V291">
        <v>6.5</v>
      </c>
      <c r="W291">
        <v>2.6</v>
      </c>
      <c r="X291">
        <v>4.5</v>
      </c>
      <c r="Y291">
        <v>3.5</v>
      </c>
      <c r="Z291">
        <v>4.4000000000000004</v>
      </c>
      <c r="AA291">
        <v>7.4</v>
      </c>
      <c r="AB291" t="s">
        <v>21</v>
      </c>
      <c r="AC291" t="s">
        <v>10</v>
      </c>
      <c r="AD291" t="s">
        <v>12</v>
      </c>
      <c r="AE291" t="str">
        <f t="shared" si="12"/>
        <v>35-44</v>
      </c>
      <c r="AF291" t="str">
        <f t="shared" si="13"/>
        <v>Low Usage</v>
      </c>
      <c r="AG291" t="str">
        <f t="shared" si="14"/>
        <v>Low Loneliness</v>
      </c>
    </row>
    <row r="292" spans="1:33" x14ac:dyDescent="0.3">
      <c r="A292" t="s">
        <v>336</v>
      </c>
      <c r="B292">
        <v>26</v>
      </c>
      <c r="C292" t="s">
        <v>1</v>
      </c>
      <c r="D292" t="s">
        <v>41</v>
      </c>
      <c r="E292" t="s">
        <v>3</v>
      </c>
      <c r="F292" t="s">
        <v>4</v>
      </c>
      <c r="G292" t="s">
        <v>17</v>
      </c>
      <c r="H292" t="s">
        <v>28</v>
      </c>
      <c r="I292" t="s">
        <v>29</v>
      </c>
      <c r="J292" t="s">
        <v>8</v>
      </c>
      <c r="K292" t="s">
        <v>1079</v>
      </c>
      <c r="L292">
        <v>1.53</v>
      </c>
      <c r="M292">
        <v>3.11</v>
      </c>
      <c r="N292">
        <v>2.98</v>
      </c>
      <c r="O292">
        <v>4.58</v>
      </c>
      <c r="P292">
        <v>4</v>
      </c>
      <c r="Q292">
        <v>5.7</v>
      </c>
      <c r="R292">
        <v>5.0999999999999996</v>
      </c>
      <c r="S292">
        <v>7.1</v>
      </c>
      <c r="T292" t="s">
        <v>39</v>
      </c>
      <c r="U292">
        <v>7</v>
      </c>
      <c r="V292">
        <v>6.9</v>
      </c>
      <c r="W292">
        <v>5.9</v>
      </c>
      <c r="X292">
        <v>4.5</v>
      </c>
      <c r="Y292">
        <v>4.2</v>
      </c>
      <c r="Z292">
        <v>4.9000000000000004</v>
      </c>
      <c r="AA292">
        <v>5.0999999999999996</v>
      </c>
      <c r="AB292" t="s">
        <v>21</v>
      </c>
      <c r="AC292" t="s">
        <v>10</v>
      </c>
      <c r="AD292" t="s">
        <v>22</v>
      </c>
      <c r="AE292" t="str">
        <f t="shared" si="12"/>
        <v>25-34</v>
      </c>
      <c r="AF292" t="str">
        <f t="shared" si="13"/>
        <v>Low Usage</v>
      </c>
      <c r="AG292" t="str">
        <f t="shared" si="14"/>
        <v>Moderate Loneliness</v>
      </c>
    </row>
    <row r="293" spans="1:33" x14ac:dyDescent="0.3">
      <c r="A293" t="s">
        <v>337</v>
      </c>
      <c r="B293">
        <v>40</v>
      </c>
      <c r="C293" t="s">
        <v>32</v>
      </c>
      <c r="D293" t="s">
        <v>47</v>
      </c>
      <c r="E293" t="s">
        <v>37</v>
      </c>
      <c r="F293" t="s">
        <v>16</v>
      </c>
      <c r="G293" t="s">
        <v>17</v>
      </c>
      <c r="H293" t="s">
        <v>28</v>
      </c>
      <c r="I293" t="s">
        <v>24</v>
      </c>
      <c r="J293" t="s">
        <v>20</v>
      </c>
      <c r="K293" t="s">
        <v>1079</v>
      </c>
      <c r="L293">
        <v>1.53</v>
      </c>
      <c r="M293">
        <v>3.05</v>
      </c>
      <c r="N293">
        <v>3.14</v>
      </c>
      <c r="O293">
        <v>6.59</v>
      </c>
      <c r="P293">
        <v>5</v>
      </c>
      <c r="Q293">
        <v>7.9</v>
      </c>
      <c r="R293">
        <v>5.3</v>
      </c>
      <c r="S293">
        <v>3.7</v>
      </c>
      <c r="T293" t="s">
        <v>39</v>
      </c>
      <c r="U293">
        <v>6.9</v>
      </c>
      <c r="V293">
        <v>3.1</v>
      </c>
      <c r="W293">
        <v>3.1</v>
      </c>
      <c r="X293">
        <v>5</v>
      </c>
      <c r="Y293">
        <v>3.6</v>
      </c>
      <c r="Z293">
        <v>6.5</v>
      </c>
      <c r="AA293">
        <v>5.6</v>
      </c>
      <c r="AB293" t="s">
        <v>21</v>
      </c>
      <c r="AC293" t="s">
        <v>10</v>
      </c>
      <c r="AD293" t="s">
        <v>45</v>
      </c>
      <c r="AE293" t="str">
        <f t="shared" si="12"/>
        <v>35-44</v>
      </c>
      <c r="AF293" t="str">
        <f t="shared" si="13"/>
        <v>Low Usage</v>
      </c>
      <c r="AG293" t="str">
        <f t="shared" si="14"/>
        <v>High Loneliness</v>
      </c>
    </row>
    <row r="294" spans="1:33" x14ac:dyDescent="0.3">
      <c r="A294" t="s">
        <v>338</v>
      </c>
      <c r="B294">
        <v>20</v>
      </c>
      <c r="C294" t="s">
        <v>1</v>
      </c>
      <c r="D294" t="s">
        <v>14</v>
      </c>
      <c r="E294" t="s">
        <v>3</v>
      </c>
      <c r="F294" t="s">
        <v>12</v>
      </c>
      <c r="G294" t="s">
        <v>5</v>
      </c>
      <c r="H294" t="s">
        <v>18</v>
      </c>
      <c r="I294" t="s">
        <v>19</v>
      </c>
      <c r="J294" t="s">
        <v>8</v>
      </c>
      <c r="K294" t="s">
        <v>53</v>
      </c>
      <c r="L294">
        <v>1.72</v>
      </c>
      <c r="M294">
        <v>3.72</v>
      </c>
      <c r="N294">
        <v>2.0699999999999998</v>
      </c>
      <c r="O294">
        <v>7.7</v>
      </c>
      <c r="P294">
        <v>3</v>
      </c>
      <c r="Q294">
        <v>6</v>
      </c>
      <c r="R294">
        <v>5.4</v>
      </c>
      <c r="S294">
        <v>4.8</v>
      </c>
      <c r="T294" t="s">
        <v>10</v>
      </c>
      <c r="U294">
        <v>6.8</v>
      </c>
      <c r="V294">
        <v>5.5</v>
      </c>
      <c r="W294">
        <v>1.9</v>
      </c>
      <c r="X294">
        <v>6.9</v>
      </c>
      <c r="Y294">
        <v>6.2</v>
      </c>
      <c r="Z294">
        <v>8.1</v>
      </c>
      <c r="AA294">
        <v>3.7</v>
      </c>
      <c r="AB294" t="s">
        <v>21</v>
      </c>
      <c r="AC294" t="s">
        <v>10</v>
      </c>
      <c r="AD294" t="s">
        <v>45</v>
      </c>
      <c r="AE294" t="str">
        <f t="shared" si="12"/>
        <v>20-24</v>
      </c>
      <c r="AF294" t="str">
        <f t="shared" si="13"/>
        <v>Low Usage</v>
      </c>
      <c r="AG294" t="str">
        <f t="shared" si="14"/>
        <v>Moderate Loneliness</v>
      </c>
    </row>
    <row r="295" spans="1:33" x14ac:dyDescent="0.3">
      <c r="A295" t="s">
        <v>339</v>
      </c>
      <c r="B295">
        <v>37</v>
      </c>
      <c r="C295" t="s">
        <v>1</v>
      </c>
      <c r="D295" t="s">
        <v>41</v>
      </c>
      <c r="E295" t="s">
        <v>37</v>
      </c>
      <c r="F295" t="s">
        <v>4</v>
      </c>
      <c r="G295" t="s">
        <v>43</v>
      </c>
      <c r="H295" t="s">
        <v>6</v>
      </c>
      <c r="I295" t="s">
        <v>35</v>
      </c>
      <c r="J295" t="s">
        <v>8</v>
      </c>
      <c r="K295" t="s">
        <v>1079</v>
      </c>
      <c r="L295">
        <v>5.99</v>
      </c>
      <c r="M295">
        <v>2.4500000000000002</v>
      </c>
      <c r="N295">
        <v>5.64</v>
      </c>
      <c r="O295">
        <v>14.3</v>
      </c>
      <c r="P295">
        <v>0</v>
      </c>
      <c r="Q295">
        <v>10</v>
      </c>
      <c r="R295">
        <v>10</v>
      </c>
      <c r="S295">
        <v>3.4</v>
      </c>
      <c r="T295" t="s">
        <v>10</v>
      </c>
      <c r="U295">
        <v>4.7</v>
      </c>
      <c r="V295">
        <v>2.6</v>
      </c>
      <c r="W295">
        <v>4</v>
      </c>
      <c r="X295">
        <v>8.8000000000000007</v>
      </c>
      <c r="Y295">
        <v>7.7</v>
      </c>
      <c r="Z295">
        <v>8.6999999999999993</v>
      </c>
      <c r="AA295">
        <v>2.8</v>
      </c>
      <c r="AB295" t="s">
        <v>44</v>
      </c>
      <c r="AC295" t="s">
        <v>39</v>
      </c>
      <c r="AD295" t="s">
        <v>45</v>
      </c>
      <c r="AE295" t="str">
        <f t="shared" si="12"/>
        <v>35-44</v>
      </c>
      <c r="AF295" t="str">
        <f t="shared" si="13"/>
        <v>High Usage</v>
      </c>
      <c r="AG295" t="str">
        <f t="shared" si="14"/>
        <v>High Loneliness</v>
      </c>
    </row>
    <row r="296" spans="1:33" x14ac:dyDescent="0.3">
      <c r="A296" t="s">
        <v>340</v>
      </c>
      <c r="B296">
        <v>18</v>
      </c>
      <c r="C296" t="s">
        <v>1</v>
      </c>
      <c r="D296" t="s">
        <v>2</v>
      </c>
      <c r="E296" t="s">
        <v>15</v>
      </c>
      <c r="F296" t="s">
        <v>16</v>
      </c>
      <c r="G296" t="s">
        <v>5</v>
      </c>
      <c r="H296" t="s">
        <v>18</v>
      </c>
      <c r="I296" t="s">
        <v>29</v>
      </c>
      <c r="J296" t="s">
        <v>20</v>
      </c>
      <c r="K296" t="s">
        <v>1079</v>
      </c>
      <c r="L296">
        <v>0.77</v>
      </c>
      <c r="M296">
        <v>3.9</v>
      </c>
      <c r="N296">
        <v>3.09</v>
      </c>
      <c r="O296">
        <v>5.83</v>
      </c>
      <c r="P296">
        <v>4</v>
      </c>
      <c r="Q296">
        <v>6</v>
      </c>
      <c r="R296">
        <v>1.7</v>
      </c>
      <c r="S296">
        <v>5.9</v>
      </c>
      <c r="T296" t="s">
        <v>10</v>
      </c>
      <c r="U296">
        <v>7.7</v>
      </c>
      <c r="V296">
        <v>6</v>
      </c>
      <c r="W296">
        <v>3.2</v>
      </c>
      <c r="X296">
        <v>2.6</v>
      </c>
      <c r="Y296">
        <v>2.8</v>
      </c>
      <c r="Z296">
        <v>4.8</v>
      </c>
      <c r="AA296">
        <v>6.4</v>
      </c>
      <c r="AB296" t="s">
        <v>21</v>
      </c>
      <c r="AC296" t="s">
        <v>10</v>
      </c>
      <c r="AD296" t="s">
        <v>22</v>
      </c>
      <c r="AE296" t="str">
        <f t="shared" si="12"/>
        <v>15-19</v>
      </c>
      <c r="AF296" t="str">
        <f t="shared" si="13"/>
        <v>Very Low Usage</v>
      </c>
      <c r="AG296" t="str">
        <f t="shared" si="14"/>
        <v>Moderate Loneliness</v>
      </c>
    </row>
    <row r="297" spans="1:33" x14ac:dyDescent="0.3">
      <c r="A297" t="s">
        <v>341</v>
      </c>
      <c r="B297">
        <v>37</v>
      </c>
      <c r="C297" t="s">
        <v>1</v>
      </c>
      <c r="D297" t="s">
        <v>2</v>
      </c>
      <c r="E297" t="s">
        <v>3</v>
      </c>
      <c r="F297" t="s">
        <v>16</v>
      </c>
      <c r="G297" t="s">
        <v>5</v>
      </c>
      <c r="H297" t="s">
        <v>33</v>
      </c>
      <c r="I297" t="s">
        <v>19</v>
      </c>
      <c r="J297" t="s">
        <v>8</v>
      </c>
      <c r="K297" t="s">
        <v>25</v>
      </c>
      <c r="L297">
        <v>0.28999999999999998</v>
      </c>
      <c r="M297">
        <v>4.91</v>
      </c>
      <c r="N297">
        <v>0.27</v>
      </c>
      <c r="O297">
        <v>2.1</v>
      </c>
      <c r="P297">
        <v>2</v>
      </c>
      <c r="Q297">
        <v>2.9</v>
      </c>
      <c r="R297">
        <v>2.8</v>
      </c>
      <c r="S297">
        <v>5.6</v>
      </c>
      <c r="T297" t="s">
        <v>10</v>
      </c>
      <c r="U297">
        <v>8.4</v>
      </c>
      <c r="V297">
        <v>10</v>
      </c>
      <c r="W297">
        <v>3.4</v>
      </c>
      <c r="X297">
        <v>4.8</v>
      </c>
      <c r="Y297">
        <v>3.3</v>
      </c>
      <c r="Z297">
        <v>5.3</v>
      </c>
      <c r="AA297">
        <v>7.2</v>
      </c>
      <c r="AB297" t="s">
        <v>21</v>
      </c>
      <c r="AC297" t="s">
        <v>10</v>
      </c>
      <c r="AD297" t="s">
        <v>12</v>
      </c>
      <c r="AE297" t="str">
        <f t="shared" si="12"/>
        <v>35-44</v>
      </c>
      <c r="AF297" t="str">
        <f t="shared" si="13"/>
        <v>Very Low Usage</v>
      </c>
      <c r="AG297" t="str">
        <f t="shared" si="14"/>
        <v>Low Loneliness</v>
      </c>
    </row>
    <row r="298" spans="1:33" x14ac:dyDescent="0.3">
      <c r="A298" t="s">
        <v>342</v>
      </c>
      <c r="B298">
        <v>25</v>
      </c>
      <c r="C298" t="s">
        <v>1</v>
      </c>
      <c r="D298" t="s">
        <v>47</v>
      </c>
      <c r="E298" t="s">
        <v>37</v>
      </c>
      <c r="F298" t="s">
        <v>4</v>
      </c>
      <c r="G298" t="s">
        <v>17</v>
      </c>
      <c r="H298" t="s">
        <v>18</v>
      </c>
      <c r="I298" t="s">
        <v>35</v>
      </c>
      <c r="J298" t="s">
        <v>51</v>
      </c>
      <c r="K298" t="s">
        <v>1079</v>
      </c>
      <c r="L298">
        <v>2.35</v>
      </c>
      <c r="M298">
        <v>4.0599999999999996</v>
      </c>
      <c r="N298">
        <v>2.76</v>
      </c>
      <c r="O298">
        <v>8.19</v>
      </c>
      <c r="P298">
        <v>6</v>
      </c>
      <c r="Q298">
        <v>4.2</v>
      </c>
      <c r="R298">
        <v>2.9</v>
      </c>
      <c r="S298">
        <v>8.1999999999999993</v>
      </c>
      <c r="T298" t="s">
        <v>39</v>
      </c>
      <c r="U298">
        <v>6.2</v>
      </c>
      <c r="V298">
        <v>8</v>
      </c>
      <c r="W298">
        <v>5.2</v>
      </c>
      <c r="X298">
        <v>4.8</v>
      </c>
      <c r="Y298">
        <v>3</v>
      </c>
      <c r="Z298">
        <v>4.3</v>
      </c>
      <c r="AA298">
        <v>7.8</v>
      </c>
      <c r="AB298" t="s">
        <v>21</v>
      </c>
      <c r="AC298" t="s">
        <v>10</v>
      </c>
      <c r="AD298" t="s">
        <v>12</v>
      </c>
      <c r="AE298" t="str">
        <f t="shared" si="12"/>
        <v>25-34</v>
      </c>
      <c r="AF298" t="str">
        <f t="shared" si="13"/>
        <v>Low Usage</v>
      </c>
      <c r="AG298" t="str">
        <f t="shared" si="14"/>
        <v>Moderate Loneliness</v>
      </c>
    </row>
    <row r="299" spans="1:33" x14ac:dyDescent="0.3">
      <c r="A299" t="s">
        <v>343</v>
      </c>
      <c r="B299">
        <v>38</v>
      </c>
      <c r="C299" t="s">
        <v>32</v>
      </c>
      <c r="D299" t="s">
        <v>47</v>
      </c>
      <c r="E299" t="s">
        <v>37</v>
      </c>
      <c r="F299" t="s">
        <v>4</v>
      </c>
      <c r="G299" t="s">
        <v>5</v>
      </c>
      <c r="H299" t="s">
        <v>33</v>
      </c>
      <c r="I299" t="s">
        <v>35</v>
      </c>
      <c r="J299" t="s">
        <v>8</v>
      </c>
      <c r="K299" t="s">
        <v>9</v>
      </c>
      <c r="L299">
        <v>0.66</v>
      </c>
      <c r="M299">
        <v>4.3899999999999997</v>
      </c>
      <c r="N299">
        <v>2.52</v>
      </c>
      <c r="O299">
        <v>5.36</v>
      </c>
      <c r="P299">
        <v>3</v>
      </c>
      <c r="Q299">
        <v>4.8</v>
      </c>
      <c r="R299">
        <v>5.3</v>
      </c>
      <c r="S299">
        <v>8</v>
      </c>
      <c r="T299" t="s">
        <v>10</v>
      </c>
      <c r="U299">
        <v>8</v>
      </c>
      <c r="V299">
        <v>6.5</v>
      </c>
      <c r="W299">
        <v>2.4</v>
      </c>
      <c r="X299">
        <v>3.9</v>
      </c>
      <c r="Y299">
        <v>3.2</v>
      </c>
      <c r="Z299">
        <v>3.5</v>
      </c>
      <c r="AA299">
        <v>7.3</v>
      </c>
      <c r="AB299" t="s">
        <v>21</v>
      </c>
      <c r="AC299" t="s">
        <v>10</v>
      </c>
      <c r="AD299" t="s">
        <v>12</v>
      </c>
      <c r="AE299" t="str">
        <f t="shared" si="12"/>
        <v>35-44</v>
      </c>
      <c r="AF299" t="str">
        <f t="shared" si="13"/>
        <v>Very Low Usage</v>
      </c>
      <c r="AG299" t="str">
        <f t="shared" si="14"/>
        <v>Moderate Loneliness</v>
      </c>
    </row>
    <row r="300" spans="1:33" x14ac:dyDescent="0.3">
      <c r="A300" t="s">
        <v>344</v>
      </c>
      <c r="B300">
        <v>41</v>
      </c>
      <c r="C300" t="s">
        <v>1</v>
      </c>
      <c r="D300" t="s">
        <v>2</v>
      </c>
      <c r="E300" t="s">
        <v>59</v>
      </c>
      <c r="F300" t="s">
        <v>4</v>
      </c>
      <c r="G300" t="s">
        <v>17</v>
      </c>
      <c r="H300" t="s">
        <v>18</v>
      </c>
      <c r="I300" t="s">
        <v>29</v>
      </c>
      <c r="J300" t="s">
        <v>20</v>
      </c>
      <c r="K300" t="s">
        <v>53</v>
      </c>
      <c r="L300">
        <v>1.28</v>
      </c>
      <c r="M300">
        <v>3.56</v>
      </c>
      <c r="N300">
        <v>3.27</v>
      </c>
      <c r="O300">
        <v>8.2799999999999994</v>
      </c>
      <c r="P300">
        <v>6</v>
      </c>
      <c r="Q300">
        <v>4.8</v>
      </c>
      <c r="R300">
        <v>4.8</v>
      </c>
      <c r="S300">
        <v>3.3</v>
      </c>
      <c r="T300" t="s">
        <v>10</v>
      </c>
      <c r="U300">
        <v>6.8</v>
      </c>
      <c r="V300">
        <v>6.5</v>
      </c>
      <c r="W300">
        <v>5.6</v>
      </c>
      <c r="X300">
        <v>4.0999999999999996</v>
      </c>
      <c r="Y300">
        <v>4.8</v>
      </c>
      <c r="Z300">
        <v>6.2</v>
      </c>
      <c r="AA300">
        <v>4.8</v>
      </c>
      <c r="AB300" t="s">
        <v>21</v>
      </c>
      <c r="AC300" t="s">
        <v>10</v>
      </c>
      <c r="AD300" t="s">
        <v>12</v>
      </c>
      <c r="AE300" t="str">
        <f t="shared" si="12"/>
        <v>35-44</v>
      </c>
      <c r="AF300" t="str">
        <f t="shared" si="13"/>
        <v>Low Usage</v>
      </c>
      <c r="AG300" t="str">
        <f t="shared" si="14"/>
        <v>Moderate Loneliness</v>
      </c>
    </row>
    <row r="301" spans="1:33" x14ac:dyDescent="0.3">
      <c r="A301" t="s">
        <v>345</v>
      </c>
      <c r="B301">
        <v>31</v>
      </c>
      <c r="C301" t="s">
        <v>32</v>
      </c>
      <c r="D301" t="s">
        <v>14</v>
      </c>
      <c r="E301" t="s">
        <v>59</v>
      </c>
      <c r="F301" t="s">
        <v>45</v>
      </c>
      <c r="G301" t="s">
        <v>17</v>
      </c>
      <c r="H301" t="s">
        <v>6</v>
      </c>
      <c r="I301" t="s">
        <v>19</v>
      </c>
      <c r="J301" t="s">
        <v>20</v>
      </c>
      <c r="K301" t="s">
        <v>1079</v>
      </c>
      <c r="L301">
        <v>0.86</v>
      </c>
      <c r="M301">
        <v>4.5599999999999996</v>
      </c>
      <c r="N301">
        <v>1.68</v>
      </c>
      <c r="O301">
        <v>2.85</v>
      </c>
      <c r="P301">
        <v>8</v>
      </c>
      <c r="Q301">
        <v>1.1000000000000001</v>
      </c>
      <c r="R301">
        <v>1</v>
      </c>
      <c r="S301">
        <v>7.8</v>
      </c>
      <c r="T301" t="s">
        <v>10</v>
      </c>
      <c r="U301">
        <v>8.1999999999999993</v>
      </c>
      <c r="V301">
        <v>9.3000000000000007</v>
      </c>
      <c r="W301">
        <v>3.5</v>
      </c>
      <c r="X301">
        <v>2.2000000000000002</v>
      </c>
      <c r="Y301">
        <v>1.1000000000000001</v>
      </c>
      <c r="Z301">
        <v>2.2999999999999998</v>
      </c>
      <c r="AA301">
        <v>8.3000000000000007</v>
      </c>
      <c r="AB301" t="s">
        <v>21</v>
      </c>
      <c r="AC301" t="s">
        <v>10</v>
      </c>
      <c r="AD301" t="s">
        <v>12</v>
      </c>
      <c r="AE301" t="str">
        <f t="shared" si="12"/>
        <v>25-34</v>
      </c>
      <c r="AF301" t="str">
        <f t="shared" si="13"/>
        <v>Very Low Usage</v>
      </c>
      <c r="AG301" t="str">
        <f t="shared" si="14"/>
        <v>Low Loneliness</v>
      </c>
    </row>
    <row r="302" spans="1:33" x14ac:dyDescent="0.3">
      <c r="A302" t="s">
        <v>346</v>
      </c>
      <c r="B302">
        <v>20</v>
      </c>
      <c r="C302" t="s">
        <v>1</v>
      </c>
      <c r="D302" t="s">
        <v>14</v>
      </c>
      <c r="E302" t="s">
        <v>3</v>
      </c>
      <c r="F302" t="s">
        <v>12</v>
      </c>
      <c r="G302" t="s">
        <v>17</v>
      </c>
      <c r="H302" t="s">
        <v>18</v>
      </c>
      <c r="I302" t="s">
        <v>24</v>
      </c>
      <c r="J302" t="s">
        <v>48</v>
      </c>
      <c r="K302" t="s">
        <v>30</v>
      </c>
      <c r="L302">
        <v>3.89</v>
      </c>
      <c r="M302">
        <v>2.68</v>
      </c>
      <c r="N302">
        <v>4.71</v>
      </c>
      <c r="O302">
        <v>11.02</v>
      </c>
      <c r="P302">
        <v>2</v>
      </c>
      <c r="Q302">
        <v>6.4</v>
      </c>
      <c r="R302">
        <v>5.9</v>
      </c>
      <c r="S302">
        <v>4.4000000000000004</v>
      </c>
      <c r="T302" t="s">
        <v>10</v>
      </c>
      <c r="U302">
        <v>6.6</v>
      </c>
      <c r="V302">
        <v>5.2</v>
      </c>
      <c r="W302">
        <v>3.4</v>
      </c>
      <c r="X302">
        <v>5.7</v>
      </c>
      <c r="Y302">
        <v>4.0999999999999996</v>
      </c>
      <c r="Z302">
        <v>6.8</v>
      </c>
      <c r="AA302">
        <v>4.9000000000000004</v>
      </c>
      <c r="AB302" t="s">
        <v>21</v>
      </c>
      <c r="AC302" t="s">
        <v>10</v>
      </c>
      <c r="AD302" t="s">
        <v>22</v>
      </c>
      <c r="AE302" t="str">
        <f t="shared" si="12"/>
        <v>20-24</v>
      </c>
      <c r="AF302" t="str">
        <f t="shared" si="13"/>
        <v>Moderate Usage</v>
      </c>
      <c r="AG302" t="str">
        <f t="shared" si="14"/>
        <v>High Loneliness</v>
      </c>
    </row>
    <row r="303" spans="1:33" x14ac:dyDescent="0.3">
      <c r="A303" t="s">
        <v>347</v>
      </c>
      <c r="B303">
        <v>38</v>
      </c>
      <c r="C303" t="s">
        <v>32</v>
      </c>
      <c r="D303" t="s">
        <v>58</v>
      </c>
      <c r="E303" t="s">
        <v>15</v>
      </c>
      <c r="F303" t="s">
        <v>45</v>
      </c>
      <c r="G303" t="s">
        <v>17</v>
      </c>
      <c r="H303" t="s">
        <v>18</v>
      </c>
      <c r="I303" t="s">
        <v>29</v>
      </c>
      <c r="J303" t="s">
        <v>20</v>
      </c>
      <c r="K303" t="s">
        <v>9</v>
      </c>
      <c r="L303">
        <v>1.47</v>
      </c>
      <c r="M303">
        <v>3.75</v>
      </c>
      <c r="N303">
        <v>2.74</v>
      </c>
      <c r="O303">
        <v>5.65</v>
      </c>
      <c r="P303">
        <v>2</v>
      </c>
      <c r="Q303">
        <v>6.6</v>
      </c>
      <c r="R303">
        <v>5.9</v>
      </c>
      <c r="S303">
        <v>7</v>
      </c>
      <c r="T303" t="s">
        <v>10</v>
      </c>
      <c r="U303">
        <v>6.6</v>
      </c>
      <c r="V303">
        <v>7.5</v>
      </c>
      <c r="W303">
        <v>4</v>
      </c>
      <c r="X303">
        <v>4.9000000000000004</v>
      </c>
      <c r="Y303">
        <v>5.3</v>
      </c>
      <c r="Z303">
        <v>5.9</v>
      </c>
      <c r="AA303">
        <v>6.5</v>
      </c>
      <c r="AB303" t="s">
        <v>44</v>
      </c>
      <c r="AC303" t="s">
        <v>39</v>
      </c>
      <c r="AD303" t="s">
        <v>22</v>
      </c>
      <c r="AE303" t="str">
        <f t="shared" si="12"/>
        <v>35-44</v>
      </c>
      <c r="AF303" t="str">
        <f t="shared" si="13"/>
        <v>Low Usage</v>
      </c>
      <c r="AG303" t="str">
        <f t="shared" si="14"/>
        <v>High Loneliness</v>
      </c>
    </row>
    <row r="304" spans="1:33" x14ac:dyDescent="0.3">
      <c r="A304" t="s">
        <v>348</v>
      </c>
      <c r="B304">
        <v>19</v>
      </c>
      <c r="C304" t="s">
        <v>32</v>
      </c>
      <c r="D304" t="s">
        <v>14</v>
      </c>
      <c r="E304" t="s">
        <v>37</v>
      </c>
      <c r="F304" t="s">
        <v>16</v>
      </c>
      <c r="G304" t="s">
        <v>17</v>
      </c>
      <c r="H304" t="s">
        <v>33</v>
      </c>
      <c r="I304" t="s">
        <v>35</v>
      </c>
      <c r="J304" t="s">
        <v>51</v>
      </c>
      <c r="K304" t="s">
        <v>53</v>
      </c>
      <c r="L304">
        <v>0.97</v>
      </c>
      <c r="M304">
        <v>4.54</v>
      </c>
      <c r="N304">
        <v>0.96</v>
      </c>
      <c r="O304">
        <v>4.3499999999999996</v>
      </c>
      <c r="P304">
        <v>7</v>
      </c>
      <c r="Q304">
        <v>3.8</v>
      </c>
      <c r="R304">
        <v>1.1000000000000001</v>
      </c>
      <c r="S304">
        <v>8.5</v>
      </c>
      <c r="T304" t="s">
        <v>10</v>
      </c>
      <c r="U304">
        <v>8.4</v>
      </c>
      <c r="V304">
        <v>9.5</v>
      </c>
      <c r="W304">
        <v>5.9</v>
      </c>
      <c r="X304">
        <v>1.3</v>
      </c>
      <c r="Y304">
        <v>2.2999999999999998</v>
      </c>
      <c r="Z304">
        <v>3.2</v>
      </c>
      <c r="AA304">
        <v>9.1</v>
      </c>
      <c r="AB304" t="s">
        <v>11</v>
      </c>
      <c r="AC304" t="s">
        <v>10</v>
      </c>
      <c r="AD304" t="s">
        <v>12</v>
      </c>
      <c r="AE304" t="str">
        <f t="shared" si="12"/>
        <v>15-19</v>
      </c>
      <c r="AF304" t="str">
        <f t="shared" si="13"/>
        <v>Very Low Usage</v>
      </c>
      <c r="AG304" t="str">
        <f t="shared" si="14"/>
        <v>Moderate Loneliness</v>
      </c>
    </row>
    <row r="305" spans="1:33" x14ac:dyDescent="0.3">
      <c r="A305" t="s">
        <v>349</v>
      </c>
      <c r="B305">
        <v>34</v>
      </c>
      <c r="C305" t="s">
        <v>1</v>
      </c>
      <c r="D305" t="s">
        <v>14</v>
      </c>
      <c r="E305" t="s">
        <v>37</v>
      </c>
      <c r="F305" t="s">
        <v>4</v>
      </c>
      <c r="G305" t="s">
        <v>66</v>
      </c>
      <c r="H305" t="s">
        <v>18</v>
      </c>
      <c r="I305" t="s">
        <v>35</v>
      </c>
      <c r="J305" t="s">
        <v>20</v>
      </c>
      <c r="K305" t="s">
        <v>30</v>
      </c>
      <c r="L305">
        <v>2.5299999999999998</v>
      </c>
      <c r="M305">
        <v>2.48</v>
      </c>
      <c r="N305">
        <v>2.4900000000000002</v>
      </c>
      <c r="O305">
        <v>7.28</v>
      </c>
      <c r="P305">
        <v>2</v>
      </c>
      <c r="Q305">
        <v>8.3000000000000007</v>
      </c>
      <c r="R305">
        <v>7</v>
      </c>
      <c r="S305">
        <v>4.3</v>
      </c>
      <c r="T305" t="s">
        <v>10</v>
      </c>
      <c r="U305">
        <v>6</v>
      </c>
      <c r="V305">
        <v>5.0999999999999996</v>
      </c>
      <c r="W305">
        <v>0.9</v>
      </c>
      <c r="X305">
        <v>6.3</v>
      </c>
      <c r="Y305">
        <v>5.3</v>
      </c>
      <c r="Z305">
        <v>3.7</v>
      </c>
      <c r="AA305">
        <v>4.9000000000000004</v>
      </c>
      <c r="AB305" t="s">
        <v>44</v>
      </c>
      <c r="AC305" t="s">
        <v>10</v>
      </c>
      <c r="AD305" t="s">
        <v>45</v>
      </c>
      <c r="AE305" t="str">
        <f t="shared" si="12"/>
        <v>25-34</v>
      </c>
      <c r="AF305" t="str">
        <f t="shared" si="13"/>
        <v>Moderate Usage</v>
      </c>
      <c r="AG305" t="str">
        <f t="shared" si="14"/>
        <v>High Loneliness</v>
      </c>
    </row>
    <row r="306" spans="1:33" x14ac:dyDescent="0.3">
      <c r="A306" t="s">
        <v>350</v>
      </c>
      <c r="B306">
        <v>16</v>
      </c>
      <c r="C306" t="s">
        <v>32</v>
      </c>
      <c r="D306" t="s">
        <v>2</v>
      </c>
      <c r="E306" t="s">
        <v>15</v>
      </c>
      <c r="F306" t="s">
        <v>12</v>
      </c>
      <c r="G306" t="s">
        <v>66</v>
      </c>
      <c r="H306" t="s">
        <v>28</v>
      </c>
      <c r="I306" t="s">
        <v>29</v>
      </c>
      <c r="J306" t="s">
        <v>20</v>
      </c>
      <c r="K306" t="s">
        <v>25</v>
      </c>
      <c r="L306">
        <v>0</v>
      </c>
      <c r="M306">
        <v>6.7</v>
      </c>
      <c r="N306">
        <v>0.75</v>
      </c>
      <c r="O306">
        <v>3.26</v>
      </c>
      <c r="P306">
        <v>7</v>
      </c>
      <c r="Q306">
        <v>3.6</v>
      </c>
      <c r="R306">
        <v>2.5</v>
      </c>
      <c r="S306">
        <v>7.9</v>
      </c>
      <c r="T306" t="s">
        <v>10</v>
      </c>
      <c r="U306">
        <v>8.5</v>
      </c>
      <c r="V306">
        <v>8.3000000000000007</v>
      </c>
      <c r="W306">
        <v>4.7</v>
      </c>
      <c r="X306">
        <v>2.1</v>
      </c>
      <c r="Y306">
        <v>1.5</v>
      </c>
      <c r="Z306">
        <v>4.5999999999999996</v>
      </c>
      <c r="AA306">
        <v>7</v>
      </c>
      <c r="AB306" t="s">
        <v>11</v>
      </c>
      <c r="AC306" t="s">
        <v>10</v>
      </c>
      <c r="AD306" t="s">
        <v>12</v>
      </c>
      <c r="AE306" t="str">
        <f t="shared" si="12"/>
        <v>15-19</v>
      </c>
      <c r="AF306" t="str">
        <f t="shared" si="13"/>
        <v>Very Low Usage</v>
      </c>
      <c r="AG306" t="str">
        <f t="shared" si="14"/>
        <v>Moderate Loneliness</v>
      </c>
    </row>
    <row r="307" spans="1:33" x14ac:dyDescent="0.3">
      <c r="A307" t="s">
        <v>351</v>
      </c>
      <c r="B307">
        <v>20</v>
      </c>
      <c r="C307" t="s">
        <v>1</v>
      </c>
      <c r="D307" t="s">
        <v>2</v>
      </c>
      <c r="E307" t="s">
        <v>59</v>
      </c>
      <c r="F307" t="s">
        <v>4</v>
      </c>
      <c r="G307" t="s">
        <v>17</v>
      </c>
      <c r="H307" t="s">
        <v>28</v>
      </c>
      <c r="I307" t="s">
        <v>29</v>
      </c>
      <c r="J307" t="s">
        <v>8</v>
      </c>
      <c r="K307" t="s">
        <v>53</v>
      </c>
      <c r="L307">
        <v>0.16</v>
      </c>
      <c r="M307">
        <v>6.2</v>
      </c>
      <c r="N307">
        <v>0.28999999999999998</v>
      </c>
      <c r="O307">
        <v>3.43</v>
      </c>
      <c r="P307">
        <v>5</v>
      </c>
      <c r="Q307">
        <v>4.0999999999999996</v>
      </c>
      <c r="R307">
        <v>2.7</v>
      </c>
      <c r="S307">
        <v>7.8</v>
      </c>
      <c r="T307" t="s">
        <v>10</v>
      </c>
      <c r="U307">
        <v>8.9</v>
      </c>
      <c r="V307">
        <v>10</v>
      </c>
      <c r="W307">
        <v>7.5</v>
      </c>
      <c r="X307">
        <v>2.4</v>
      </c>
      <c r="Y307">
        <v>1</v>
      </c>
      <c r="Z307">
        <v>2.9</v>
      </c>
      <c r="AA307">
        <v>8</v>
      </c>
      <c r="AB307" t="s">
        <v>11</v>
      </c>
      <c r="AC307" t="s">
        <v>10</v>
      </c>
      <c r="AD307" t="s">
        <v>12</v>
      </c>
      <c r="AE307" t="str">
        <f t="shared" si="12"/>
        <v>20-24</v>
      </c>
      <c r="AF307" t="str">
        <f t="shared" si="13"/>
        <v>Very Low Usage</v>
      </c>
      <c r="AG307" t="str">
        <f t="shared" si="14"/>
        <v>Moderate Loneliness</v>
      </c>
    </row>
    <row r="308" spans="1:33" x14ac:dyDescent="0.3">
      <c r="A308" t="s">
        <v>352</v>
      </c>
      <c r="B308">
        <v>36</v>
      </c>
      <c r="C308" t="s">
        <v>27</v>
      </c>
      <c r="D308" t="s">
        <v>2</v>
      </c>
      <c r="E308" t="s">
        <v>59</v>
      </c>
      <c r="F308" t="s">
        <v>4</v>
      </c>
      <c r="G308" t="s">
        <v>17</v>
      </c>
      <c r="H308" t="s">
        <v>28</v>
      </c>
      <c r="I308" t="s">
        <v>29</v>
      </c>
      <c r="J308" t="s">
        <v>20</v>
      </c>
      <c r="K308" t="s">
        <v>25</v>
      </c>
      <c r="L308">
        <v>0.69</v>
      </c>
      <c r="M308">
        <v>2.95</v>
      </c>
      <c r="N308">
        <v>2.81</v>
      </c>
      <c r="O308">
        <v>6.88</v>
      </c>
      <c r="P308">
        <v>6</v>
      </c>
      <c r="Q308">
        <v>5.7</v>
      </c>
      <c r="R308">
        <v>5.2</v>
      </c>
      <c r="S308">
        <v>7.5</v>
      </c>
      <c r="T308" t="s">
        <v>10</v>
      </c>
      <c r="U308">
        <v>6.4</v>
      </c>
      <c r="V308">
        <v>5.0999999999999996</v>
      </c>
      <c r="W308">
        <v>3.6</v>
      </c>
      <c r="X308">
        <v>4.5999999999999996</v>
      </c>
      <c r="Y308">
        <v>5</v>
      </c>
      <c r="Z308">
        <v>5.9</v>
      </c>
      <c r="AA308">
        <v>5.5</v>
      </c>
      <c r="AB308" t="s">
        <v>44</v>
      </c>
      <c r="AC308" t="s">
        <v>10</v>
      </c>
      <c r="AD308" t="s">
        <v>12</v>
      </c>
      <c r="AE308" t="str">
        <f t="shared" si="12"/>
        <v>35-44</v>
      </c>
      <c r="AF308" t="str">
        <f t="shared" si="13"/>
        <v>Very Low Usage</v>
      </c>
      <c r="AG308" t="str">
        <f t="shared" si="14"/>
        <v>Moderate Loneliness</v>
      </c>
    </row>
    <row r="309" spans="1:33" x14ac:dyDescent="0.3">
      <c r="A309" t="s">
        <v>353</v>
      </c>
      <c r="B309">
        <v>25</v>
      </c>
      <c r="C309" t="s">
        <v>1</v>
      </c>
      <c r="D309" t="s">
        <v>41</v>
      </c>
      <c r="E309" t="s">
        <v>37</v>
      </c>
      <c r="F309" t="s">
        <v>12</v>
      </c>
      <c r="G309" t="s">
        <v>17</v>
      </c>
      <c r="H309" t="s">
        <v>6</v>
      </c>
      <c r="I309" t="s">
        <v>35</v>
      </c>
      <c r="J309" t="s">
        <v>51</v>
      </c>
      <c r="K309" t="s">
        <v>53</v>
      </c>
      <c r="L309">
        <v>0</v>
      </c>
      <c r="M309">
        <v>6.8</v>
      </c>
      <c r="N309">
        <v>0.47</v>
      </c>
      <c r="O309">
        <v>4.42</v>
      </c>
      <c r="P309">
        <v>6</v>
      </c>
      <c r="Q309">
        <v>1</v>
      </c>
      <c r="R309">
        <v>1</v>
      </c>
      <c r="S309">
        <v>8.5</v>
      </c>
      <c r="T309" t="s">
        <v>10</v>
      </c>
      <c r="U309">
        <v>8.1</v>
      </c>
      <c r="V309">
        <v>8.4</v>
      </c>
      <c r="W309">
        <v>4.4000000000000004</v>
      </c>
      <c r="X309">
        <v>1</v>
      </c>
      <c r="Y309">
        <v>2.6</v>
      </c>
      <c r="Z309">
        <v>2.6</v>
      </c>
      <c r="AA309">
        <v>7.4</v>
      </c>
      <c r="AB309" t="s">
        <v>11</v>
      </c>
      <c r="AC309" t="s">
        <v>10</v>
      </c>
      <c r="AD309" t="s">
        <v>12</v>
      </c>
      <c r="AE309" t="str">
        <f t="shared" si="12"/>
        <v>25-34</v>
      </c>
      <c r="AF309" t="str">
        <f t="shared" si="13"/>
        <v>Very Low Usage</v>
      </c>
      <c r="AG309" t="str">
        <f t="shared" si="14"/>
        <v>Low Loneliness</v>
      </c>
    </row>
    <row r="310" spans="1:33" x14ac:dyDescent="0.3">
      <c r="A310" t="s">
        <v>354</v>
      </c>
      <c r="B310">
        <v>30</v>
      </c>
      <c r="C310" t="s">
        <v>1</v>
      </c>
      <c r="D310" t="s">
        <v>14</v>
      </c>
      <c r="E310" t="s">
        <v>37</v>
      </c>
      <c r="F310" t="s">
        <v>16</v>
      </c>
      <c r="G310" t="s">
        <v>17</v>
      </c>
      <c r="H310" t="s">
        <v>28</v>
      </c>
      <c r="I310" t="s">
        <v>29</v>
      </c>
      <c r="J310" t="s">
        <v>20</v>
      </c>
      <c r="K310" t="s">
        <v>25</v>
      </c>
      <c r="L310">
        <v>4.79</v>
      </c>
      <c r="M310">
        <v>3.98</v>
      </c>
      <c r="N310">
        <v>3.42</v>
      </c>
      <c r="O310">
        <v>10.220000000000001</v>
      </c>
      <c r="P310">
        <v>4</v>
      </c>
      <c r="Q310">
        <v>8.1</v>
      </c>
      <c r="R310">
        <v>5.9</v>
      </c>
      <c r="S310">
        <v>4.2</v>
      </c>
      <c r="T310" t="s">
        <v>39</v>
      </c>
      <c r="U310">
        <v>6.3</v>
      </c>
      <c r="V310">
        <v>5.0999999999999996</v>
      </c>
      <c r="W310">
        <v>2.6</v>
      </c>
      <c r="X310">
        <v>5.6</v>
      </c>
      <c r="Y310">
        <v>6.4</v>
      </c>
      <c r="Z310">
        <v>6.4</v>
      </c>
      <c r="AA310">
        <v>6.4</v>
      </c>
      <c r="AB310" t="s">
        <v>21</v>
      </c>
      <c r="AC310" t="s">
        <v>39</v>
      </c>
      <c r="AD310" t="s">
        <v>45</v>
      </c>
      <c r="AE310" t="str">
        <f t="shared" si="12"/>
        <v>25-34</v>
      </c>
      <c r="AF310" t="str">
        <f t="shared" si="13"/>
        <v>High Usage</v>
      </c>
      <c r="AG310" t="str">
        <f t="shared" si="14"/>
        <v>High Loneliness</v>
      </c>
    </row>
    <row r="311" spans="1:33" x14ac:dyDescent="0.3">
      <c r="A311" t="s">
        <v>355</v>
      </c>
      <c r="B311">
        <v>30</v>
      </c>
      <c r="C311" t="s">
        <v>1</v>
      </c>
      <c r="D311" t="s">
        <v>14</v>
      </c>
      <c r="E311" t="s">
        <v>15</v>
      </c>
      <c r="F311" t="s">
        <v>45</v>
      </c>
      <c r="G311" t="s">
        <v>43</v>
      </c>
      <c r="H311" t="s">
        <v>28</v>
      </c>
      <c r="I311" t="s">
        <v>19</v>
      </c>
      <c r="J311" t="s">
        <v>51</v>
      </c>
      <c r="K311" t="s">
        <v>9</v>
      </c>
      <c r="L311">
        <v>0</v>
      </c>
      <c r="M311">
        <v>7.02</v>
      </c>
      <c r="N311">
        <v>0</v>
      </c>
      <c r="O311">
        <v>1.46</v>
      </c>
      <c r="P311">
        <v>10</v>
      </c>
      <c r="Q311">
        <v>1</v>
      </c>
      <c r="R311">
        <v>1</v>
      </c>
      <c r="S311">
        <v>10</v>
      </c>
      <c r="T311" t="s">
        <v>39</v>
      </c>
      <c r="U311">
        <v>9.3000000000000007</v>
      </c>
      <c r="V311">
        <v>10</v>
      </c>
      <c r="W311">
        <v>5.5</v>
      </c>
      <c r="X311">
        <v>1</v>
      </c>
      <c r="Y311">
        <v>1</v>
      </c>
      <c r="Z311">
        <v>1</v>
      </c>
      <c r="AA311">
        <v>10</v>
      </c>
      <c r="AB311" t="s">
        <v>11</v>
      </c>
      <c r="AC311" t="s">
        <v>39</v>
      </c>
      <c r="AD311" t="s">
        <v>12</v>
      </c>
      <c r="AE311" t="str">
        <f t="shared" si="12"/>
        <v>25-34</v>
      </c>
      <c r="AF311" t="str">
        <f t="shared" si="13"/>
        <v>Very Low Usage</v>
      </c>
      <c r="AG311" t="str">
        <f t="shared" si="14"/>
        <v>Low Loneliness</v>
      </c>
    </row>
    <row r="312" spans="1:33" x14ac:dyDescent="0.3">
      <c r="A312" t="s">
        <v>356</v>
      </c>
      <c r="B312">
        <v>15</v>
      </c>
      <c r="C312" t="s">
        <v>89</v>
      </c>
      <c r="D312" t="s">
        <v>14</v>
      </c>
      <c r="E312" t="s">
        <v>37</v>
      </c>
      <c r="F312" t="s">
        <v>4</v>
      </c>
      <c r="G312" t="s">
        <v>17</v>
      </c>
      <c r="H312" t="s">
        <v>33</v>
      </c>
      <c r="I312" t="s">
        <v>19</v>
      </c>
      <c r="J312" t="s">
        <v>20</v>
      </c>
      <c r="K312" t="s">
        <v>30</v>
      </c>
      <c r="L312">
        <v>0.08</v>
      </c>
      <c r="M312">
        <v>4.42</v>
      </c>
      <c r="N312">
        <v>0.61</v>
      </c>
      <c r="O312">
        <v>1.47</v>
      </c>
      <c r="P312">
        <v>6</v>
      </c>
      <c r="Q312">
        <v>4.3</v>
      </c>
      <c r="R312">
        <v>3.8</v>
      </c>
      <c r="S312">
        <v>6.3</v>
      </c>
      <c r="T312" t="s">
        <v>10</v>
      </c>
      <c r="U312">
        <v>8.9</v>
      </c>
      <c r="V312">
        <v>5.4</v>
      </c>
      <c r="W312">
        <v>2</v>
      </c>
      <c r="X312">
        <v>1</v>
      </c>
      <c r="Y312">
        <v>2.7</v>
      </c>
      <c r="Z312">
        <v>2.8</v>
      </c>
      <c r="AA312">
        <v>8.3000000000000007</v>
      </c>
      <c r="AB312" t="s">
        <v>11</v>
      </c>
      <c r="AC312" t="s">
        <v>10</v>
      </c>
      <c r="AD312" t="s">
        <v>12</v>
      </c>
      <c r="AE312" t="str">
        <f t="shared" si="12"/>
        <v>15-19</v>
      </c>
      <c r="AF312" t="str">
        <f t="shared" si="13"/>
        <v>Very Low Usage</v>
      </c>
      <c r="AG312" t="str">
        <f t="shared" si="14"/>
        <v>Moderate Loneliness</v>
      </c>
    </row>
    <row r="313" spans="1:33" x14ac:dyDescent="0.3">
      <c r="A313" t="s">
        <v>357</v>
      </c>
      <c r="B313">
        <v>23</v>
      </c>
      <c r="C313" t="s">
        <v>32</v>
      </c>
      <c r="D313" t="s">
        <v>58</v>
      </c>
      <c r="E313" t="s">
        <v>37</v>
      </c>
      <c r="F313" t="s">
        <v>16</v>
      </c>
      <c r="G313" t="s">
        <v>43</v>
      </c>
      <c r="H313" t="s">
        <v>28</v>
      </c>
      <c r="I313" t="s">
        <v>24</v>
      </c>
      <c r="J313" t="s">
        <v>8</v>
      </c>
      <c r="K313" t="s">
        <v>1079</v>
      </c>
      <c r="L313">
        <v>4.3899999999999997</v>
      </c>
      <c r="M313">
        <v>1.45</v>
      </c>
      <c r="N313">
        <v>3.2</v>
      </c>
      <c r="O313">
        <v>10.029999999999999</v>
      </c>
      <c r="P313">
        <v>3</v>
      </c>
      <c r="Q313">
        <v>7</v>
      </c>
      <c r="R313">
        <v>10</v>
      </c>
      <c r="S313">
        <v>5.0999999999999996</v>
      </c>
      <c r="T313" t="s">
        <v>10</v>
      </c>
      <c r="U313">
        <v>4.4000000000000004</v>
      </c>
      <c r="V313">
        <v>1.4</v>
      </c>
      <c r="W313">
        <v>1.8</v>
      </c>
      <c r="X313">
        <v>8.3000000000000007</v>
      </c>
      <c r="Y313">
        <v>6.3</v>
      </c>
      <c r="Z313">
        <v>7.6</v>
      </c>
      <c r="AA313">
        <v>2.6</v>
      </c>
      <c r="AB313" t="s">
        <v>44</v>
      </c>
      <c r="AC313" t="s">
        <v>10</v>
      </c>
      <c r="AD313" t="s">
        <v>45</v>
      </c>
      <c r="AE313" t="str">
        <f t="shared" si="12"/>
        <v>20-24</v>
      </c>
      <c r="AF313" t="str">
        <f t="shared" si="13"/>
        <v>High Usage</v>
      </c>
      <c r="AG313" t="str">
        <f t="shared" si="14"/>
        <v>High Loneliness</v>
      </c>
    </row>
    <row r="314" spans="1:33" x14ac:dyDescent="0.3">
      <c r="A314" t="s">
        <v>358</v>
      </c>
      <c r="B314">
        <v>42</v>
      </c>
      <c r="C314" t="s">
        <v>32</v>
      </c>
      <c r="D314" t="s">
        <v>2</v>
      </c>
      <c r="E314" t="s">
        <v>37</v>
      </c>
      <c r="F314" t="s">
        <v>12</v>
      </c>
      <c r="G314" t="s">
        <v>17</v>
      </c>
      <c r="H314" t="s">
        <v>18</v>
      </c>
      <c r="I314" t="s">
        <v>29</v>
      </c>
      <c r="J314" t="s">
        <v>8</v>
      </c>
      <c r="K314" t="s">
        <v>53</v>
      </c>
      <c r="L314">
        <v>0</v>
      </c>
      <c r="M314">
        <v>4.9800000000000004</v>
      </c>
      <c r="N314">
        <v>3.98</v>
      </c>
      <c r="O314">
        <v>6.82</v>
      </c>
      <c r="P314">
        <v>3</v>
      </c>
      <c r="Q314">
        <v>2.5</v>
      </c>
      <c r="R314">
        <v>2.5</v>
      </c>
      <c r="S314">
        <v>7.4</v>
      </c>
      <c r="T314" t="s">
        <v>10</v>
      </c>
      <c r="U314">
        <v>6.2</v>
      </c>
      <c r="V314">
        <v>7.3</v>
      </c>
      <c r="W314">
        <v>5</v>
      </c>
      <c r="X314">
        <v>1.7</v>
      </c>
      <c r="Y314">
        <v>3</v>
      </c>
      <c r="Z314">
        <v>4</v>
      </c>
      <c r="AA314">
        <v>7</v>
      </c>
      <c r="AB314" t="s">
        <v>21</v>
      </c>
      <c r="AC314" t="s">
        <v>10</v>
      </c>
      <c r="AD314" t="s">
        <v>12</v>
      </c>
      <c r="AE314" t="str">
        <f t="shared" si="12"/>
        <v>35-44</v>
      </c>
      <c r="AF314" t="str">
        <f t="shared" si="13"/>
        <v>Very Low Usage</v>
      </c>
      <c r="AG314" t="str">
        <f t="shared" si="14"/>
        <v>Low Loneliness</v>
      </c>
    </row>
    <row r="315" spans="1:33" x14ac:dyDescent="0.3">
      <c r="A315" t="s">
        <v>359</v>
      </c>
      <c r="B315">
        <v>41</v>
      </c>
      <c r="C315" t="s">
        <v>1</v>
      </c>
      <c r="D315" t="s">
        <v>14</v>
      </c>
      <c r="E315" t="s">
        <v>15</v>
      </c>
      <c r="F315" t="s">
        <v>4</v>
      </c>
      <c r="G315" t="s">
        <v>66</v>
      </c>
      <c r="H315" t="s">
        <v>28</v>
      </c>
      <c r="I315" t="s">
        <v>29</v>
      </c>
      <c r="J315" t="s">
        <v>8</v>
      </c>
      <c r="K315" t="s">
        <v>9</v>
      </c>
      <c r="L315">
        <v>0.22</v>
      </c>
      <c r="M315">
        <v>3.72</v>
      </c>
      <c r="N315">
        <v>1.82</v>
      </c>
      <c r="O315">
        <v>2.7</v>
      </c>
      <c r="P315">
        <v>4</v>
      </c>
      <c r="Q315">
        <v>2.9</v>
      </c>
      <c r="R315">
        <v>3.3</v>
      </c>
      <c r="S315">
        <v>8.1</v>
      </c>
      <c r="T315" t="s">
        <v>10</v>
      </c>
      <c r="U315">
        <v>7.3</v>
      </c>
      <c r="V315">
        <v>10</v>
      </c>
      <c r="W315">
        <v>5.7</v>
      </c>
      <c r="X315">
        <v>2.9</v>
      </c>
      <c r="Y315">
        <v>1.6</v>
      </c>
      <c r="Z315">
        <v>3.6</v>
      </c>
      <c r="AA315">
        <v>7.8</v>
      </c>
      <c r="AB315" t="s">
        <v>11</v>
      </c>
      <c r="AC315" t="s">
        <v>10</v>
      </c>
      <c r="AD315" t="s">
        <v>12</v>
      </c>
      <c r="AE315" t="str">
        <f t="shared" si="12"/>
        <v>35-44</v>
      </c>
      <c r="AF315" t="str">
        <f t="shared" si="13"/>
        <v>Very Low Usage</v>
      </c>
      <c r="AG315" t="str">
        <f t="shared" si="14"/>
        <v>Low Loneliness</v>
      </c>
    </row>
    <row r="316" spans="1:33" x14ac:dyDescent="0.3">
      <c r="A316" t="s">
        <v>360</v>
      </c>
      <c r="B316">
        <v>20</v>
      </c>
      <c r="C316" t="s">
        <v>32</v>
      </c>
      <c r="D316" t="s">
        <v>47</v>
      </c>
      <c r="E316" t="s">
        <v>3</v>
      </c>
      <c r="F316" t="s">
        <v>12</v>
      </c>
      <c r="G316" t="s">
        <v>17</v>
      </c>
      <c r="H316" t="s">
        <v>6</v>
      </c>
      <c r="I316" t="s">
        <v>35</v>
      </c>
      <c r="J316" t="s">
        <v>48</v>
      </c>
      <c r="K316" t="s">
        <v>1079</v>
      </c>
      <c r="L316">
        <v>3.09</v>
      </c>
      <c r="M316">
        <v>3.7</v>
      </c>
      <c r="N316">
        <v>3.71</v>
      </c>
      <c r="O316">
        <v>9.9499999999999993</v>
      </c>
      <c r="P316">
        <v>2</v>
      </c>
      <c r="Q316">
        <v>8</v>
      </c>
      <c r="R316">
        <v>8.8000000000000007</v>
      </c>
      <c r="S316">
        <v>2.2000000000000002</v>
      </c>
      <c r="T316" t="s">
        <v>10</v>
      </c>
      <c r="U316">
        <v>6.3</v>
      </c>
      <c r="V316">
        <v>4.2</v>
      </c>
      <c r="W316">
        <v>3.2</v>
      </c>
      <c r="X316">
        <v>3.7</v>
      </c>
      <c r="Y316">
        <v>6.5</v>
      </c>
      <c r="Z316">
        <v>8.3000000000000007</v>
      </c>
      <c r="AA316">
        <v>2.6</v>
      </c>
      <c r="AB316" t="s">
        <v>21</v>
      </c>
      <c r="AC316" t="s">
        <v>10</v>
      </c>
      <c r="AD316" t="s">
        <v>45</v>
      </c>
      <c r="AE316" t="str">
        <f t="shared" si="12"/>
        <v>20-24</v>
      </c>
      <c r="AF316" t="str">
        <f t="shared" si="13"/>
        <v>Moderate Usage</v>
      </c>
      <c r="AG316" t="str">
        <f t="shared" si="14"/>
        <v>High Loneliness</v>
      </c>
    </row>
    <row r="317" spans="1:33" x14ac:dyDescent="0.3">
      <c r="A317" t="s">
        <v>361</v>
      </c>
      <c r="B317">
        <v>30</v>
      </c>
      <c r="C317" t="s">
        <v>1</v>
      </c>
      <c r="D317" t="s">
        <v>58</v>
      </c>
      <c r="E317" t="s">
        <v>3</v>
      </c>
      <c r="F317" t="s">
        <v>16</v>
      </c>
      <c r="G317" t="s">
        <v>43</v>
      </c>
      <c r="H317" t="s">
        <v>6</v>
      </c>
      <c r="I317" t="s">
        <v>35</v>
      </c>
      <c r="J317" t="s">
        <v>51</v>
      </c>
      <c r="K317" t="s">
        <v>53</v>
      </c>
      <c r="L317">
        <v>0.54</v>
      </c>
      <c r="M317">
        <v>6.25</v>
      </c>
      <c r="N317">
        <v>1.63</v>
      </c>
      <c r="O317">
        <v>4.07</v>
      </c>
      <c r="P317">
        <v>4</v>
      </c>
      <c r="Q317">
        <v>5.4</v>
      </c>
      <c r="R317">
        <v>3.8</v>
      </c>
      <c r="S317">
        <v>8.5</v>
      </c>
      <c r="T317" t="s">
        <v>10</v>
      </c>
      <c r="U317">
        <v>6.7</v>
      </c>
      <c r="V317">
        <v>6.5</v>
      </c>
      <c r="W317">
        <v>5.9</v>
      </c>
      <c r="X317">
        <v>3.6</v>
      </c>
      <c r="Y317">
        <v>3.6</v>
      </c>
      <c r="Z317">
        <v>3.3</v>
      </c>
      <c r="AA317">
        <v>8.1</v>
      </c>
      <c r="AB317" t="s">
        <v>11</v>
      </c>
      <c r="AC317" t="s">
        <v>10</v>
      </c>
      <c r="AD317" t="s">
        <v>12</v>
      </c>
      <c r="AE317" t="str">
        <f t="shared" si="12"/>
        <v>25-34</v>
      </c>
      <c r="AF317" t="str">
        <f t="shared" si="13"/>
        <v>Very Low Usage</v>
      </c>
      <c r="AG317" t="str">
        <f t="shared" si="14"/>
        <v>Moderate Loneliness</v>
      </c>
    </row>
    <row r="318" spans="1:33" x14ac:dyDescent="0.3">
      <c r="A318" t="s">
        <v>362</v>
      </c>
      <c r="B318">
        <v>43</v>
      </c>
      <c r="C318" t="s">
        <v>32</v>
      </c>
      <c r="D318" t="s">
        <v>58</v>
      </c>
      <c r="E318" t="s">
        <v>59</v>
      </c>
      <c r="F318" t="s">
        <v>45</v>
      </c>
      <c r="G318" t="s">
        <v>17</v>
      </c>
      <c r="H318" t="s">
        <v>6</v>
      </c>
      <c r="I318" t="s">
        <v>24</v>
      </c>
      <c r="J318" t="s">
        <v>8</v>
      </c>
      <c r="K318" t="s">
        <v>30</v>
      </c>
      <c r="L318">
        <v>1.46</v>
      </c>
      <c r="M318">
        <v>3.12</v>
      </c>
      <c r="N318">
        <v>4.82</v>
      </c>
      <c r="O318">
        <v>7.02</v>
      </c>
      <c r="P318">
        <v>4</v>
      </c>
      <c r="Q318">
        <v>5.3</v>
      </c>
      <c r="R318">
        <v>6.5</v>
      </c>
      <c r="S318">
        <v>5.5</v>
      </c>
      <c r="T318" t="s">
        <v>10</v>
      </c>
      <c r="U318">
        <v>6.6</v>
      </c>
      <c r="V318">
        <v>6.1</v>
      </c>
      <c r="W318">
        <v>3</v>
      </c>
      <c r="X318">
        <v>5.0999999999999996</v>
      </c>
      <c r="Y318">
        <v>6.6</v>
      </c>
      <c r="Z318">
        <v>5.0999999999999996</v>
      </c>
      <c r="AA318">
        <v>5.0999999999999996</v>
      </c>
      <c r="AB318" t="s">
        <v>21</v>
      </c>
      <c r="AC318" t="s">
        <v>39</v>
      </c>
      <c r="AD318" t="s">
        <v>22</v>
      </c>
      <c r="AE318" t="str">
        <f t="shared" si="12"/>
        <v>35-44</v>
      </c>
      <c r="AF318" t="str">
        <f t="shared" si="13"/>
        <v>Low Usage</v>
      </c>
      <c r="AG318" t="str">
        <f t="shared" si="14"/>
        <v>Moderate Loneliness</v>
      </c>
    </row>
    <row r="319" spans="1:33" x14ac:dyDescent="0.3">
      <c r="A319" t="s">
        <v>363</v>
      </c>
      <c r="B319">
        <v>17</v>
      </c>
      <c r="C319" t="s">
        <v>1</v>
      </c>
      <c r="D319" t="s">
        <v>58</v>
      </c>
      <c r="E319" t="s">
        <v>3</v>
      </c>
      <c r="F319" t="s">
        <v>16</v>
      </c>
      <c r="G319" t="s">
        <v>5</v>
      </c>
      <c r="H319" t="s">
        <v>18</v>
      </c>
      <c r="I319" t="s">
        <v>29</v>
      </c>
      <c r="J319" t="s">
        <v>20</v>
      </c>
      <c r="K319" t="s">
        <v>1079</v>
      </c>
      <c r="L319">
        <v>2.78</v>
      </c>
      <c r="M319">
        <v>3.85</v>
      </c>
      <c r="N319">
        <v>2.06</v>
      </c>
      <c r="O319">
        <v>5.99</v>
      </c>
      <c r="P319">
        <v>1</v>
      </c>
      <c r="Q319">
        <v>8.6999999999999993</v>
      </c>
      <c r="R319">
        <v>6.1</v>
      </c>
      <c r="S319">
        <v>4.9000000000000004</v>
      </c>
      <c r="T319" t="s">
        <v>10</v>
      </c>
      <c r="U319">
        <v>5.5</v>
      </c>
      <c r="V319">
        <v>6.4</v>
      </c>
      <c r="W319">
        <v>5.8</v>
      </c>
      <c r="X319">
        <v>6.2</v>
      </c>
      <c r="Y319">
        <v>7.1</v>
      </c>
      <c r="Z319">
        <v>7.7</v>
      </c>
      <c r="AA319">
        <v>2.8</v>
      </c>
      <c r="AB319" t="s">
        <v>44</v>
      </c>
      <c r="AC319" t="s">
        <v>10</v>
      </c>
      <c r="AD319" t="s">
        <v>45</v>
      </c>
      <c r="AE319" t="str">
        <f t="shared" si="12"/>
        <v>15-19</v>
      </c>
      <c r="AF319" t="str">
        <f t="shared" si="13"/>
        <v>Moderate Usage</v>
      </c>
      <c r="AG319" t="str">
        <f t="shared" si="14"/>
        <v>High Loneliness</v>
      </c>
    </row>
    <row r="320" spans="1:33" x14ac:dyDescent="0.3">
      <c r="A320" t="s">
        <v>364</v>
      </c>
      <c r="B320">
        <v>34</v>
      </c>
      <c r="C320" t="s">
        <v>1</v>
      </c>
      <c r="D320" t="s">
        <v>14</v>
      </c>
      <c r="E320" t="s">
        <v>37</v>
      </c>
      <c r="F320" t="s">
        <v>12</v>
      </c>
      <c r="G320" t="s">
        <v>17</v>
      </c>
      <c r="H320" t="s">
        <v>33</v>
      </c>
      <c r="I320" t="s">
        <v>29</v>
      </c>
      <c r="J320" t="s">
        <v>20</v>
      </c>
      <c r="K320" t="s">
        <v>53</v>
      </c>
      <c r="L320">
        <v>2.0099999999999998</v>
      </c>
      <c r="M320">
        <v>3.06</v>
      </c>
      <c r="N320">
        <v>2.92</v>
      </c>
      <c r="O320">
        <v>5.98</v>
      </c>
      <c r="P320">
        <v>2</v>
      </c>
      <c r="Q320">
        <v>4.5999999999999996</v>
      </c>
      <c r="R320">
        <v>7.8</v>
      </c>
      <c r="S320">
        <v>7.5</v>
      </c>
      <c r="T320" t="s">
        <v>39</v>
      </c>
      <c r="U320">
        <v>6.3</v>
      </c>
      <c r="V320">
        <v>4.9000000000000004</v>
      </c>
      <c r="W320">
        <v>2.2000000000000002</v>
      </c>
      <c r="X320">
        <v>5.6</v>
      </c>
      <c r="Y320">
        <v>5.5</v>
      </c>
      <c r="Z320">
        <v>8.1</v>
      </c>
      <c r="AA320">
        <v>6.2</v>
      </c>
      <c r="AB320" t="s">
        <v>21</v>
      </c>
      <c r="AC320" t="s">
        <v>10</v>
      </c>
      <c r="AD320" t="s">
        <v>22</v>
      </c>
      <c r="AE320" t="str">
        <f t="shared" si="12"/>
        <v>25-34</v>
      </c>
      <c r="AF320" t="str">
        <f t="shared" si="13"/>
        <v>Low Usage</v>
      </c>
      <c r="AG320" t="str">
        <f t="shared" si="14"/>
        <v>Moderate Loneliness</v>
      </c>
    </row>
    <row r="321" spans="1:33" x14ac:dyDescent="0.3">
      <c r="A321" t="s">
        <v>365</v>
      </c>
      <c r="B321">
        <v>42</v>
      </c>
      <c r="C321" t="s">
        <v>1</v>
      </c>
      <c r="D321" t="s">
        <v>47</v>
      </c>
      <c r="E321" t="s">
        <v>3</v>
      </c>
      <c r="F321" t="s">
        <v>4</v>
      </c>
      <c r="G321" t="s">
        <v>17</v>
      </c>
      <c r="H321" t="s">
        <v>28</v>
      </c>
      <c r="I321" t="s">
        <v>24</v>
      </c>
      <c r="J321" t="s">
        <v>20</v>
      </c>
      <c r="K321" t="s">
        <v>53</v>
      </c>
      <c r="L321">
        <v>0.86</v>
      </c>
      <c r="M321">
        <v>4.88</v>
      </c>
      <c r="N321">
        <v>0</v>
      </c>
      <c r="O321">
        <v>1.93</v>
      </c>
      <c r="P321">
        <v>8</v>
      </c>
      <c r="Q321">
        <v>4.4000000000000004</v>
      </c>
      <c r="R321">
        <v>1.8</v>
      </c>
      <c r="S321">
        <v>8.1999999999999993</v>
      </c>
      <c r="T321" t="s">
        <v>10</v>
      </c>
      <c r="U321">
        <v>9.1999999999999993</v>
      </c>
      <c r="V321">
        <v>9.6</v>
      </c>
      <c r="W321">
        <v>5.3</v>
      </c>
      <c r="X321">
        <v>1</v>
      </c>
      <c r="Y321">
        <v>1</v>
      </c>
      <c r="Z321">
        <v>1.1000000000000001</v>
      </c>
      <c r="AA321">
        <v>10</v>
      </c>
      <c r="AB321" t="s">
        <v>11</v>
      </c>
      <c r="AC321" t="s">
        <v>10</v>
      </c>
      <c r="AD321" t="s">
        <v>12</v>
      </c>
      <c r="AE321" t="str">
        <f t="shared" si="12"/>
        <v>35-44</v>
      </c>
      <c r="AF321" t="str">
        <f t="shared" si="13"/>
        <v>Very Low Usage</v>
      </c>
      <c r="AG321" t="str">
        <f t="shared" si="14"/>
        <v>Moderate Loneliness</v>
      </c>
    </row>
    <row r="322" spans="1:33" x14ac:dyDescent="0.3">
      <c r="A322" t="s">
        <v>366</v>
      </c>
      <c r="B322">
        <v>41</v>
      </c>
      <c r="C322" t="s">
        <v>32</v>
      </c>
      <c r="D322" t="s">
        <v>2</v>
      </c>
      <c r="E322" t="s">
        <v>3</v>
      </c>
      <c r="F322" t="s">
        <v>4</v>
      </c>
      <c r="G322" t="s">
        <v>43</v>
      </c>
      <c r="H322" t="s">
        <v>28</v>
      </c>
      <c r="I322" t="s">
        <v>29</v>
      </c>
      <c r="J322" t="s">
        <v>8</v>
      </c>
      <c r="K322" t="s">
        <v>53</v>
      </c>
      <c r="L322">
        <v>0</v>
      </c>
      <c r="M322">
        <v>5.76</v>
      </c>
      <c r="N322">
        <v>0</v>
      </c>
      <c r="O322">
        <v>2.57</v>
      </c>
      <c r="P322">
        <v>3</v>
      </c>
      <c r="Q322">
        <v>1.8</v>
      </c>
      <c r="R322">
        <v>3.3</v>
      </c>
      <c r="S322">
        <v>7</v>
      </c>
      <c r="T322" t="s">
        <v>10</v>
      </c>
      <c r="U322">
        <v>7.1</v>
      </c>
      <c r="V322">
        <v>7.8</v>
      </c>
      <c r="W322">
        <v>7.2</v>
      </c>
      <c r="X322">
        <v>3.4</v>
      </c>
      <c r="Y322">
        <v>2.9</v>
      </c>
      <c r="Z322">
        <v>3.8</v>
      </c>
      <c r="AA322">
        <v>9.6</v>
      </c>
      <c r="AB322" t="s">
        <v>21</v>
      </c>
      <c r="AC322" t="s">
        <v>39</v>
      </c>
      <c r="AD322" t="s">
        <v>12</v>
      </c>
      <c r="AE322" t="str">
        <f t="shared" si="12"/>
        <v>35-44</v>
      </c>
      <c r="AF322" t="str">
        <f t="shared" si="13"/>
        <v>Very Low Usage</v>
      </c>
      <c r="AG322" t="str">
        <f t="shared" si="14"/>
        <v>Low Loneliness</v>
      </c>
    </row>
    <row r="323" spans="1:33" x14ac:dyDescent="0.3">
      <c r="A323" t="s">
        <v>367</v>
      </c>
      <c r="B323">
        <v>18</v>
      </c>
      <c r="C323" t="s">
        <v>32</v>
      </c>
      <c r="D323" t="s">
        <v>58</v>
      </c>
      <c r="E323" t="s">
        <v>3</v>
      </c>
      <c r="F323" t="s">
        <v>4</v>
      </c>
      <c r="G323" t="s">
        <v>43</v>
      </c>
      <c r="H323" t="s">
        <v>28</v>
      </c>
      <c r="I323" t="s">
        <v>35</v>
      </c>
      <c r="J323" t="s">
        <v>8</v>
      </c>
      <c r="K323" t="s">
        <v>30</v>
      </c>
      <c r="L323">
        <v>3.92</v>
      </c>
      <c r="M323">
        <v>2.59</v>
      </c>
      <c r="N323">
        <v>4.4800000000000004</v>
      </c>
      <c r="O323">
        <v>11.26</v>
      </c>
      <c r="P323">
        <v>0</v>
      </c>
      <c r="Q323">
        <v>10</v>
      </c>
      <c r="R323">
        <v>10</v>
      </c>
      <c r="S323">
        <v>1</v>
      </c>
      <c r="T323" t="s">
        <v>39</v>
      </c>
      <c r="U323">
        <v>4.8</v>
      </c>
      <c r="V323">
        <v>2.2999999999999998</v>
      </c>
      <c r="W323">
        <v>0.2</v>
      </c>
      <c r="X323">
        <v>10</v>
      </c>
      <c r="Y323">
        <v>10</v>
      </c>
      <c r="Z323">
        <v>10</v>
      </c>
      <c r="AA323">
        <v>1</v>
      </c>
      <c r="AB323" t="s">
        <v>44</v>
      </c>
      <c r="AC323" t="s">
        <v>39</v>
      </c>
      <c r="AD323" t="s">
        <v>45</v>
      </c>
      <c r="AE323" t="str">
        <f t="shared" ref="AE323:AE386" si="15">IF(B323&lt;20,"15-19",IF(B323&lt;25,"20-24",IF(B323&lt;35,"25-34","35-44")))</f>
        <v>15-19</v>
      </c>
      <c r="AF323" t="str">
        <f t="shared" ref="AF323:AF386" si="16">IF(L323&lt;=1,"Very Low Usage",IF(L323&lt;=2.5,"Low Usage",IF(L323&lt;=4,"Moderate Usage","High Usage")))</f>
        <v>Moderate Usage</v>
      </c>
      <c r="AG323" t="str">
        <f t="shared" ref="AG323:AG386" si="17">IF(Q323&lt;=3,"Low Loneliness",IF(Q323&lt;=6,"Moderate Loneliness","High Loneliness"))</f>
        <v>High Loneliness</v>
      </c>
    </row>
    <row r="324" spans="1:33" x14ac:dyDescent="0.3">
      <c r="A324" t="s">
        <v>368</v>
      </c>
      <c r="B324">
        <v>33</v>
      </c>
      <c r="C324" t="s">
        <v>1</v>
      </c>
      <c r="D324" t="s">
        <v>47</v>
      </c>
      <c r="E324" t="s">
        <v>3</v>
      </c>
      <c r="F324" t="s">
        <v>16</v>
      </c>
      <c r="G324" t="s">
        <v>43</v>
      </c>
      <c r="H324" t="s">
        <v>18</v>
      </c>
      <c r="I324" t="s">
        <v>24</v>
      </c>
      <c r="J324" t="s">
        <v>8</v>
      </c>
      <c r="K324" t="s">
        <v>30</v>
      </c>
      <c r="L324">
        <v>1</v>
      </c>
      <c r="M324">
        <v>6.5</v>
      </c>
      <c r="N324">
        <v>2.42</v>
      </c>
      <c r="O324">
        <v>7.12</v>
      </c>
      <c r="P324">
        <v>5</v>
      </c>
      <c r="Q324">
        <v>5</v>
      </c>
      <c r="R324">
        <v>3.4</v>
      </c>
      <c r="S324">
        <v>6.9</v>
      </c>
      <c r="T324" t="s">
        <v>39</v>
      </c>
      <c r="U324">
        <v>7.5</v>
      </c>
      <c r="V324">
        <v>6.8</v>
      </c>
      <c r="W324">
        <v>4.4000000000000004</v>
      </c>
      <c r="X324">
        <v>3.7</v>
      </c>
      <c r="Y324">
        <v>2.7</v>
      </c>
      <c r="Z324">
        <v>4.8</v>
      </c>
      <c r="AA324">
        <v>7.2</v>
      </c>
      <c r="AB324" t="s">
        <v>21</v>
      </c>
      <c r="AC324" t="s">
        <v>39</v>
      </c>
      <c r="AD324" t="s">
        <v>12</v>
      </c>
      <c r="AE324" t="str">
        <f t="shared" si="15"/>
        <v>25-34</v>
      </c>
      <c r="AF324" t="str">
        <f t="shared" si="16"/>
        <v>Very Low Usage</v>
      </c>
      <c r="AG324" t="str">
        <f t="shared" si="17"/>
        <v>Moderate Loneliness</v>
      </c>
    </row>
    <row r="325" spans="1:33" x14ac:dyDescent="0.3">
      <c r="A325" t="s">
        <v>369</v>
      </c>
      <c r="B325">
        <v>40</v>
      </c>
      <c r="C325" t="s">
        <v>32</v>
      </c>
      <c r="D325" t="s">
        <v>47</v>
      </c>
      <c r="E325" t="s">
        <v>15</v>
      </c>
      <c r="F325" t="s">
        <v>16</v>
      </c>
      <c r="G325" t="s">
        <v>5</v>
      </c>
      <c r="H325" t="s">
        <v>18</v>
      </c>
      <c r="I325" t="s">
        <v>29</v>
      </c>
      <c r="J325" t="s">
        <v>8</v>
      </c>
      <c r="K325" t="s">
        <v>1079</v>
      </c>
      <c r="L325">
        <v>6.3</v>
      </c>
      <c r="M325">
        <v>1.05</v>
      </c>
      <c r="N325">
        <v>4.6900000000000004</v>
      </c>
      <c r="O325">
        <v>12.29</v>
      </c>
      <c r="P325">
        <v>2</v>
      </c>
      <c r="Q325">
        <v>10</v>
      </c>
      <c r="R325">
        <v>9.5</v>
      </c>
      <c r="S325">
        <v>1</v>
      </c>
      <c r="T325" t="s">
        <v>39</v>
      </c>
      <c r="U325">
        <v>5.9</v>
      </c>
      <c r="V325">
        <v>1.9</v>
      </c>
      <c r="W325">
        <v>1</v>
      </c>
      <c r="X325">
        <v>10</v>
      </c>
      <c r="Y325">
        <v>10</v>
      </c>
      <c r="Z325">
        <v>10</v>
      </c>
      <c r="AA325">
        <v>1</v>
      </c>
      <c r="AB325" t="s">
        <v>44</v>
      </c>
      <c r="AC325" t="s">
        <v>39</v>
      </c>
      <c r="AD325" t="s">
        <v>45</v>
      </c>
      <c r="AE325" t="str">
        <f t="shared" si="15"/>
        <v>35-44</v>
      </c>
      <c r="AF325" t="str">
        <f t="shared" si="16"/>
        <v>High Usage</v>
      </c>
      <c r="AG325" t="str">
        <f t="shared" si="17"/>
        <v>High Loneliness</v>
      </c>
    </row>
    <row r="326" spans="1:33" x14ac:dyDescent="0.3">
      <c r="A326" t="s">
        <v>370</v>
      </c>
      <c r="B326">
        <v>17</v>
      </c>
      <c r="C326" t="s">
        <v>1</v>
      </c>
      <c r="D326" t="s">
        <v>2</v>
      </c>
      <c r="E326" t="s">
        <v>37</v>
      </c>
      <c r="F326" t="s">
        <v>16</v>
      </c>
      <c r="G326" t="s">
        <v>43</v>
      </c>
      <c r="H326" t="s">
        <v>18</v>
      </c>
      <c r="I326" t="s">
        <v>35</v>
      </c>
      <c r="J326" t="s">
        <v>8</v>
      </c>
      <c r="K326" t="s">
        <v>25</v>
      </c>
      <c r="L326">
        <v>4.16</v>
      </c>
      <c r="M326">
        <v>2.98</v>
      </c>
      <c r="N326">
        <v>4.5999999999999996</v>
      </c>
      <c r="O326">
        <v>11.11</v>
      </c>
      <c r="P326">
        <v>2</v>
      </c>
      <c r="Q326">
        <v>7.7</v>
      </c>
      <c r="R326">
        <v>9.5</v>
      </c>
      <c r="S326">
        <v>3.4</v>
      </c>
      <c r="T326" t="s">
        <v>10</v>
      </c>
      <c r="U326">
        <v>5.8</v>
      </c>
      <c r="V326">
        <v>4.4000000000000004</v>
      </c>
      <c r="W326">
        <v>3.7</v>
      </c>
      <c r="X326">
        <v>8</v>
      </c>
      <c r="Y326">
        <v>7</v>
      </c>
      <c r="Z326">
        <v>7.9</v>
      </c>
      <c r="AA326">
        <v>3.6</v>
      </c>
      <c r="AB326" t="s">
        <v>44</v>
      </c>
      <c r="AC326" t="s">
        <v>10</v>
      </c>
      <c r="AD326" t="s">
        <v>45</v>
      </c>
      <c r="AE326" t="str">
        <f t="shared" si="15"/>
        <v>15-19</v>
      </c>
      <c r="AF326" t="str">
        <f t="shared" si="16"/>
        <v>High Usage</v>
      </c>
      <c r="AG326" t="str">
        <f t="shared" si="17"/>
        <v>High Loneliness</v>
      </c>
    </row>
    <row r="327" spans="1:33" x14ac:dyDescent="0.3">
      <c r="A327" t="s">
        <v>371</v>
      </c>
      <c r="B327">
        <v>33</v>
      </c>
      <c r="C327" t="s">
        <v>32</v>
      </c>
      <c r="D327" t="s">
        <v>14</v>
      </c>
      <c r="E327" t="s">
        <v>59</v>
      </c>
      <c r="F327" t="s">
        <v>4</v>
      </c>
      <c r="G327" t="s">
        <v>17</v>
      </c>
      <c r="H327" t="s">
        <v>28</v>
      </c>
      <c r="I327" t="s">
        <v>35</v>
      </c>
      <c r="J327" t="s">
        <v>8</v>
      </c>
      <c r="K327" t="s">
        <v>25</v>
      </c>
      <c r="L327">
        <v>2.42</v>
      </c>
      <c r="M327">
        <v>3.74</v>
      </c>
      <c r="N327">
        <v>3.13</v>
      </c>
      <c r="O327">
        <v>6.9</v>
      </c>
      <c r="P327">
        <v>1</v>
      </c>
      <c r="Q327">
        <v>4.9000000000000004</v>
      </c>
      <c r="R327">
        <v>6.9</v>
      </c>
      <c r="S327">
        <v>7.1</v>
      </c>
      <c r="T327" t="s">
        <v>10</v>
      </c>
      <c r="U327">
        <v>6.1</v>
      </c>
      <c r="V327">
        <v>6.4</v>
      </c>
      <c r="W327">
        <v>3.6</v>
      </c>
      <c r="X327">
        <v>5.4</v>
      </c>
      <c r="Y327">
        <v>4.7</v>
      </c>
      <c r="Z327">
        <v>2.7</v>
      </c>
      <c r="AA327">
        <v>7.1</v>
      </c>
      <c r="AB327" t="s">
        <v>21</v>
      </c>
      <c r="AC327" t="s">
        <v>10</v>
      </c>
      <c r="AD327" t="s">
        <v>22</v>
      </c>
      <c r="AE327" t="str">
        <f t="shared" si="15"/>
        <v>25-34</v>
      </c>
      <c r="AF327" t="str">
        <f t="shared" si="16"/>
        <v>Low Usage</v>
      </c>
      <c r="AG327" t="str">
        <f t="shared" si="17"/>
        <v>Moderate Loneliness</v>
      </c>
    </row>
    <row r="328" spans="1:33" x14ac:dyDescent="0.3">
      <c r="A328" t="s">
        <v>372</v>
      </c>
      <c r="B328">
        <v>34</v>
      </c>
      <c r="C328" t="s">
        <v>1</v>
      </c>
      <c r="D328" t="s">
        <v>2</v>
      </c>
      <c r="E328" t="s">
        <v>37</v>
      </c>
      <c r="F328" t="s">
        <v>4</v>
      </c>
      <c r="G328" t="s">
        <v>17</v>
      </c>
      <c r="H328" t="s">
        <v>18</v>
      </c>
      <c r="I328" t="s">
        <v>29</v>
      </c>
      <c r="J328" t="s">
        <v>20</v>
      </c>
      <c r="K328" t="s">
        <v>30</v>
      </c>
      <c r="L328">
        <v>1.66</v>
      </c>
      <c r="M328">
        <v>5.08</v>
      </c>
      <c r="N328">
        <v>2.66</v>
      </c>
      <c r="O328">
        <v>6.33</v>
      </c>
      <c r="P328">
        <v>5</v>
      </c>
      <c r="Q328">
        <v>7.2</v>
      </c>
      <c r="R328">
        <v>5.5</v>
      </c>
      <c r="S328">
        <v>6</v>
      </c>
      <c r="T328" t="s">
        <v>39</v>
      </c>
      <c r="U328">
        <v>7.3</v>
      </c>
      <c r="V328">
        <v>4</v>
      </c>
      <c r="W328">
        <v>2.2999999999999998</v>
      </c>
      <c r="X328">
        <v>6</v>
      </c>
      <c r="Y328">
        <v>3.7</v>
      </c>
      <c r="Z328">
        <v>5.8</v>
      </c>
      <c r="AA328">
        <v>6</v>
      </c>
      <c r="AB328" t="s">
        <v>21</v>
      </c>
      <c r="AC328" t="s">
        <v>39</v>
      </c>
      <c r="AD328" t="s">
        <v>45</v>
      </c>
      <c r="AE328" t="str">
        <f t="shared" si="15"/>
        <v>25-34</v>
      </c>
      <c r="AF328" t="str">
        <f t="shared" si="16"/>
        <v>Low Usage</v>
      </c>
      <c r="AG328" t="str">
        <f t="shared" si="17"/>
        <v>High Loneliness</v>
      </c>
    </row>
    <row r="329" spans="1:33" x14ac:dyDescent="0.3">
      <c r="A329" t="s">
        <v>373</v>
      </c>
      <c r="B329">
        <v>21</v>
      </c>
      <c r="C329" t="s">
        <v>1</v>
      </c>
      <c r="D329" t="s">
        <v>41</v>
      </c>
      <c r="E329" t="s">
        <v>37</v>
      </c>
      <c r="F329" t="s">
        <v>12</v>
      </c>
      <c r="G329" t="s">
        <v>17</v>
      </c>
      <c r="H329" t="s">
        <v>33</v>
      </c>
      <c r="I329" t="s">
        <v>19</v>
      </c>
      <c r="J329" t="s">
        <v>8</v>
      </c>
      <c r="K329" t="s">
        <v>53</v>
      </c>
      <c r="L329">
        <v>1.44</v>
      </c>
      <c r="M329">
        <v>4.9400000000000004</v>
      </c>
      <c r="N329">
        <v>3.3</v>
      </c>
      <c r="O329">
        <v>5.26</v>
      </c>
      <c r="P329">
        <v>4</v>
      </c>
      <c r="Q329">
        <v>5.2</v>
      </c>
      <c r="R329">
        <v>2.2000000000000002</v>
      </c>
      <c r="S329">
        <v>6.9</v>
      </c>
      <c r="T329" t="s">
        <v>10</v>
      </c>
      <c r="U329">
        <v>8.1</v>
      </c>
      <c r="V329">
        <v>5.6</v>
      </c>
      <c r="W329">
        <v>3.9</v>
      </c>
      <c r="X329">
        <v>5.0999999999999996</v>
      </c>
      <c r="Y329">
        <v>3.1</v>
      </c>
      <c r="Z329">
        <v>4.7</v>
      </c>
      <c r="AA329">
        <v>7.5</v>
      </c>
      <c r="AB329" t="s">
        <v>21</v>
      </c>
      <c r="AC329" t="s">
        <v>10</v>
      </c>
      <c r="AD329" t="s">
        <v>12</v>
      </c>
      <c r="AE329" t="str">
        <f t="shared" si="15"/>
        <v>20-24</v>
      </c>
      <c r="AF329" t="str">
        <f t="shared" si="16"/>
        <v>Low Usage</v>
      </c>
      <c r="AG329" t="str">
        <f t="shared" si="17"/>
        <v>Moderate Loneliness</v>
      </c>
    </row>
    <row r="330" spans="1:33" x14ac:dyDescent="0.3">
      <c r="A330" t="s">
        <v>374</v>
      </c>
      <c r="B330">
        <v>34</v>
      </c>
      <c r="C330" t="s">
        <v>32</v>
      </c>
      <c r="D330" t="s">
        <v>41</v>
      </c>
      <c r="E330" t="s">
        <v>37</v>
      </c>
      <c r="F330" t="s">
        <v>4</v>
      </c>
      <c r="G330" t="s">
        <v>5</v>
      </c>
      <c r="H330" t="s">
        <v>18</v>
      </c>
      <c r="I330" t="s">
        <v>29</v>
      </c>
      <c r="J330" t="s">
        <v>38</v>
      </c>
      <c r="K330" t="s">
        <v>30</v>
      </c>
      <c r="L330">
        <v>2.0499999999999998</v>
      </c>
      <c r="M330">
        <v>4.9000000000000004</v>
      </c>
      <c r="N330">
        <v>1.82</v>
      </c>
      <c r="O330">
        <v>4.74</v>
      </c>
      <c r="P330">
        <v>6</v>
      </c>
      <c r="Q330">
        <v>6</v>
      </c>
      <c r="R330">
        <v>4.8</v>
      </c>
      <c r="S330">
        <v>4.8</v>
      </c>
      <c r="T330" t="s">
        <v>39</v>
      </c>
      <c r="U330">
        <v>8.1</v>
      </c>
      <c r="V330">
        <v>5.8</v>
      </c>
      <c r="W330">
        <v>4.9000000000000004</v>
      </c>
      <c r="X330">
        <v>3.8</v>
      </c>
      <c r="Y330">
        <v>3.4</v>
      </c>
      <c r="Z330">
        <v>6.2</v>
      </c>
      <c r="AA330">
        <v>4.9000000000000004</v>
      </c>
      <c r="AB330" t="s">
        <v>21</v>
      </c>
      <c r="AC330" t="s">
        <v>10</v>
      </c>
      <c r="AD330" t="s">
        <v>45</v>
      </c>
      <c r="AE330" t="str">
        <f t="shared" si="15"/>
        <v>25-34</v>
      </c>
      <c r="AF330" t="str">
        <f t="shared" si="16"/>
        <v>Low Usage</v>
      </c>
      <c r="AG330" t="str">
        <f t="shared" si="17"/>
        <v>Moderate Loneliness</v>
      </c>
    </row>
    <row r="331" spans="1:33" x14ac:dyDescent="0.3">
      <c r="A331" t="s">
        <v>375</v>
      </c>
      <c r="B331">
        <v>23</v>
      </c>
      <c r="C331" t="s">
        <v>1</v>
      </c>
      <c r="D331" t="s">
        <v>14</v>
      </c>
      <c r="E331" t="s">
        <v>37</v>
      </c>
      <c r="F331" t="s">
        <v>4</v>
      </c>
      <c r="G331" t="s">
        <v>17</v>
      </c>
      <c r="H331" t="s">
        <v>33</v>
      </c>
      <c r="I331" t="s">
        <v>19</v>
      </c>
      <c r="J331" t="s">
        <v>8</v>
      </c>
      <c r="K331" t="s">
        <v>1079</v>
      </c>
      <c r="L331">
        <v>0.4</v>
      </c>
      <c r="M331">
        <v>3.62</v>
      </c>
      <c r="N331">
        <v>2.19</v>
      </c>
      <c r="O331">
        <v>5.39</v>
      </c>
      <c r="P331">
        <v>4</v>
      </c>
      <c r="Q331">
        <v>4.9000000000000004</v>
      </c>
      <c r="R331">
        <v>3.8</v>
      </c>
      <c r="S331">
        <v>8.5</v>
      </c>
      <c r="T331" t="s">
        <v>10</v>
      </c>
      <c r="U331">
        <v>7.5</v>
      </c>
      <c r="V331">
        <v>8.1</v>
      </c>
      <c r="W331">
        <v>4.4000000000000004</v>
      </c>
      <c r="X331">
        <v>3.4</v>
      </c>
      <c r="Y331">
        <v>1</v>
      </c>
      <c r="Z331">
        <v>2.9</v>
      </c>
      <c r="AA331">
        <v>9.8000000000000007</v>
      </c>
      <c r="AB331" t="s">
        <v>11</v>
      </c>
      <c r="AC331" t="s">
        <v>10</v>
      </c>
      <c r="AD331" t="s">
        <v>12</v>
      </c>
      <c r="AE331" t="str">
        <f t="shared" si="15"/>
        <v>20-24</v>
      </c>
      <c r="AF331" t="str">
        <f t="shared" si="16"/>
        <v>Very Low Usage</v>
      </c>
      <c r="AG331" t="str">
        <f t="shared" si="17"/>
        <v>Moderate Loneliness</v>
      </c>
    </row>
    <row r="332" spans="1:33" x14ac:dyDescent="0.3">
      <c r="A332" t="s">
        <v>376</v>
      </c>
      <c r="B332">
        <v>15</v>
      </c>
      <c r="C332" t="s">
        <v>1</v>
      </c>
      <c r="D332" t="s">
        <v>14</v>
      </c>
      <c r="E332" t="s">
        <v>15</v>
      </c>
      <c r="F332" t="s">
        <v>16</v>
      </c>
      <c r="G332" t="s">
        <v>17</v>
      </c>
      <c r="H332" t="s">
        <v>28</v>
      </c>
      <c r="I332" t="s">
        <v>29</v>
      </c>
      <c r="J332" t="s">
        <v>8</v>
      </c>
      <c r="K332" t="s">
        <v>30</v>
      </c>
      <c r="L332">
        <v>0.66</v>
      </c>
      <c r="M332">
        <v>3.84</v>
      </c>
      <c r="N332">
        <v>0.63</v>
      </c>
      <c r="O332">
        <v>1.81</v>
      </c>
      <c r="P332">
        <v>6</v>
      </c>
      <c r="Q332">
        <v>3</v>
      </c>
      <c r="R332">
        <v>3.5</v>
      </c>
      <c r="S332">
        <v>5.9</v>
      </c>
      <c r="T332" t="s">
        <v>10</v>
      </c>
      <c r="U332">
        <v>7.5</v>
      </c>
      <c r="V332">
        <v>7.3</v>
      </c>
      <c r="W332">
        <v>3.4</v>
      </c>
      <c r="X332">
        <v>3.6</v>
      </c>
      <c r="Y332">
        <v>7</v>
      </c>
      <c r="Z332">
        <v>6.9</v>
      </c>
      <c r="AA332">
        <v>5.6</v>
      </c>
      <c r="AB332" t="s">
        <v>21</v>
      </c>
      <c r="AC332" t="s">
        <v>10</v>
      </c>
      <c r="AD332" t="s">
        <v>12</v>
      </c>
      <c r="AE332" t="str">
        <f t="shared" si="15"/>
        <v>15-19</v>
      </c>
      <c r="AF332" t="str">
        <f t="shared" si="16"/>
        <v>Very Low Usage</v>
      </c>
      <c r="AG332" t="str">
        <f t="shared" si="17"/>
        <v>Low Loneliness</v>
      </c>
    </row>
    <row r="333" spans="1:33" x14ac:dyDescent="0.3">
      <c r="A333" t="s">
        <v>377</v>
      </c>
      <c r="B333">
        <v>22</v>
      </c>
      <c r="C333" t="s">
        <v>32</v>
      </c>
      <c r="D333" t="s">
        <v>14</v>
      </c>
      <c r="E333" t="s">
        <v>37</v>
      </c>
      <c r="F333" t="s">
        <v>16</v>
      </c>
      <c r="G333" t="s">
        <v>5</v>
      </c>
      <c r="H333" t="s">
        <v>33</v>
      </c>
      <c r="I333" t="s">
        <v>24</v>
      </c>
      <c r="J333" t="s">
        <v>8</v>
      </c>
      <c r="K333" t="s">
        <v>30</v>
      </c>
      <c r="L333">
        <v>0</v>
      </c>
      <c r="M333">
        <v>6.31</v>
      </c>
      <c r="N333">
        <v>1.24</v>
      </c>
      <c r="O333">
        <v>3.85</v>
      </c>
      <c r="P333">
        <v>5</v>
      </c>
      <c r="Q333">
        <v>1</v>
      </c>
      <c r="R333">
        <v>2.4</v>
      </c>
      <c r="S333">
        <v>9.9</v>
      </c>
      <c r="T333" t="s">
        <v>10</v>
      </c>
      <c r="U333">
        <v>8.6999999999999993</v>
      </c>
      <c r="V333">
        <v>7.7</v>
      </c>
      <c r="W333">
        <v>4.2</v>
      </c>
      <c r="X333">
        <v>2.2999999999999998</v>
      </c>
      <c r="Y333">
        <v>1</v>
      </c>
      <c r="Z333">
        <v>2.2999999999999998</v>
      </c>
      <c r="AA333">
        <v>5.4</v>
      </c>
      <c r="AB333" t="s">
        <v>11</v>
      </c>
      <c r="AC333" t="s">
        <v>10</v>
      </c>
      <c r="AD333" t="s">
        <v>12</v>
      </c>
      <c r="AE333" t="str">
        <f t="shared" si="15"/>
        <v>20-24</v>
      </c>
      <c r="AF333" t="str">
        <f t="shared" si="16"/>
        <v>Very Low Usage</v>
      </c>
      <c r="AG333" t="str">
        <f t="shared" si="17"/>
        <v>Low Loneliness</v>
      </c>
    </row>
    <row r="334" spans="1:33" x14ac:dyDescent="0.3">
      <c r="A334" t="s">
        <v>378</v>
      </c>
      <c r="B334">
        <v>21</v>
      </c>
      <c r="C334" t="s">
        <v>27</v>
      </c>
      <c r="D334" t="s">
        <v>47</v>
      </c>
      <c r="E334" t="s">
        <v>37</v>
      </c>
      <c r="F334" t="s">
        <v>12</v>
      </c>
      <c r="G334" t="s">
        <v>43</v>
      </c>
      <c r="H334" t="s">
        <v>18</v>
      </c>
      <c r="I334" t="s">
        <v>35</v>
      </c>
      <c r="J334" t="s">
        <v>8</v>
      </c>
      <c r="K334" t="s">
        <v>1079</v>
      </c>
      <c r="L334">
        <v>0.36</v>
      </c>
      <c r="M334">
        <v>6.28</v>
      </c>
      <c r="N334">
        <v>0.83</v>
      </c>
      <c r="O334">
        <v>2.5099999999999998</v>
      </c>
      <c r="P334">
        <v>5</v>
      </c>
      <c r="Q334">
        <v>1.1000000000000001</v>
      </c>
      <c r="R334">
        <v>1.7</v>
      </c>
      <c r="S334">
        <v>8.3000000000000007</v>
      </c>
      <c r="T334" t="s">
        <v>10</v>
      </c>
      <c r="U334">
        <v>8.1999999999999993</v>
      </c>
      <c r="V334">
        <v>9.4</v>
      </c>
      <c r="W334">
        <v>7.5</v>
      </c>
      <c r="X334">
        <v>2.2000000000000002</v>
      </c>
      <c r="Y334">
        <v>1</v>
      </c>
      <c r="Z334">
        <v>2</v>
      </c>
      <c r="AA334">
        <v>6</v>
      </c>
      <c r="AB334" t="s">
        <v>11</v>
      </c>
      <c r="AC334" t="s">
        <v>39</v>
      </c>
      <c r="AD334" t="s">
        <v>12</v>
      </c>
      <c r="AE334" t="str">
        <f t="shared" si="15"/>
        <v>20-24</v>
      </c>
      <c r="AF334" t="str">
        <f t="shared" si="16"/>
        <v>Very Low Usage</v>
      </c>
      <c r="AG334" t="str">
        <f t="shared" si="17"/>
        <v>Low Loneliness</v>
      </c>
    </row>
    <row r="335" spans="1:33" x14ac:dyDescent="0.3">
      <c r="A335" t="s">
        <v>379</v>
      </c>
      <c r="B335">
        <v>32</v>
      </c>
      <c r="C335" t="s">
        <v>1</v>
      </c>
      <c r="D335" t="s">
        <v>47</v>
      </c>
      <c r="E335" t="s">
        <v>15</v>
      </c>
      <c r="F335" t="s">
        <v>4</v>
      </c>
      <c r="G335" t="s">
        <v>17</v>
      </c>
      <c r="H335" t="s">
        <v>28</v>
      </c>
      <c r="I335" t="s">
        <v>19</v>
      </c>
      <c r="J335" t="s">
        <v>51</v>
      </c>
      <c r="K335" t="s">
        <v>9</v>
      </c>
      <c r="L335">
        <v>1.96</v>
      </c>
      <c r="M335">
        <v>3.47</v>
      </c>
      <c r="N335">
        <v>2.62</v>
      </c>
      <c r="O335">
        <v>4.6500000000000004</v>
      </c>
      <c r="P335">
        <v>0</v>
      </c>
      <c r="Q335">
        <v>7.3</v>
      </c>
      <c r="R335">
        <v>7.3</v>
      </c>
      <c r="S335">
        <v>5</v>
      </c>
      <c r="T335" t="s">
        <v>39</v>
      </c>
      <c r="U335">
        <v>7.3</v>
      </c>
      <c r="V335">
        <v>5.3</v>
      </c>
      <c r="W335">
        <v>2.2999999999999998</v>
      </c>
      <c r="X335">
        <v>6.9</v>
      </c>
      <c r="Y335">
        <v>6.8</v>
      </c>
      <c r="Z335">
        <v>6.3</v>
      </c>
      <c r="AA335">
        <v>3.9</v>
      </c>
      <c r="AB335" t="s">
        <v>44</v>
      </c>
      <c r="AC335" t="s">
        <v>39</v>
      </c>
      <c r="AD335" t="s">
        <v>22</v>
      </c>
      <c r="AE335" t="str">
        <f t="shared" si="15"/>
        <v>25-34</v>
      </c>
      <c r="AF335" t="str">
        <f t="shared" si="16"/>
        <v>Low Usage</v>
      </c>
      <c r="AG335" t="str">
        <f t="shared" si="17"/>
        <v>High Loneliness</v>
      </c>
    </row>
    <row r="336" spans="1:33" x14ac:dyDescent="0.3">
      <c r="A336" t="s">
        <v>380</v>
      </c>
      <c r="B336">
        <v>22</v>
      </c>
      <c r="C336" t="s">
        <v>1</v>
      </c>
      <c r="D336" t="s">
        <v>14</v>
      </c>
      <c r="E336" t="s">
        <v>59</v>
      </c>
      <c r="F336" t="s">
        <v>12</v>
      </c>
      <c r="G336" t="s">
        <v>17</v>
      </c>
      <c r="H336" t="s">
        <v>28</v>
      </c>
      <c r="I336" t="s">
        <v>29</v>
      </c>
      <c r="J336" t="s">
        <v>8</v>
      </c>
      <c r="K336" t="s">
        <v>53</v>
      </c>
      <c r="L336">
        <v>0.75</v>
      </c>
      <c r="M336">
        <v>5.89</v>
      </c>
      <c r="N336">
        <v>1.29</v>
      </c>
      <c r="O336">
        <v>1.49</v>
      </c>
      <c r="P336">
        <v>5</v>
      </c>
      <c r="Q336">
        <v>1</v>
      </c>
      <c r="R336">
        <v>1</v>
      </c>
      <c r="S336">
        <v>9.6999999999999993</v>
      </c>
      <c r="T336" t="s">
        <v>10</v>
      </c>
      <c r="U336">
        <v>8.6999999999999993</v>
      </c>
      <c r="V336">
        <v>10</v>
      </c>
      <c r="W336">
        <v>5.8</v>
      </c>
      <c r="X336">
        <v>1.9</v>
      </c>
      <c r="Y336">
        <v>1</v>
      </c>
      <c r="Z336">
        <v>3.5</v>
      </c>
      <c r="AA336">
        <v>7.5</v>
      </c>
      <c r="AB336" t="s">
        <v>11</v>
      </c>
      <c r="AC336" t="s">
        <v>10</v>
      </c>
      <c r="AD336" t="s">
        <v>12</v>
      </c>
      <c r="AE336" t="str">
        <f t="shared" si="15"/>
        <v>20-24</v>
      </c>
      <c r="AF336" t="str">
        <f t="shared" si="16"/>
        <v>Very Low Usage</v>
      </c>
      <c r="AG336" t="str">
        <f t="shared" si="17"/>
        <v>Low Loneliness</v>
      </c>
    </row>
    <row r="337" spans="1:33" x14ac:dyDescent="0.3">
      <c r="A337" t="s">
        <v>381</v>
      </c>
      <c r="B337">
        <v>15</v>
      </c>
      <c r="C337" t="s">
        <v>32</v>
      </c>
      <c r="D337" t="s">
        <v>2</v>
      </c>
      <c r="E337" t="s">
        <v>15</v>
      </c>
      <c r="F337" t="s">
        <v>12</v>
      </c>
      <c r="G337" t="s">
        <v>17</v>
      </c>
      <c r="H337" t="s">
        <v>33</v>
      </c>
      <c r="I337" t="s">
        <v>24</v>
      </c>
      <c r="J337" t="s">
        <v>38</v>
      </c>
      <c r="K337" t="s">
        <v>30</v>
      </c>
      <c r="L337">
        <v>2.29</v>
      </c>
      <c r="M337">
        <v>2.37</v>
      </c>
      <c r="N337">
        <v>2.65</v>
      </c>
      <c r="O337">
        <v>8.4</v>
      </c>
      <c r="P337">
        <v>3</v>
      </c>
      <c r="Q337">
        <v>7.3</v>
      </c>
      <c r="R337">
        <v>6.4</v>
      </c>
      <c r="S337">
        <v>5.5</v>
      </c>
      <c r="T337" t="s">
        <v>10</v>
      </c>
      <c r="U337">
        <v>8.1</v>
      </c>
      <c r="V337">
        <v>4.4000000000000004</v>
      </c>
      <c r="W337">
        <v>4</v>
      </c>
      <c r="X337">
        <v>6.3</v>
      </c>
      <c r="Y337">
        <v>5.8</v>
      </c>
      <c r="Z337">
        <v>5.2</v>
      </c>
      <c r="AA337">
        <v>4.4000000000000004</v>
      </c>
      <c r="AB337" t="s">
        <v>21</v>
      </c>
      <c r="AC337" t="s">
        <v>39</v>
      </c>
      <c r="AD337" t="s">
        <v>22</v>
      </c>
      <c r="AE337" t="str">
        <f t="shared" si="15"/>
        <v>15-19</v>
      </c>
      <c r="AF337" t="str">
        <f t="shared" si="16"/>
        <v>Low Usage</v>
      </c>
      <c r="AG337" t="str">
        <f t="shared" si="17"/>
        <v>High Loneliness</v>
      </c>
    </row>
    <row r="338" spans="1:33" x14ac:dyDescent="0.3">
      <c r="A338" t="s">
        <v>382</v>
      </c>
      <c r="B338">
        <v>25</v>
      </c>
      <c r="C338" t="s">
        <v>1</v>
      </c>
      <c r="D338" t="s">
        <v>58</v>
      </c>
      <c r="E338" t="s">
        <v>37</v>
      </c>
      <c r="F338" t="s">
        <v>16</v>
      </c>
      <c r="G338" t="s">
        <v>17</v>
      </c>
      <c r="H338" t="s">
        <v>6</v>
      </c>
      <c r="I338" t="s">
        <v>29</v>
      </c>
      <c r="J338" t="s">
        <v>51</v>
      </c>
      <c r="K338" t="s">
        <v>53</v>
      </c>
      <c r="L338">
        <v>0</v>
      </c>
      <c r="M338">
        <v>6.02</v>
      </c>
      <c r="N338">
        <v>2.34</v>
      </c>
      <c r="O338">
        <v>2.4300000000000002</v>
      </c>
      <c r="P338">
        <v>7</v>
      </c>
      <c r="Q338">
        <v>2.2000000000000002</v>
      </c>
      <c r="R338">
        <v>1</v>
      </c>
      <c r="S338">
        <v>10</v>
      </c>
      <c r="T338" t="s">
        <v>10</v>
      </c>
      <c r="U338">
        <v>9.1999999999999993</v>
      </c>
      <c r="V338">
        <v>9.5</v>
      </c>
      <c r="W338">
        <v>4.2</v>
      </c>
      <c r="X338">
        <v>1</v>
      </c>
      <c r="Y338">
        <v>1</v>
      </c>
      <c r="Z338">
        <v>2.5</v>
      </c>
      <c r="AA338">
        <v>7.8</v>
      </c>
      <c r="AB338" t="s">
        <v>11</v>
      </c>
      <c r="AC338" t="s">
        <v>10</v>
      </c>
      <c r="AD338" t="s">
        <v>12</v>
      </c>
      <c r="AE338" t="str">
        <f t="shared" si="15"/>
        <v>25-34</v>
      </c>
      <c r="AF338" t="str">
        <f t="shared" si="16"/>
        <v>Very Low Usage</v>
      </c>
      <c r="AG338" t="str">
        <f t="shared" si="17"/>
        <v>Low Loneliness</v>
      </c>
    </row>
    <row r="339" spans="1:33" x14ac:dyDescent="0.3">
      <c r="A339" t="s">
        <v>383</v>
      </c>
      <c r="B339">
        <v>42</v>
      </c>
      <c r="C339" t="s">
        <v>1</v>
      </c>
      <c r="D339" t="s">
        <v>47</v>
      </c>
      <c r="E339" t="s">
        <v>15</v>
      </c>
      <c r="F339" t="s">
        <v>12</v>
      </c>
      <c r="G339" t="s">
        <v>17</v>
      </c>
      <c r="H339" t="s">
        <v>18</v>
      </c>
      <c r="I339" t="s">
        <v>7</v>
      </c>
      <c r="J339" t="s">
        <v>20</v>
      </c>
      <c r="K339" t="s">
        <v>9</v>
      </c>
      <c r="L339">
        <v>2.88</v>
      </c>
      <c r="M339">
        <v>3.35</v>
      </c>
      <c r="N339">
        <v>0.7</v>
      </c>
      <c r="O339">
        <v>5.51</v>
      </c>
      <c r="P339">
        <v>4</v>
      </c>
      <c r="Q339">
        <v>6</v>
      </c>
      <c r="R339">
        <v>6.3</v>
      </c>
      <c r="S339">
        <v>3.5</v>
      </c>
      <c r="T339" t="s">
        <v>39</v>
      </c>
      <c r="U339">
        <v>4.8</v>
      </c>
      <c r="V339">
        <v>3.8</v>
      </c>
      <c r="W339">
        <v>3.3</v>
      </c>
      <c r="X339">
        <v>4.7</v>
      </c>
      <c r="Y339">
        <v>6.2</v>
      </c>
      <c r="Z339">
        <v>5.0999999999999996</v>
      </c>
      <c r="AA339">
        <v>5.2</v>
      </c>
      <c r="AB339" t="s">
        <v>44</v>
      </c>
      <c r="AC339" t="s">
        <v>39</v>
      </c>
      <c r="AD339" t="s">
        <v>45</v>
      </c>
      <c r="AE339" t="str">
        <f t="shared" si="15"/>
        <v>35-44</v>
      </c>
      <c r="AF339" t="str">
        <f t="shared" si="16"/>
        <v>Moderate Usage</v>
      </c>
      <c r="AG339" t="str">
        <f t="shared" si="17"/>
        <v>Moderate Loneliness</v>
      </c>
    </row>
    <row r="340" spans="1:33" x14ac:dyDescent="0.3">
      <c r="A340" t="s">
        <v>384</v>
      </c>
      <c r="B340">
        <v>39</v>
      </c>
      <c r="C340" t="s">
        <v>1</v>
      </c>
      <c r="D340" t="s">
        <v>2</v>
      </c>
      <c r="E340" t="s">
        <v>37</v>
      </c>
      <c r="F340" t="s">
        <v>4</v>
      </c>
      <c r="G340" t="s">
        <v>5</v>
      </c>
      <c r="H340" t="s">
        <v>28</v>
      </c>
      <c r="I340" t="s">
        <v>19</v>
      </c>
      <c r="J340" t="s">
        <v>20</v>
      </c>
      <c r="K340" t="s">
        <v>53</v>
      </c>
      <c r="L340">
        <v>0.68</v>
      </c>
      <c r="M340">
        <v>4.47</v>
      </c>
      <c r="N340">
        <v>2.54</v>
      </c>
      <c r="O340">
        <v>5.58</v>
      </c>
      <c r="P340">
        <v>6</v>
      </c>
      <c r="Q340">
        <v>3.6</v>
      </c>
      <c r="R340">
        <v>4.7</v>
      </c>
      <c r="S340">
        <v>5.9</v>
      </c>
      <c r="T340" t="s">
        <v>10</v>
      </c>
      <c r="U340">
        <v>6.8</v>
      </c>
      <c r="V340">
        <v>9</v>
      </c>
      <c r="W340">
        <v>6.5</v>
      </c>
      <c r="X340">
        <v>4.3</v>
      </c>
      <c r="Y340">
        <v>3.5</v>
      </c>
      <c r="Z340">
        <v>4.5999999999999996</v>
      </c>
      <c r="AA340">
        <v>7.1</v>
      </c>
      <c r="AB340" t="s">
        <v>21</v>
      </c>
      <c r="AC340" t="s">
        <v>10</v>
      </c>
      <c r="AD340" t="s">
        <v>12</v>
      </c>
      <c r="AE340" t="str">
        <f t="shared" si="15"/>
        <v>35-44</v>
      </c>
      <c r="AF340" t="str">
        <f t="shared" si="16"/>
        <v>Very Low Usage</v>
      </c>
      <c r="AG340" t="str">
        <f t="shared" si="17"/>
        <v>Moderate Loneliness</v>
      </c>
    </row>
    <row r="341" spans="1:33" x14ac:dyDescent="0.3">
      <c r="A341" t="s">
        <v>385</v>
      </c>
      <c r="B341">
        <v>39</v>
      </c>
      <c r="C341" t="s">
        <v>32</v>
      </c>
      <c r="D341" t="s">
        <v>2</v>
      </c>
      <c r="E341" t="s">
        <v>37</v>
      </c>
      <c r="F341" t="s">
        <v>12</v>
      </c>
      <c r="G341" t="s">
        <v>5</v>
      </c>
      <c r="H341" t="s">
        <v>6</v>
      </c>
      <c r="I341" t="s">
        <v>29</v>
      </c>
      <c r="J341" t="s">
        <v>48</v>
      </c>
      <c r="K341" t="s">
        <v>53</v>
      </c>
      <c r="L341">
        <v>2.85</v>
      </c>
      <c r="M341">
        <v>1.58</v>
      </c>
      <c r="N341">
        <v>3.86</v>
      </c>
      <c r="O341">
        <v>7.4</v>
      </c>
      <c r="P341">
        <v>2</v>
      </c>
      <c r="Q341">
        <v>8.9</v>
      </c>
      <c r="R341">
        <v>9.1</v>
      </c>
      <c r="S341">
        <v>1.7</v>
      </c>
      <c r="T341" t="s">
        <v>39</v>
      </c>
      <c r="U341">
        <v>4.5999999999999996</v>
      </c>
      <c r="V341">
        <v>4.7</v>
      </c>
      <c r="W341">
        <v>2.2999999999999998</v>
      </c>
      <c r="X341">
        <v>6.4</v>
      </c>
      <c r="Y341">
        <v>7.6</v>
      </c>
      <c r="Z341">
        <v>5.4</v>
      </c>
      <c r="AA341">
        <v>3.7</v>
      </c>
      <c r="AB341" t="s">
        <v>44</v>
      </c>
      <c r="AC341" t="s">
        <v>10</v>
      </c>
      <c r="AD341" t="s">
        <v>45</v>
      </c>
      <c r="AE341" t="str">
        <f t="shared" si="15"/>
        <v>35-44</v>
      </c>
      <c r="AF341" t="str">
        <f t="shared" si="16"/>
        <v>Moderate Usage</v>
      </c>
      <c r="AG341" t="str">
        <f t="shared" si="17"/>
        <v>High Loneliness</v>
      </c>
    </row>
    <row r="342" spans="1:33" x14ac:dyDescent="0.3">
      <c r="A342" t="s">
        <v>386</v>
      </c>
      <c r="B342">
        <v>32</v>
      </c>
      <c r="C342" t="s">
        <v>32</v>
      </c>
      <c r="D342" t="s">
        <v>2</v>
      </c>
      <c r="E342" t="s">
        <v>3</v>
      </c>
      <c r="F342" t="s">
        <v>16</v>
      </c>
      <c r="G342" t="s">
        <v>5</v>
      </c>
      <c r="H342" t="s">
        <v>33</v>
      </c>
      <c r="I342" t="s">
        <v>29</v>
      </c>
      <c r="J342" t="s">
        <v>20</v>
      </c>
      <c r="K342" t="s">
        <v>1079</v>
      </c>
      <c r="L342">
        <v>1.17</v>
      </c>
      <c r="M342">
        <v>4.0999999999999996</v>
      </c>
      <c r="N342">
        <v>1.89</v>
      </c>
      <c r="O342">
        <v>4.51</v>
      </c>
      <c r="P342">
        <v>5</v>
      </c>
      <c r="Q342">
        <v>3.9</v>
      </c>
      <c r="R342">
        <v>4.0999999999999996</v>
      </c>
      <c r="S342">
        <v>6.9</v>
      </c>
      <c r="T342" t="s">
        <v>10</v>
      </c>
      <c r="U342">
        <v>6.7</v>
      </c>
      <c r="V342">
        <v>5.2</v>
      </c>
      <c r="W342">
        <v>4.7</v>
      </c>
      <c r="X342">
        <v>4.9000000000000004</v>
      </c>
      <c r="Y342">
        <v>5.0999999999999996</v>
      </c>
      <c r="Z342">
        <v>5.4</v>
      </c>
      <c r="AA342">
        <v>5.8</v>
      </c>
      <c r="AB342" t="s">
        <v>21</v>
      </c>
      <c r="AC342" t="s">
        <v>39</v>
      </c>
      <c r="AD342" t="s">
        <v>12</v>
      </c>
      <c r="AE342" t="str">
        <f t="shared" si="15"/>
        <v>25-34</v>
      </c>
      <c r="AF342" t="str">
        <f t="shared" si="16"/>
        <v>Low Usage</v>
      </c>
      <c r="AG342" t="str">
        <f t="shared" si="17"/>
        <v>Moderate Loneliness</v>
      </c>
    </row>
    <row r="343" spans="1:33" x14ac:dyDescent="0.3">
      <c r="A343" t="s">
        <v>387</v>
      </c>
      <c r="B343">
        <v>37</v>
      </c>
      <c r="C343" t="s">
        <v>1</v>
      </c>
      <c r="D343" t="s">
        <v>14</v>
      </c>
      <c r="E343" t="s">
        <v>37</v>
      </c>
      <c r="F343" t="s">
        <v>4</v>
      </c>
      <c r="G343" t="s">
        <v>17</v>
      </c>
      <c r="H343" t="s">
        <v>18</v>
      </c>
      <c r="I343" t="s">
        <v>24</v>
      </c>
      <c r="J343" t="s">
        <v>48</v>
      </c>
      <c r="K343" t="s">
        <v>1079</v>
      </c>
      <c r="L343">
        <v>0</v>
      </c>
      <c r="M343">
        <v>6.12</v>
      </c>
      <c r="N343">
        <v>0</v>
      </c>
      <c r="O343">
        <v>2.48</v>
      </c>
      <c r="P343">
        <v>9</v>
      </c>
      <c r="Q343">
        <v>1</v>
      </c>
      <c r="R343">
        <v>1</v>
      </c>
      <c r="S343">
        <v>8.1</v>
      </c>
      <c r="T343" t="s">
        <v>10</v>
      </c>
      <c r="U343">
        <v>8.1</v>
      </c>
      <c r="V343">
        <v>10</v>
      </c>
      <c r="W343">
        <v>6.7</v>
      </c>
      <c r="X343">
        <v>1</v>
      </c>
      <c r="Y343">
        <v>1</v>
      </c>
      <c r="Z343">
        <v>1.4</v>
      </c>
      <c r="AA343">
        <v>10</v>
      </c>
      <c r="AB343" t="s">
        <v>11</v>
      </c>
      <c r="AC343" t="s">
        <v>10</v>
      </c>
      <c r="AD343" t="s">
        <v>12</v>
      </c>
      <c r="AE343" t="str">
        <f t="shared" si="15"/>
        <v>35-44</v>
      </c>
      <c r="AF343" t="str">
        <f t="shared" si="16"/>
        <v>Very Low Usage</v>
      </c>
      <c r="AG343" t="str">
        <f t="shared" si="17"/>
        <v>Low Loneliness</v>
      </c>
    </row>
    <row r="344" spans="1:33" x14ac:dyDescent="0.3">
      <c r="A344" t="s">
        <v>388</v>
      </c>
      <c r="B344">
        <v>44</v>
      </c>
      <c r="C344" t="s">
        <v>1</v>
      </c>
      <c r="D344" t="s">
        <v>2</v>
      </c>
      <c r="E344" t="s">
        <v>3</v>
      </c>
      <c r="F344" t="s">
        <v>12</v>
      </c>
      <c r="G344" t="s">
        <v>43</v>
      </c>
      <c r="H344" t="s">
        <v>18</v>
      </c>
      <c r="I344" t="s">
        <v>29</v>
      </c>
      <c r="J344" t="s">
        <v>8</v>
      </c>
      <c r="K344" t="s">
        <v>53</v>
      </c>
      <c r="L344">
        <v>0.4</v>
      </c>
      <c r="M344">
        <v>1.96</v>
      </c>
      <c r="N344">
        <v>2.38</v>
      </c>
      <c r="O344">
        <v>5.08</v>
      </c>
      <c r="P344">
        <v>5</v>
      </c>
      <c r="Q344">
        <v>4.2</v>
      </c>
      <c r="R344">
        <v>3.7</v>
      </c>
      <c r="S344">
        <v>6.8</v>
      </c>
      <c r="T344" t="s">
        <v>10</v>
      </c>
      <c r="U344">
        <v>7.9</v>
      </c>
      <c r="V344">
        <v>7.6</v>
      </c>
      <c r="W344">
        <v>5.8</v>
      </c>
      <c r="X344">
        <v>4.4000000000000004</v>
      </c>
      <c r="Y344">
        <v>4.5</v>
      </c>
      <c r="Z344">
        <v>5.3</v>
      </c>
      <c r="AA344">
        <v>5.9</v>
      </c>
      <c r="AB344" t="s">
        <v>21</v>
      </c>
      <c r="AC344" t="s">
        <v>10</v>
      </c>
      <c r="AD344" t="s">
        <v>12</v>
      </c>
      <c r="AE344" t="str">
        <f t="shared" si="15"/>
        <v>35-44</v>
      </c>
      <c r="AF344" t="str">
        <f t="shared" si="16"/>
        <v>Very Low Usage</v>
      </c>
      <c r="AG344" t="str">
        <f t="shared" si="17"/>
        <v>Moderate Loneliness</v>
      </c>
    </row>
    <row r="345" spans="1:33" x14ac:dyDescent="0.3">
      <c r="A345" t="s">
        <v>389</v>
      </c>
      <c r="B345">
        <v>24</v>
      </c>
      <c r="C345" t="s">
        <v>1</v>
      </c>
      <c r="D345" t="s">
        <v>2</v>
      </c>
      <c r="E345" t="s">
        <v>37</v>
      </c>
      <c r="F345" t="s">
        <v>4</v>
      </c>
      <c r="G345" t="s">
        <v>17</v>
      </c>
      <c r="H345" t="s">
        <v>28</v>
      </c>
      <c r="I345" t="s">
        <v>24</v>
      </c>
      <c r="J345" t="s">
        <v>8</v>
      </c>
      <c r="K345" t="s">
        <v>30</v>
      </c>
      <c r="L345">
        <v>0.93</v>
      </c>
      <c r="M345">
        <v>4.66</v>
      </c>
      <c r="N345">
        <v>3.72</v>
      </c>
      <c r="O345">
        <v>6.19</v>
      </c>
      <c r="P345">
        <v>2</v>
      </c>
      <c r="Q345">
        <v>5.8</v>
      </c>
      <c r="R345">
        <v>3.8</v>
      </c>
      <c r="S345">
        <v>1</v>
      </c>
      <c r="T345" t="s">
        <v>39</v>
      </c>
      <c r="U345">
        <v>6.5</v>
      </c>
      <c r="V345">
        <v>7.6</v>
      </c>
      <c r="W345">
        <v>4.0999999999999996</v>
      </c>
      <c r="X345">
        <v>4.5</v>
      </c>
      <c r="Y345">
        <v>6.2</v>
      </c>
      <c r="Z345">
        <v>5.0999999999999996</v>
      </c>
      <c r="AA345">
        <v>5.5</v>
      </c>
      <c r="AB345" t="s">
        <v>21</v>
      </c>
      <c r="AC345" t="s">
        <v>39</v>
      </c>
      <c r="AD345" t="s">
        <v>22</v>
      </c>
      <c r="AE345" t="str">
        <f t="shared" si="15"/>
        <v>20-24</v>
      </c>
      <c r="AF345" t="str">
        <f t="shared" si="16"/>
        <v>Very Low Usage</v>
      </c>
      <c r="AG345" t="str">
        <f t="shared" si="17"/>
        <v>Moderate Loneliness</v>
      </c>
    </row>
    <row r="346" spans="1:33" x14ac:dyDescent="0.3">
      <c r="A346" t="s">
        <v>390</v>
      </c>
      <c r="B346">
        <v>17</v>
      </c>
      <c r="C346" t="s">
        <v>32</v>
      </c>
      <c r="D346" t="s">
        <v>58</v>
      </c>
      <c r="E346" t="s">
        <v>15</v>
      </c>
      <c r="F346" t="s">
        <v>16</v>
      </c>
      <c r="G346" t="s">
        <v>5</v>
      </c>
      <c r="H346" t="s">
        <v>33</v>
      </c>
      <c r="I346" t="s">
        <v>29</v>
      </c>
      <c r="J346" t="s">
        <v>20</v>
      </c>
      <c r="K346" t="s">
        <v>1079</v>
      </c>
      <c r="L346">
        <v>2.2999999999999998</v>
      </c>
      <c r="M346">
        <v>4.3099999999999996</v>
      </c>
      <c r="N346">
        <v>0.7</v>
      </c>
      <c r="O346">
        <v>5.23</v>
      </c>
      <c r="P346">
        <v>3</v>
      </c>
      <c r="Q346">
        <v>3.5</v>
      </c>
      <c r="R346">
        <v>3.7</v>
      </c>
      <c r="S346">
        <v>7.3</v>
      </c>
      <c r="T346" t="s">
        <v>10</v>
      </c>
      <c r="U346">
        <v>8.3000000000000007</v>
      </c>
      <c r="V346">
        <v>6.1</v>
      </c>
      <c r="W346">
        <v>7.9</v>
      </c>
      <c r="X346">
        <v>4.5999999999999996</v>
      </c>
      <c r="Y346">
        <v>3.6</v>
      </c>
      <c r="Z346">
        <v>5.4</v>
      </c>
      <c r="AA346">
        <v>5.6</v>
      </c>
      <c r="AB346" t="s">
        <v>21</v>
      </c>
      <c r="AC346" t="s">
        <v>10</v>
      </c>
      <c r="AD346" t="s">
        <v>12</v>
      </c>
      <c r="AE346" t="str">
        <f t="shared" si="15"/>
        <v>15-19</v>
      </c>
      <c r="AF346" t="str">
        <f t="shared" si="16"/>
        <v>Low Usage</v>
      </c>
      <c r="AG346" t="str">
        <f t="shared" si="17"/>
        <v>Moderate Loneliness</v>
      </c>
    </row>
    <row r="347" spans="1:33" x14ac:dyDescent="0.3">
      <c r="A347" t="s">
        <v>391</v>
      </c>
      <c r="B347">
        <v>21</v>
      </c>
      <c r="C347" t="s">
        <v>1</v>
      </c>
      <c r="D347" t="s">
        <v>2</v>
      </c>
      <c r="E347" t="s">
        <v>3</v>
      </c>
      <c r="F347" t="s">
        <v>45</v>
      </c>
      <c r="G347" t="s">
        <v>43</v>
      </c>
      <c r="H347" t="s">
        <v>28</v>
      </c>
      <c r="I347" t="s">
        <v>29</v>
      </c>
      <c r="J347" t="s">
        <v>20</v>
      </c>
      <c r="K347" t="s">
        <v>53</v>
      </c>
      <c r="L347">
        <v>2.57</v>
      </c>
      <c r="M347">
        <v>3.63</v>
      </c>
      <c r="N347">
        <v>2.27</v>
      </c>
      <c r="O347">
        <v>6.73</v>
      </c>
      <c r="P347">
        <v>0</v>
      </c>
      <c r="Q347">
        <v>7.1</v>
      </c>
      <c r="R347">
        <v>7.6</v>
      </c>
      <c r="S347">
        <v>3.4</v>
      </c>
      <c r="T347" t="s">
        <v>10</v>
      </c>
      <c r="U347">
        <v>6</v>
      </c>
      <c r="V347">
        <v>5</v>
      </c>
      <c r="W347">
        <v>3.7</v>
      </c>
      <c r="X347">
        <v>5.6</v>
      </c>
      <c r="Y347">
        <v>6</v>
      </c>
      <c r="Z347">
        <v>5.9</v>
      </c>
      <c r="AA347">
        <v>4.5999999999999996</v>
      </c>
      <c r="AB347" t="s">
        <v>21</v>
      </c>
      <c r="AC347" t="s">
        <v>10</v>
      </c>
      <c r="AD347" t="s">
        <v>45</v>
      </c>
      <c r="AE347" t="str">
        <f t="shared" si="15"/>
        <v>20-24</v>
      </c>
      <c r="AF347" t="str">
        <f t="shared" si="16"/>
        <v>Moderate Usage</v>
      </c>
      <c r="AG347" t="str">
        <f t="shared" si="17"/>
        <v>High Loneliness</v>
      </c>
    </row>
    <row r="348" spans="1:33" x14ac:dyDescent="0.3">
      <c r="A348" t="s">
        <v>392</v>
      </c>
      <c r="B348">
        <v>42</v>
      </c>
      <c r="C348" t="s">
        <v>1</v>
      </c>
      <c r="D348" t="s">
        <v>47</v>
      </c>
      <c r="E348" t="s">
        <v>3</v>
      </c>
      <c r="F348" t="s">
        <v>12</v>
      </c>
      <c r="G348" t="s">
        <v>17</v>
      </c>
      <c r="H348" t="s">
        <v>6</v>
      </c>
      <c r="I348" t="s">
        <v>19</v>
      </c>
      <c r="J348" t="s">
        <v>51</v>
      </c>
      <c r="K348" t="s">
        <v>1079</v>
      </c>
      <c r="L348">
        <v>0.13</v>
      </c>
      <c r="M348">
        <v>4.1100000000000003</v>
      </c>
      <c r="N348">
        <v>0.89</v>
      </c>
      <c r="O348">
        <v>2.0499999999999998</v>
      </c>
      <c r="P348">
        <v>3</v>
      </c>
      <c r="Q348">
        <v>3.7</v>
      </c>
      <c r="R348">
        <v>3.9</v>
      </c>
      <c r="S348">
        <v>5.9</v>
      </c>
      <c r="T348" t="s">
        <v>39</v>
      </c>
      <c r="U348">
        <v>7.1</v>
      </c>
      <c r="V348">
        <v>6.5</v>
      </c>
      <c r="W348">
        <v>4</v>
      </c>
      <c r="X348">
        <v>2.4</v>
      </c>
      <c r="Y348">
        <v>2.2999999999999998</v>
      </c>
      <c r="Z348">
        <v>4.9000000000000004</v>
      </c>
      <c r="AA348">
        <v>9.3000000000000007</v>
      </c>
      <c r="AB348" t="s">
        <v>44</v>
      </c>
      <c r="AC348" t="s">
        <v>10</v>
      </c>
      <c r="AD348" t="s">
        <v>12</v>
      </c>
      <c r="AE348" t="str">
        <f t="shared" si="15"/>
        <v>35-44</v>
      </c>
      <c r="AF348" t="str">
        <f t="shared" si="16"/>
        <v>Very Low Usage</v>
      </c>
      <c r="AG348" t="str">
        <f t="shared" si="17"/>
        <v>Moderate Loneliness</v>
      </c>
    </row>
    <row r="349" spans="1:33" x14ac:dyDescent="0.3">
      <c r="A349" t="s">
        <v>393</v>
      </c>
      <c r="B349">
        <v>30</v>
      </c>
      <c r="C349" t="s">
        <v>32</v>
      </c>
      <c r="D349" t="s">
        <v>14</v>
      </c>
      <c r="E349" t="s">
        <v>3</v>
      </c>
      <c r="F349" t="s">
        <v>45</v>
      </c>
      <c r="G349" t="s">
        <v>17</v>
      </c>
      <c r="H349" t="s">
        <v>18</v>
      </c>
      <c r="I349" t="s">
        <v>35</v>
      </c>
      <c r="J349" t="s">
        <v>8</v>
      </c>
      <c r="K349" t="s">
        <v>25</v>
      </c>
      <c r="L349">
        <v>0.56000000000000005</v>
      </c>
      <c r="M349">
        <v>5.98</v>
      </c>
      <c r="N349">
        <v>0.14000000000000001</v>
      </c>
      <c r="O349">
        <v>3.9</v>
      </c>
      <c r="P349">
        <v>3</v>
      </c>
      <c r="Q349">
        <v>1.3</v>
      </c>
      <c r="R349">
        <v>2</v>
      </c>
      <c r="S349">
        <v>10</v>
      </c>
      <c r="T349" t="s">
        <v>10</v>
      </c>
      <c r="U349">
        <v>6.8</v>
      </c>
      <c r="V349">
        <v>10</v>
      </c>
      <c r="W349">
        <v>7.8</v>
      </c>
      <c r="X349">
        <v>3.3</v>
      </c>
      <c r="Y349">
        <v>2.8</v>
      </c>
      <c r="Z349">
        <v>3.5</v>
      </c>
      <c r="AA349">
        <v>8.4</v>
      </c>
      <c r="AB349" t="s">
        <v>11</v>
      </c>
      <c r="AC349" t="s">
        <v>10</v>
      </c>
      <c r="AD349" t="s">
        <v>12</v>
      </c>
      <c r="AE349" t="str">
        <f t="shared" si="15"/>
        <v>25-34</v>
      </c>
      <c r="AF349" t="str">
        <f t="shared" si="16"/>
        <v>Very Low Usage</v>
      </c>
      <c r="AG349" t="str">
        <f t="shared" si="17"/>
        <v>Low Loneliness</v>
      </c>
    </row>
    <row r="350" spans="1:33" x14ac:dyDescent="0.3">
      <c r="A350" t="s">
        <v>394</v>
      </c>
      <c r="B350">
        <v>40</v>
      </c>
      <c r="C350" t="s">
        <v>1</v>
      </c>
      <c r="D350" t="s">
        <v>2</v>
      </c>
      <c r="E350" t="s">
        <v>59</v>
      </c>
      <c r="F350" t="s">
        <v>45</v>
      </c>
      <c r="G350" t="s">
        <v>43</v>
      </c>
      <c r="H350" t="s">
        <v>18</v>
      </c>
      <c r="I350" t="s">
        <v>35</v>
      </c>
      <c r="J350" t="s">
        <v>51</v>
      </c>
      <c r="K350" t="s">
        <v>30</v>
      </c>
      <c r="L350">
        <v>0</v>
      </c>
      <c r="M350">
        <v>4.2699999999999996</v>
      </c>
      <c r="N350">
        <v>1.84</v>
      </c>
      <c r="O350">
        <v>4.05</v>
      </c>
      <c r="P350">
        <v>6</v>
      </c>
      <c r="Q350">
        <v>3.4</v>
      </c>
      <c r="R350">
        <v>1</v>
      </c>
      <c r="S350">
        <v>8.4</v>
      </c>
      <c r="T350" t="s">
        <v>10</v>
      </c>
      <c r="U350">
        <v>9</v>
      </c>
      <c r="V350">
        <v>7.7</v>
      </c>
      <c r="W350">
        <v>4.9000000000000004</v>
      </c>
      <c r="X350">
        <v>1.4</v>
      </c>
      <c r="Y350">
        <v>1.3</v>
      </c>
      <c r="Z350">
        <v>3.5</v>
      </c>
      <c r="AA350">
        <v>6.4</v>
      </c>
      <c r="AB350" t="s">
        <v>11</v>
      </c>
      <c r="AC350" t="s">
        <v>10</v>
      </c>
      <c r="AD350" t="s">
        <v>12</v>
      </c>
      <c r="AE350" t="str">
        <f t="shared" si="15"/>
        <v>35-44</v>
      </c>
      <c r="AF350" t="str">
        <f t="shared" si="16"/>
        <v>Very Low Usage</v>
      </c>
      <c r="AG350" t="str">
        <f t="shared" si="17"/>
        <v>Moderate Loneliness</v>
      </c>
    </row>
    <row r="351" spans="1:33" x14ac:dyDescent="0.3">
      <c r="A351" t="s">
        <v>395</v>
      </c>
      <c r="B351">
        <v>30</v>
      </c>
      <c r="C351" t="s">
        <v>32</v>
      </c>
      <c r="D351" t="s">
        <v>14</v>
      </c>
      <c r="E351" t="s">
        <v>37</v>
      </c>
      <c r="F351" t="s">
        <v>45</v>
      </c>
      <c r="G351" t="s">
        <v>17</v>
      </c>
      <c r="H351" t="s">
        <v>18</v>
      </c>
      <c r="I351" t="s">
        <v>29</v>
      </c>
      <c r="J351" t="s">
        <v>8</v>
      </c>
      <c r="K351" t="s">
        <v>25</v>
      </c>
      <c r="L351">
        <v>0</v>
      </c>
      <c r="M351">
        <v>3.89</v>
      </c>
      <c r="N351">
        <v>2.57</v>
      </c>
      <c r="O351">
        <v>2.73</v>
      </c>
      <c r="P351">
        <v>7</v>
      </c>
      <c r="Q351">
        <v>2.9</v>
      </c>
      <c r="R351">
        <v>3.6</v>
      </c>
      <c r="S351">
        <v>8.1</v>
      </c>
      <c r="T351" t="s">
        <v>10</v>
      </c>
      <c r="U351">
        <v>8.8000000000000007</v>
      </c>
      <c r="V351">
        <v>6.3</v>
      </c>
      <c r="W351">
        <v>3.7</v>
      </c>
      <c r="X351">
        <v>4.2</v>
      </c>
      <c r="Y351">
        <v>3.8</v>
      </c>
      <c r="Z351">
        <v>3</v>
      </c>
      <c r="AA351">
        <v>5.8</v>
      </c>
      <c r="AB351" t="s">
        <v>21</v>
      </c>
      <c r="AC351" t="s">
        <v>10</v>
      </c>
      <c r="AD351" t="s">
        <v>12</v>
      </c>
      <c r="AE351" t="str">
        <f t="shared" si="15"/>
        <v>25-34</v>
      </c>
      <c r="AF351" t="str">
        <f t="shared" si="16"/>
        <v>Very Low Usage</v>
      </c>
      <c r="AG351" t="str">
        <f t="shared" si="17"/>
        <v>Low Loneliness</v>
      </c>
    </row>
    <row r="352" spans="1:33" x14ac:dyDescent="0.3">
      <c r="A352" t="s">
        <v>396</v>
      </c>
      <c r="B352">
        <v>39</v>
      </c>
      <c r="C352" t="s">
        <v>1</v>
      </c>
      <c r="D352" t="s">
        <v>14</v>
      </c>
      <c r="E352" t="s">
        <v>37</v>
      </c>
      <c r="F352" t="s">
        <v>16</v>
      </c>
      <c r="G352" t="s">
        <v>5</v>
      </c>
      <c r="H352" t="s">
        <v>6</v>
      </c>
      <c r="I352" t="s">
        <v>19</v>
      </c>
      <c r="J352" t="s">
        <v>20</v>
      </c>
      <c r="K352" t="s">
        <v>30</v>
      </c>
      <c r="L352">
        <v>1.38</v>
      </c>
      <c r="M352">
        <v>5.21</v>
      </c>
      <c r="N352">
        <v>3.04</v>
      </c>
      <c r="O352">
        <v>6.94</v>
      </c>
      <c r="P352">
        <v>3</v>
      </c>
      <c r="Q352">
        <v>3</v>
      </c>
      <c r="R352">
        <v>1.6</v>
      </c>
      <c r="S352">
        <v>5.7</v>
      </c>
      <c r="T352" t="s">
        <v>10</v>
      </c>
      <c r="U352">
        <v>7.2</v>
      </c>
      <c r="V352">
        <v>6.7</v>
      </c>
      <c r="W352">
        <v>2.8</v>
      </c>
      <c r="X352">
        <v>1.4</v>
      </c>
      <c r="Y352">
        <v>4.0999999999999996</v>
      </c>
      <c r="Z352">
        <v>3.6</v>
      </c>
      <c r="AA352">
        <v>6.7</v>
      </c>
      <c r="AB352" t="s">
        <v>11</v>
      </c>
      <c r="AC352" t="s">
        <v>10</v>
      </c>
      <c r="AD352" t="s">
        <v>12</v>
      </c>
      <c r="AE352" t="str">
        <f t="shared" si="15"/>
        <v>35-44</v>
      </c>
      <c r="AF352" t="str">
        <f t="shared" si="16"/>
        <v>Low Usage</v>
      </c>
      <c r="AG352" t="str">
        <f t="shared" si="17"/>
        <v>Low Loneliness</v>
      </c>
    </row>
    <row r="353" spans="1:33" x14ac:dyDescent="0.3">
      <c r="A353" t="s">
        <v>397</v>
      </c>
      <c r="B353">
        <v>34</v>
      </c>
      <c r="C353" t="s">
        <v>1</v>
      </c>
      <c r="D353" t="s">
        <v>47</v>
      </c>
      <c r="E353" t="s">
        <v>15</v>
      </c>
      <c r="F353" t="s">
        <v>16</v>
      </c>
      <c r="G353" t="s">
        <v>17</v>
      </c>
      <c r="H353" t="s">
        <v>33</v>
      </c>
      <c r="I353" t="s">
        <v>29</v>
      </c>
      <c r="J353" t="s">
        <v>8</v>
      </c>
      <c r="K353" t="s">
        <v>1079</v>
      </c>
      <c r="L353">
        <v>5.94</v>
      </c>
      <c r="M353">
        <v>1.71</v>
      </c>
      <c r="N353">
        <v>5.51</v>
      </c>
      <c r="O353">
        <v>12.84</v>
      </c>
      <c r="P353">
        <v>0</v>
      </c>
      <c r="Q353">
        <v>8.9</v>
      </c>
      <c r="R353">
        <v>8.8000000000000007</v>
      </c>
      <c r="S353">
        <v>2.4</v>
      </c>
      <c r="T353" t="s">
        <v>39</v>
      </c>
      <c r="U353">
        <v>4</v>
      </c>
      <c r="V353">
        <v>1.8</v>
      </c>
      <c r="W353">
        <v>1.8</v>
      </c>
      <c r="X353">
        <v>9</v>
      </c>
      <c r="Y353">
        <v>7.6</v>
      </c>
      <c r="Z353">
        <v>8.1999999999999993</v>
      </c>
      <c r="AA353">
        <v>1</v>
      </c>
      <c r="AB353" t="s">
        <v>44</v>
      </c>
      <c r="AC353" t="s">
        <v>39</v>
      </c>
      <c r="AD353" t="s">
        <v>45</v>
      </c>
      <c r="AE353" t="str">
        <f t="shared" si="15"/>
        <v>25-34</v>
      </c>
      <c r="AF353" t="str">
        <f t="shared" si="16"/>
        <v>High Usage</v>
      </c>
      <c r="AG353" t="str">
        <f t="shared" si="17"/>
        <v>High Loneliness</v>
      </c>
    </row>
    <row r="354" spans="1:33" x14ac:dyDescent="0.3">
      <c r="A354" t="s">
        <v>398</v>
      </c>
      <c r="B354">
        <v>42</v>
      </c>
      <c r="C354" t="s">
        <v>1</v>
      </c>
      <c r="D354" t="s">
        <v>41</v>
      </c>
      <c r="E354" t="s">
        <v>15</v>
      </c>
      <c r="F354" t="s">
        <v>4</v>
      </c>
      <c r="G354" t="s">
        <v>5</v>
      </c>
      <c r="H354" t="s">
        <v>18</v>
      </c>
      <c r="I354" t="s">
        <v>19</v>
      </c>
      <c r="J354" t="s">
        <v>20</v>
      </c>
      <c r="K354" t="s">
        <v>53</v>
      </c>
      <c r="L354">
        <v>3.58</v>
      </c>
      <c r="M354">
        <v>1.34</v>
      </c>
      <c r="N354">
        <v>4.4400000000000004</v>
      </c>
      <c r="O354">
        <v>9.73</v>
      </c>
      <c r="P354">
        <v>4</v>
      </c>
      <c r="Q354">
        <v>5.7</v>
      </c>
      <c r="R354">
        <v>6.1</v>
      </c>
      <c r="S354">
        <v>3.3</v>
      </c>
      <c r="T354" t="s">
        <v>39</v>
      </c>
      <c r="U354">
        <v>5.9</v>
      </c>
      <c r="V354">
        <v>6.1</v>
      </c>
      <c r="W354">
        <v>1.8</v>
      </c>
      <c r="X354">
        <v>8.8000000000000007</v>
      </c>
      <c r="Y354">
        <v>5.8</v>
      </c>
      <c r="Z354">
        <v>8.8000000000000007</v>
      </c>
      <c r="AA354">
        <v>4.8</v>
      </c>
      <c r="AB354" t="s">
        <v>21</v>
      </c>
      <c r="AC354" t="s">
        <v>10</v>
      </c>
      <c r="AD354" t="s">
        <v>45</v>
      </c>
      <c r="AE354" t="str">
        <f t="shared" si="15"/>
        <v>35-44</v>
      </c>
      <c r="AF354" t="str">
        <f t="shared" si="16"/>
        <v>Moderate Usage</v>
      </c>
      <c r="AG354" t="str">
        <f t="shared" si="17"/>
        <v>Moderate Loneliness</v>
      </c>
    </row>
    <row r="355" spans="1:33" x14ac:dyDescent="0.3">
      <c r="A355" t="s">
        <v>399</v>
      </c>
      <c r="B355">
        <v>31</v>
      </c>
      <c r="C355" t="s">
        <v>32</v>
      </c>
      <c r="D355" t="s">
        <v>14</v>
      </c>
      <c r="E355" t="s">
        <v>37</v>
      </c>
      <c r="F355" t="s">
        <v>16</v>
      </c>
      <c r="G355" t="s">
        <v>17</v>
      </c>
      <c r="H355" t="s">
        <v>33</v>
      </c>
      <c r="I355" t="s">
        <v>19</v>
      </c>
      <c r="J355" t="s">
        <v>8</v>
      </c>
      <c r="K355" t="s">
        <v>53</v>
      </c>
      <c r="L355">
        <v>0.88</v>
      </c>
      <c r="M355">
        <v>4.82</v>
      </c>
      <c r="N355">
        <v>1.77</v>
      </c>
      <c r="O355">
        <v>4.67</v>
      </c>
      <c r="P355">
        <v>2</v>
      </c>
      <c r="Q355">
        <v>7.2</v>
      </c>
      <c r="R355">
        <v>5.2</v>
      </c>
      <c r="S355">
        <v>4.8</v>
      </c>
      <c r="T355" t="s">
        <v>10</v>
      </c>
      <c r="U355">
        <v>6.7</v>
      </c>
      <c r="V355">
        <v>5.6</v>
      </c>
      <c r="W355">
        <v>2</v>
      </c>
      <c r="X355">
        <v>5.5</v>
      </c>
      <c r="Y355">
        <v>4.5999999999999996</v>
      </c>
      <c r="Z355">
        <v>7.1</v>
      </c>
      <c r="AA355">
        <v>3</v>
      </c>
      <c r="AB355" t="s">
        <v>44</v>
      </c>
      <c r="AC355" t="s">
        <v>10</v>
      </c>
      <c r="AD355" t="s">
        <v>45</v>
      </c>
      <c r="AE355" t="str">
        <f t="shared" si="15"/>
        <v>25-34</v>
      </c>
      <c r="AF355" t="str">
        <f t="shared" si="16"/>
        <v>Very Low Usage</v>
      </c>
      <c r="AG355" t="str">
        <f t="shared" si="17"/>
        <v>High Loneliness</v>
      </c>
    </row>
    <row r="356" spans="1:33" x14ac:dyDescent="0.3">
      <c r="A356" t="s">
        <v>400</v>
      </c>
      <c r="B356">
        <v>16</v>
      </c>
      <c r="C356" t="s">
        <v>32</v>
      </c>
      <c r="D356" t="s">
        <v>14</v>
      </c>
      <c r="E356" t="s">
        <v>15</v>
      </c>
      <c r="F356" t="s">
        <v>4</v>
      </c>
      <c r="G356" t="s">
        <v>17</v>
      </c>
      <c r="H356" t="s">
        <v>18</v>
      </c>
      <c r="I356" t="s">
        <v>35</v>
      </c>
      <c r="J356" t="s">
        <v>20</v>
      </c>
      <c r="K356" t="s">
        <v>25</v>
      </c>
      <c r="L356">
        <v>2.06</v>
      </c>
      <c r="M356">
        <v>2.75</v>
      </c>
      <c r="N356">
        <v>4.43</v>
      </c>
      <c r="O356">
        <v>7.7</v>
      </c>
      <c r="P356">
        <v>4</v>
      </c>
      <c r="Q356">
        <v>7.4</v>
      </c>
      <c r="R356">
        <v>6.6</v>
      </c>
      <c r="S356">
        <v>7</v>
      </c>
      <c r="T356" t="s">
        <v>10</v>
      </c>
      <c r="U356">
        <v>6.1</v>
      </c>
      <c r="V356">
        <v>7.2</v>
      </c>
      <c r="W356">
        <v>2.6</v>
      </c>
      <c r="X356">
        <v>5.5</v>
      </c>
      <c r="Y356">
        <v>6.2</v>
      </c>
      <c r="Z356">
        <v>5.8</v>
      </c>
      <c r="AA356">
        <v>5</v>
      </c>
      <c r="AB356" t="s">
        <v>21</v>
      </c>
      <c r="AC356" t="s">
        <v>10</v>
      </c>
      <c r="AD356" t="s">
        <v>12</v>
      </c>
      <c r="AE356" t="str">
        <f t="shared" si="15"/>
        <v>15-19</v>
      </c>
      <c r="AF356" t="str">
        <f t="shared" si="16"/>
        <v>Low Usage</v>
      </c>
      <c r="AG356" t="str">
        <f t="shared" si="17"/>
        <v>High Loneliness</v>
      </c>
    </row>
    <row r="357" spans="1:33" x14ac:dyDescent="0.3">
      <c r="A357" t="s">
        <v>401</v>
      </c>
      <c r="B357">
        <v>15</v>
      </c>
      <c r="C357" t="s">
        <v>32</v>
      </c>
      <c r="D357" t="s">
        <v>47</v>
      </c>
      <c r="E357" t="s">
        <v>15</v>
      </c>
      <c r="F357" t="s">
        <v>16</v>
      </c>
      <c r="G357" t="s">
        <v>5</v>
      </c>
      <c r="H357" t="s">
        <v>18</v>
      </c>
      <c r="I357" t="s">
        <v>35</v>
      </c>
      <c r="J357" t="s">
        <v>51</v>
      </c>
      <c r="K357" t="s">
        <v>9</v>
      </c>
      <c r="L357">
        <v>1.67</v>
      </c>
      <c r="M357">
        <v>3.54</v>
      </c>
      <c r="N357">
        <v>2.59</v>
      </c>
      <c r="O357">
        <v>8.06</v>
      </c>
      <c r="P357">
        <v>5</v>
      </c>
      <c r="Q357">
        <v>5.0999999999999996</v>
      </c>
      <c r="R357">
        <v>5.5</v>
      </c>
      <c r="S357">
        <v>3.9</v>
      </c>
      <c r="T357" t="s">
        <v>39</v>
      </c>
      <c r="U357">
        <v>8.9</v>
      </c>
      <c r="V357">
        <v>6.3</v>
      </c>
      <c r="W357">
        <v>3.1</v>
      </c>
      <c r="X357">
        <v>7</v>
      </c>
      <c r="Y357">
        <v>3.2</v>
      </c>
      <c r="Z357">
        <v>4.8</v>
      </c>
      <c r="AA357">
        <v>6.6</v>
      </c>
      <c r="AB357" t="s">
        <v>44</v>
      </c>
      <c r="AC357" t="s">
        <v>39</v>
      </c>
      <c r="AD357" t="s">
        <v>22</v>
      </c>
      <c r="AE357" t="str">
        <f t="shared" si="15"/>
        <v>15-19</v>
      </c>
      <c r="AF357" t="str">
        <f t="shared" si="16"/>
        <v>Low Usage</v>
      </c>
      <c r="AG357" t="str">
        <f t="shared" si="17"/>
        <v>Moderate Loneliness</v>
      </c>
    </row>
    <row r="358" spans="1:33" x14ac:dyDescent="0.3">
      <c r="A358" t="s">
        <v>402</v>
      </c>
      <c r="B358">
        <v>30</v>
      </c>
      <c r="C358" t="s">
        <v>1</v>
      </c>
      <c r="D358" t="s">
        <v>14</v>
      </c>
      <c r="E358" t="s">
        <v>15</v>
      </c>
      <c r="F358" t="s">
        <v>4</v>
      </c>
      <c r="G358" t="s">
        <v>17</v>
      </c>
      <c r="H358" t="s">
        <v>28</v>
      </c>
      <c r="I358" t="s">
        <v>19</v>
      </c>
      <c r="J358" t="s">
        <v>20</v>
      </c>
      <c r="K358" t="s">
        <v>1079</v>
      </c>
      <c r="L358">
        <v>2.2000000000000002</v>
      </c>
      <c r="M358">
        <v>5.41</v>
      </c>
      <c r="N358">
        <v>3.84</v>
      </c>
      <c r="O358">
        <v>6.54</v>
      </c>
      <c r="P358">
        <v>2</v>
      </c>
      <c r="Q358">
        <v>4.7</v>
      </c>
      <c r="R358">
        <v>4.0999999999999996</v>
      </c>
      <c r="S358">
        <v>6.6</v>
      </c>
      <c r="T358" t="s">
        <v>10</v>
      </c>
      <c r="U358">
        <v>8.4</v>
      </c>
      <c r="V358">
        <v>5.7</v>
      </c>
      <c r="W358">
        <v>4.9000000000000004</v>
      </c>
      <c r="X358">
        <v>4.9000000000000004</v>
      </c>
      <c r="Y358">
        <v>5</v>
      </c>
      <c r="Z358">
        <v>4.5999999999999996</v>
      </c>
      <c r="AA358">
        <v>4.7</v>
      </c>
      <c r="AB358" t="s">
        <v>21</v>
      </c>
      <c r="AC358" t="s">
        <v>10</v>
      </c>
      <c r="AD358" t="s">
        <v>22</v>
      </c>
      <c r="AE358" t="str">
        <f t="shared" si="15"/>
        <v>25-34</v>
      </c>
      <c r="AF358" t="str">
        <f t="shared" si="16"/>
        <v>Low Usage</v>
      </c>
      <c r="AG358" t="str">
        <f t="shared" si="17"/>
        <v>Moderate Loneliness</v>
      </c>
    </row>
    <row r="359" spans="1:33" x14ac:dyDescent="0.3">
      <c r="A359" t="s">
        <v>403</v>
      </c>
      <c r="B359">
        <v>44</v>
      </c>
      <c r="C359" t="s">
        <v>32</v>
      </c>
      <c r="D359" t="s">
        <v>2</v>
      </c>
      <c r="E359" t="s">
        <v>3</v>
      </c>
      <c r="F359" t="s">
        <v>16</v>
      </c>
      <c r="G359" t="s">
        <v>17</v>
      </c>
      <c r="H359" t="s">
        <v>18</v>
      </c>
      <c r="I359" t="s">
        <v>19</v>
      </c>
      <c r="J359" t="s">
        <v>20</v>
      </c>
      <c r="K359" t="s">
        <v>53</v>
      </c>
      <c r="L359">
        <v>1.03</v>
      </c>
      <c r="M359">
        <v>1.76</v>
      </c>
      <c r="N359">
        <v>1.29</v>
      </c>
      <c r="O359">
        <v>4.38</v>
      </c>
      <c r="P359">
        <v>3</v>
      </c>
      <c r="Q359">
        <v>3.2</v>
      </c>
      <c r="R359">
        <v>4.2</v>
      </c>
      <c r="S359">
        <v>6.2</v>
      </c>
      <c r="T359" t="s">
        <v>10</v>
      </c>
      <c r="U359">
        <v>5.3</v>
      </c>
      <c r="V359">
        <v>5</v>
      </c>
      <c r="W359">
        <v>4.5</v>
      </c>
      <c r="X359">
        <v>5.0999999999999996</v>
      </c>
      <c r="Y359">
        <v>5.2</v>
      </c>
      <c r="Z359">
        <v>5.4</v>
      </c>
      <c r="AA359">
        <v>6.2</v>
      </c>
      <c r="AB359" t="s">
        <v>44</v>
      </c>
      <c r="AC359" t="s">
        <v>10</v>
      </c>
      <c r="AD359" t="s">
        <v>22</v>
      </c>
      <c r="AE359" t="str">
        <f t="shared" si="15"/>
        <v>35-44</v>
      </c>
      <c r="AF359" t="str">
        <f t="shared" si="16"/>
        <v>Low Usage</v>
      </c>
      <c r="AG359" t="str">
        <f t="shared" si="17"/>
        <v>Moderate Loneliness</v>
      </c>
    </row>
    <row r="360" spans="1:33" x14ac:dyDescent="0.3">
      <c r="A360" t="s">
        <v>404</v>
      </c>
      <c r="B360">
        <v>26</v>
      </c>
      <c r="C360" t="s">
        <v>1</v>
      </c>
      <c r="D360" t="s">
        <v>47</v>
      </c>
      <c r="E360" t="s">
        <v>15</v>
      </c>
      <c r="F360" t="s">
        <v>16</v>
      </c>
      <c r="G360" t="s">
        <v>17</v>
      </c>
      <c r="H360" t="s">
        <v>28</v>
      </c>
      <c r="I360" t="s">
        <v>35</v>
      </c>
      <c r="J360" t="s">
        <v>51</v>
      </c>
      <c r="K360" t="s">
        <v>53</v>
      </c>
      <c r="L360">
        <v>1.29</v>
      </c>
      <c r="M360">
        <v>2.25</v>
      </c>
      <c r="N360">
        <v>2.2999999999999998</v>
      </c>
      <c r="O360">
        <v>5.97</v>
      </c>
      <c r="P360">
        <v>3</v>
      </c>
      <c r="Q360">
        <v>2.5</v>
      </c>
      <c r="R360">
        <v>5.2</v>
      </c>
      <c r="S360">
        <v>5.6</v>
      </c>
      <c r="T360" t="s">
        <v>10</v>
      </c>
      <c r="U360">
        <v>5.9</v>
      </c>
      <c r="V360">
        <v>8.3000000000000007</v>
      </c>
      <c r="W360">
        <v>3.7</v>
      </c>
      <c r="X360">
        <v>5.3</v>
      </c>
      <c r="Y360">
        <v>4.3</v>
      </c>
      <c r="Z360">
        <v>7.3</v>
      </c>
      <c r="AA360">
        <v>5.9</v>
      </c>
      <c r="AB360" t="s">
        <v>21</v>
      </c>
      <c r="AC360" t="s">
        <v>10</v>
      </c>
      <c r="AD360" t="s">
        <v>12</v>
      </c>
      <c r="AE360" t="str">
        <f t="shared" si="15"/>
        <v>25-34</v>
      </c>
      <c r="AF360" t="str">
        <f t="shared" si="16"/>
        <v>Low Usage</v>
      </c>
      <c r="AG360" t="str">
        <f t="shared" si="17"/>
        <v>Low Loneliness</v>
      </c>
    </row>
    <row r="361" spans="1:33" x14ac:dyDescent="0.3">
      <c r="A361" t="s">
        <v>405</v>
      </c>
      <c r="B361">
        <v>19</v>
      </c>
      <c r="C361" t="s">
        <v>1</v>
      </c>
      <c r="D361" t="s">
        <v>2</v>
      </c>
      <c r="E361" t="s">
        <v>37</v>
      </c>
      <c r="F361" t="s">
        <v>12</v>
      </c>
      <c r="G361" t="s">
        <v>17</v>
      </c>
      <c r="H361" t="s">
        <v>6</v>
      </c>
      <c r="I361" t="s">
        <v>7</v>
      </c>
      <c r="J361" t="s">
        <v>48</v>
      </c>
      <c r="K361" t="s">
        <v>1079</v>
      </c>
      <c r="L361">
        <v>0</v>
      </c>
      <c r="M361">
        <v>6.74</v>
      </c>
      <c r="N361">
        <v>1.35</v>
      </c>
      <c r="O361">
        <v>3.39</v>
      </c>
      <c r="P361">
        <v>5</v>
      </c>
      <c r="Q361">
        <v>1.3</v>
      </c>
      <c r="R361">
        <v>1</v>
      </c>
      <c r="S361">
        <v>8.8000000000000007</v>
      </c>
      <c r="T361" t="s">
        <v>10</v>
      </c>
      <c r="U361">
        <v>8.9</v>
      </c>
      <c r="V361">
        <v>10</v>
      </c>
      <c r="W361">
        <v>7.4</v>
      </c>
      <c r="X361">
        <v>1</v>
      </c>
      <c r="Y361">
        <v>1.1000000000000001</v>
      </c>
      <c r="Z361">
        <v>1.5</v>
      </c>
      <c r="AA361">
        <v>9.9</v>
      </c>
      <c r="AB361" t="s">
        <v>11</v>
      </c>
      <c r="AC361" t="s">
        <v>10</v>
      </c>
      <c r="AD361" t="s">
        <v>12</v>
      </c>
      <c r="AE361" t="str">
        <f t="shared" si="15"/>
        <v>15-19</v>
      </c>
      <c r="AF361" t="str">
        <f t="shared" si="16"/>
        <v>Very Low Usage</v>
      </c>
      <c r="AG361" t="str">
        <f t="shared" si="17"/>
        <v>Low Loneliness</v>
      </c>
    </row>
    <row r="362" spans="1:33" x14ac:dyDescent="0.3">
      <c r="A362" t="s">
        <v>406</v>
      </c>
      <c r="B362">
        <v>19</v>
      </c>
      <c r="C362" t="s">
        <v>32</v>
      </c>
      <c r="D362" t="s">
        <v>14</v>
      </c>
      <c r="E362" t="s">
        <v>37</v>
      </c>
      <c r="F362" t="s">
        <v>16</v>
      </c>
      <c r="G362" t="s">
        <v>17</v>
      </c>
      <c r="H362" t="s">
        <v>28</v>
      </c>
      <c r="I362" t="s">
        <v>29</v>
      </c>
      <c r="J362" t="s">
        <v>20</v>
      </c>
      <c r="K362" t="s">
        <v>30</v>
      </c>
      <c r="L362">
        <v>1.2</v>
      </c>
      <c r="M362">
        <v>1.93</v>
      </c>
      <c r="N362">
        <v>2.16</v>
      </c>
      <c r="O362">
        <v>5.17</v>
      </c>
      <c r="P362">
        <v>5</v>
      </c>
      <c r="Q362">
        <v>1.8</v>
      </c>
      <c r="R362">
        <v>3.8</v>
      </c>
      <c r="S362">
        <v>6.4</v>
      </c>
      <c r="T362" t="s">
        <v>10</v>
      </c>
      <c r="U362">
        <v>6.3</v>
      </c>
      <c r="V362">
        <v>8.5</v>
      </c>
      <c r="W362">
        <v>4.3</v>
      </c>
      <c r="X362">
        <v>3.2</v>
      </c>
      <c r="Y362">
        <v>1</v>
      </c>
      <c r="Z362">
        <v>5.8</v>
      </c>
      <c r="AA362">
        <v>7.3</v>
      </c>
      <c r="AB362" t="s">
        <v>44</v>
      </c>
      <c r="AC362" t="s">
        <v>10</v>
      </c>
      <c r="AD362" t="s">
        <v>12</v>
      </c>
      <c r="AE362" t="str">
        <f t="shared" si="15"/>
        <v>15-19</v>
      </c>
      <c r="AF362" t="str">
        <f t="shared" si="16"/>
        <v>Low Usage</v>
      </c>
      <c r="AG362" t="str">
        <f t="shared" si="17"/>
        <v>Low Loneliness</v>
      </c>
    </row>
    <row r="363" spans="1:33" x14ac:dyDescent="0.3">
      <c r="A363" t="s">
        <v>407</v>
      </c>
      <c r="B363">
        <v>41</v>
      </c>
      <c r="C363" t="s">
        <v>1</v>
      </c>
      <c r="D363" t="s">
        <v>14</v>
      </c>
      <c r="E363" t="s">
        <v>37</v>
      </c>
      <c r="F363" t="s">
        <v>4</v>
      </c>
      <c r="G363" t="s">
        <v>17</v>
      </c>
      <c r="H363" t="s">
        <v>6</v>
      </c>
      <c r="I363" t="s">
        <v>29</v>
      </c>
      <c r="J363" t="s">
        <v>8</v>
      </c>
      <c r="K363" t="s">
        <v>53</v>
      </c>
      <c r="L363">
        <v>0.08</v>
      </c>
      <c r="M363">
        <v>2.2200000000000002</v>
      </c>
      <c r="N363">
        <v>1.51</v>
      </c>
      <c r="O363">
        <v>3.21</v>
      </c>
      <c r="P363">
        <v>5</v>
      </c>
      <c r="Q363">
        <v>3.1</v>
      </c>
      <c r="R363">
        <v>2.5</v>
      </c>
      <c r="S363">
        <v>5.4</v>
      </c>
      <c r="T363" t="s">
        <v>10</v>
      </c>
      <c r="U363">
        <v>7.3</v>
      </c>
      <c r="V363">
        <v>8</v>
      </c>
      <c r="W363">
        <v>4.5999999999999996</v>
      </c>
      <c r="X363">
        <v>4.2</v>
      </c>
      <c r="Y363">
        <v>4.2</v>
      </c>
      <c r="Z363">
        <v>4.9000000000000004</v>
      </c>
      <c r="AA363">
        <v>4.2</v>
      </c>
      <c r="AB363" t="s">
        <v>44</v>
      </c>
      <c r="AC363" t="s">
        <v>10</v>
      </c>
      <c r="AD363" t="s">
        <v>12</v>
      </c>
      <c r="AE363" t="str">
        <f t="shared" si="15"/>
        <v>35-44</v>
      </c>
      <c r="AF363" t="str">
        <f t="shared" si="16"/>
        <v>Very Low Usage</v>
      </c>
      <c r="AG363" t="str">
        <f t="shared" si="17"/>
        <v>Moderate Loneliness</v>
      </c>
    </row>
    <row r="364" spans="1:33" x14ac:dyDescent="0.3">
      <c r="A364" t="s">
        <v>408</v>
      </c>
      <c r="B364">
        <v>37</v>
      </c>
      <c r="C364" t="s">
        <v>1</v>
      </c>
      <c r="D364" t="s">
        <v>47</v>
      </c>
      <c r="E364" t="s">
        <v>3</v>
      </c>
      <c r="F364" t="s">
        <v>16</v>
      </c>
      <c r="G364" t="s">
        <v>43</v>
      </c>
      <c r="H364" t="s">
        <v>18</v>
      </c>
      <c r="I364" t="s">
        <v>19</v>
      </c>
      <c r="J364" t="s">
        <v>51</v>
      </c>
      <c r="K364" t="s">
        <v>9</v>
      </c>
      <c r="L364">
        <v>0.88</v>
      </c>
      <c r="M364">
        <v>6</v>
      </c>
      <c r="N364">
        <v>3.06</v>
      </c>
      <c r="O364">
        <v>5.13</v>
      </c>
      <c r="P364">
        <v>5</v>
      </c>
      <c r="Q364">
        <v>3.7</v>
      </c>
      <c r="R364">
        <v>2.2000000000000002</v>
      </c>
      <c r="S364">
        <v>9</v>
      </c>
      <c r="T364" t="s">
        <v>10</v>
      </c>
      <c r="U364">
        <v>7.5</v>
      </c>
      <c r="V364">
        <v>7</v>
      </c>
      <c r="W364">
        <v>3.9</v>
      </c>
      <c r="X364">
        <v>1.1000000000000001</v>
      </c>
      <c r="Y364">
        <v>2.2000000000000002</v>
      </c>
      <c r="Z364">
        <v>4.4000000000000004</v>
      </c>
      <c r="AA364">
        <v>8.9</v>
      </c>
      <c r="AB364" t="s">
        <v>11</v>
      </c>
      <c r="AC364" t="s">
        <v>39</v>
      </c>
      <c r="AD364" t="s">
        <v>12</v>
      </c>
      <c r="AE364" t="str">
        <f t="shared" si="15"/>
        <v>35-44</v>
      </c>
      <c r="AF364" t="str">
        <f t="shared" si="16"/>
        <v>Very Low Usage</v>
      </c>
      <c r="AG364" t="str">
        <f t="shared" si="17"/>
        <v>Moderate Loneliness</v>
      </c>
    </row>
    <row r="365" spans="1:33" x14ac:dyDescent="0.3">
      <c r="A365" t="s">
        <v>409</v>
      </c>
      <c r="B365">
        <v>23</v>
      </c>
      <c r="C365" t="s">
        <v>1</v>
      </c>
      <c r="D365" t="s">
        <v>2</v>
      </c>
      <c r="E365" t="s">
        <v>3</v>
      </c>
      <c r="F365" t="s">
        <v>4</v>
      </c>
      <c r="G365" t="s">
        <v>17</v>
      </c>
      <c r="H365" t="s">
        <v>33</v>
      </c>
      <c r="I365" t="s">
        <v>29</v>
      </c>
      <c r="J365" t="s">
        <v>20</v>
      </c>
      <c r="K365" t="s">
        <v>1079</v>
      </c>
      <c r="L365">
        <v>0.18</v>
      </c>
      <c r="M365">
        <v>4.2</v>
      </c>
      <c r="N365">
        <v>0.77</v>
      </c>
      <c r="O365">
        <v>2.13</v>
      </c>
      <c r="P365">
        <v>7</v>
      </c>
      <c r="Q365">
        <v>3.9</v>
      </c>
      <c r="R365">
        <v>6</v>
      </c>
      <c r="S365">
        <v>7.2</v>
      </c>
      <c r="T365" t="s">
        <v>10</v>
      </c>
      <c r="U365">
        <v>7.4</v>
      </c>
      <c r="V365">
        <v>7.8</v>
      </c>
      <c r="W365">
        <v>3.7</v>
      </c>
      <c r="X365">
        <v>5</v>
      </c>
      <c r="Y365">
        <v>1</v>
      </c>
      <c r="Z365">
        <v>3.5</v>
      </c>
      <c r="AA365">
        <v>4.8</v>
      </c>
      <c r="AB365" t="s">
        <v>21</v>
      </c>
      <c r="AC365" t="s">
        <v>10</v>
      </c>
      <c r="AD365" t="s">
        <v>12</v>
      </c>
      <c r="AE365" t="str">
        <f t="shared" si="15"/>
        <v>20-24</v>
      </c>
      <c r="AF365" t="str">
        <f t="shared" si="16"/>
        <v>Very Low Usage</v>
      </c>
      <c r="AG365" t="str">
        <f t="shared" si="17"/>
        <v>Moderate Loneliness</v>
      </c>
    </row>
    <row r="366" spans="1:33" x14ac:dyDescent="0.3">
      <c r="A366" t="s">
        <v>410</v>
      </c>
      <c r="B366">
        <v>23</v>
      </c>
      <c r="C366" t="s">
        <v>1</v>
      </c>
      <c r="D366" t="s">
        <v>14</v>
      </c>
      <c r="E366" t="s">
        <v>15</v>
      </c>
      <c r="F366" t="s">
        <v>4</v>
      </c>
      <c r="G366" t="s">
        <v>5</v>
      </c>
      <c r="H366" t="s">
        <v>18</v>
      </c>
      <c r="I366" t="s">
        <v>29</v>
      </c>
      <c r="J366" t="s">
        <v>8</v>
      </c>
      <c r="K366" t="s">
        <v>9</v>
      </c>
      <c r="L366">
        <v>0</v>
      </c>
      <c r="M366">
        <v>5.87</v>
      </c>
      <c r="N366">
        <v>2.78</v>
      </c>
      <c r="O366">
        <v>5.94</v>
      </c>
      <c r="P366">
        <v>3</v>
      </c>
      <c r="Q366">
        <v>6.1</v>
      </c>
      <c r="R366">
        <v>3.8</v>
      </c>
      <c r="S366">
        <v>4.5</v>
      </c>
      <c r="T366" t="s">
        <v>10</v>
      </c>
      <c r="U366">
        <v>7.7</v>
      </c>
      <c r="V366">
        <v>7.3</v>
      </c>
      <c r="W366">
        <v>3.9</v>
      </c>
      <c r="X366">
        <v>6</v>
      </c>
      <c r="Y366">
        <v>3.3</v>
      </c>
      <c r="Z366">
        <v>5.3</v>
      </c>
      <c r="AA366">
        <v>6.8</v>
      </c>
      <c r="AB366" t="s">
        <v>44</v>
      </c>
      <c r="AC366" t="s">
        <v>10</v>
      </c>
      <c r="AD366" t="s">
        <v>22</v>
      </c>
      <c r="AE366" t="str">
        <f t="shared" si="15"/>
        <v>20-24</v>
      </c>
      <c r="AF366" t="str">
        <f t="shared" si="16"/>
        <v>Very Low Usage</v>
      </c>
      <c r="AG366" t="str">
        <f t="shared" si="17"/>
        <v>High Loneliness</v>
      </c>
    </row>
    <row r="367" spans="1:33" x14ac:dyDescent="0.3">
      <c r="A367" t="s">
        <v>411</v>
      </c>
      <c r="B367">
        <v>17</v>
      </c>
      <c r="C367" t="s">
        <v>1</v>
      </c>
      <c r="D367" t="s">
        <v>47</v>
      </c>
      <c r="E367" t="s">
        <v>3</v>
      </c>
      <c r="F367" t="s">
        <v>45</v>
      </c>
      <c r="G367" t="s">
        <v>17</v>
      </c>
      <c r="H367" t="s">
        <v>28</v>
      </c>
      <c r="I367" t="s">
        <v>29</v>
      </c>
      <c r="J367" t="s">
        <v>8</v>
      </c>
      <c r="K367" t="s">
        <v>25</v>
      </c>
      <c r="L367">
        <v>3.13</v>
      </c>
      <c r="M367">
        <v>2.12</v>
      </c>
      <c r="N367">
        <v>3.91</v>
      </c>
      <c r="O367">
        <v>8.6</v>
      </c>
      <c r="P367">
        <v>4</v>
      </c>
      <c r="Q367">
        <v>6.7</v>
      </c>
      <c r="R367">
        <v>6.8</v>
      </c>
      <c r="S367">
        <v>2.6</v>
      </c>
      <c r="T367" t="s">
        <v>10</v>
      </c>
      <c r="U367">
        <v>8.1</v>
      </c>
      <c r="V367">
        <v>6.3</v>
      </c>
      <c r="W367">
        <v>3.3</v>
      </c>
      <c r="X367">
        <v>6.8</v>
      </c>
      <c r="Y367">
        <v>7.5</v>
      </c>
      <c r="Z367">
        <v>5.3</v>
      </c>
      <c r="AA367">
        <v>5.0999999999999996</v>
      </c>
      <c r="AB367" t="s">
        <v>44</v>
      </c>
      <c r="AC367" t="s">
        <v>39</v>
      </c>
      <c r="AD367" t="s">
        <v>45</v>
      </c>
      <c r="AE367" t="str">
        <f t="shared" si="15"/>
        <v>15-19</v>
      </c>
      <c r="AF367" t="str">
        <f t="shared" si="16"/>
        <v>Moderate Usage</v>
      </c>
      <c r="AG367" t="str">
        <f t="shared" si="17"/>
        <v>High Loneliness</v>
      </c>
    </row>
    <row r="368" spans="1:33" x14ac:dyDescent="0.3">
      <c r="A368" t="s">
        <v>412</v>
      </c>
      <c r="B368">
        <v>33</v>
      </c>
      <c r="C368" t="s">
        <v>32</v>
      </c>
      <c r="D368" t="s">
        <v>14</v>
      </c>
      <c r="E368" t="s">
        <v>37</v>
      </c>
      <c r="F368" t="s">
        <v>4</v>
      </c>
      <c r="G368" t="s">
        <v>17</v>
      </c>
      <c r="H368" t="s">
        <v>28</v>
      </c>
      <c r="I368" t="s">
        <v>24</v>
      </c>
      <c r="J368" t="s">
        <v>51</v>
      </c>
      <c r="K368" t="s">
        <v>25</v>
      </c>
      <c r="L368">
        <v>2.2799999999999998</v>
      </c>
      <c r="M368">
        <v>3.35</v>
      </c>
      <c r="N368">
        <v>4.8899999999999997</v>
      </c>
      <c r="O368">
        <v>11.31</v>
      </c>
      <c r="P368">
        <v>4</v>
      </c>
      <c r="Q368">
        <v>5.2</v>
      </c>
      <c r="R368">
        <v>7.8</v>
      </c>
      <c r="S368">
        <v>4.8</v>
      </c>
      <c r="T368" t="s">
        <v>10</v>
      </c>
      <c r="U368">
        <v>7.1</v>
      </c>
      <c r="V368">
        <v>6.1</v>
      </c>
      <c r="W368">
        <v>5.2</v>
      </c>
      <c r="X368">
        <v>6.7</v>
      </c>
      <c r="Y368">
        <v>5.4</v>
      </c>
      <c r="Z368">
        <v>5.9</v>
      </c>
      <c r="AA368">
        <v>6</v>
      </c>
      <c r="AB368" t="s">
        <v>11</v>
      </c>
      <c r="AC368" t="s">
        <v>39</v>
      </c>
      <c r="AD368" t="s">
        <v>22</v>
      </c>
      <c r="AE368" t="str">
        <f t="shared" si="15"/>
        <v>25-34</v>
      </c>
      <c r="AF368" t="str">
        <f t="shared" si="16"/>
        <v>Low Usage</v>
      </c>
      <c r="AG368" t="str">
        <f t="shared" si="17"/>
        <v>Moderate Loneliness</v>
      </c>
    </row>
    <row r="369" spans="1:33" x14ac:dyDescent="0.3">
      <c r="A369" t="s">
        <v>413</v>
      </c>
      <c r="B369">
        <v>30</v>
      </c>
      <c r="C369" t="s">
        <v>1</v>
      </c>
      <c r="D369" t="s">
        <v>47</v>
      </c>
      <c r="E369" t="s">
        <v>37</v>
      </c>
      <c r="F369" t="s">
        <v>16</v>
      </c>
      <c r="G369" t="s">
        <v>43</v>
      </c>
      <c r="H369" t="s">
        <v>28</v>
      </c>
      <c r="I369" t="s">
        <v>29</v>
      </c>
      <c r="J369" t="s">
        <v>8</v>
      </c>
      <c r="K369" t="s">
        <v>30</v>
      </c>
      <c r="L369">
        <v>3.55</v>
      </c>
      <c r="M369">
        <v>3.72</v>
      </c>
      <c r="N369">
        <v>2.78</v>
      </c>
      <c r="O369">
        <v>9</v>
      </c>
      <c r="P369">
        <v>2</v>
      </c>
      <c r="Q369">
        <v>5.3</v>
      </c>
      <c r="R369">
        <v>6</v>
      </c>
      <c r="S369">
        <v>6.1</v>
      </c>
      <c r="T369" t="s">
        <v>10</v>
      </c>
      <c r="U369">
        <v>5.4</v>
      </c>
      <c r="V369">
        <v>7.5</v>
      </c>
      <c r="W369">
        <v>3.9</v>
      </c>
      <c r="X369">
        <v>6.9</v>
      </c>
      <c r="Y369">
        <v>6.5</v>
      </c>
      <c r="Z369">
        <v>6</v>
      </c>
      <c r="AA369">
        <v>6.5</v>
      </c>
      <c r="AB369" t="s">
        <v>44</v>
      </c>
      <c r="AC369" t="s">
        <v>10</v>
      </c>
      <c r="AD369" t="s">
        <v>45</v>
      </c>
      <c r="AE369" t="str">
        <f t="shared" si="15"/>
        <v>25-34</v>
      </c>
      <c r="AF369" t="str">
        <f t="shared" si="16"/>
        <v>Moderate Usage</v>
      </c>
      <c r="AG369" t="str">
        <f t="shared" si="17"/>
        <v>Moderate Loneliness</v>
      </c>
    </row>
    <row r="370" spans="1:33" x14ac:dyDescent="0.3">
      <c r="A370" t="s">
        <v>414</v>
      </c>
      <c r="B370">
        <v>30</v>
      </c>
      <c r="C370" t="s">
        <v>32</v>
      </c>
      <c r="D370" t="s">
        <v>14</v>
      </c>
      <c r="E370" t="s">
        <v>3</v>
      </c>
      <c r="F370" t="s">
        <v>4</v>
      </c>
      <c r="G370" t="s">
        <v>17</v>
      </c>
      <c r="H370" t="s">
        <v>33</v>
      </c>
      <c r="I370" t="s">
        <v>29</v>
      </c>
      <c r="J370" t="s">
        <v>38</v>
      </c>
      <c r="K370" t="s">
        <v>30</v>
      </c>
      <c r="L370">
        <v>0.82</v>
      </c>
      <c r="M370">
        <v>3.64</v>
      </c>
      <c r="N370">
        <v>2.98</v>
      </c>
      <c r="O370">
        <v>3.13</v>
      </c>
      <c r="P370">
        <v>5</v>
      </c>
      <c r="Q370">
        <v>5.9</v>
      </c>
      <c r="R370">
        <v>8.5</v>
      </c>
      <c r="S370">
        <v>4.5999999999999996</v>
      </c>
      <c r="T370" t="s">
        <v>10</v>
      </c>
      <c r="U370">
        <v>6.6</v>
      </c>
      <c r="V370">
        <v>5.8</v>
      </c>
      <c r="W370">
        <v>2.2999999999999998</v>
      </c>
      <c r="X370">
        <v>5.7</v>
      </c>
      <c r="Y370">
        <v>6.7</v>
      </c>
      <c r="Z370">
        <v>6.7</v>
      </c>
      <c r="AA370">
        <v>6</v>
      </c>
      <c r="AB370" t="s">
        <v>44</v>
      </c>
      <c r="AC370" t="s">
        <v>39</v>
      </c>
      <c r="AD370" t="s">
        <v>22</v>
      </c>
      <c r="AE370" t="str">
        <f t="shared" si="15"/>
        <v>25-34</v>
      </c>
      <c r="AF370" t="str">
        <f t="shared" si="16"/>
        <v>Very Low Usage</v>
      </c>
      <c r="AG370" t="str">
        <f t="shared" si="17"/>
        <v>Moderate Loneliness</v>
      </c>
    </row>
    <row r="371" spans="1:33" x14ac:dyDescent="0.3">
      <c r="A371" t="s">
        <v>415</v>
      </c>
      <c r="B371">
        <v>17</v>
      </c>
      <c r="C371" t="s">
        <v>32</v>
      </c>
      <c r="D371" t="s">
        <v>41</v>
      </c>
      <c r="E371" t="s">
        <v>59</v>
      </c>
      <c r="F371" t="s">
        <v>4</v>
      </c>
      <c r="G371" t="s">
        <v>66</v>
      </c>
      <c r="H371" t="s">
        <v>18</v>
      </c>
      <c r="I371" t="s">
        <v>29</v>
      </c>
      <c r="J371" t="s">
        <v>8</v>
      </c>
      <c r="K371" t="s">
        <v>30</v>
      </c>
      <c r="L371">
        <v>0.59</v>
      </c>
      <c r="M371">
        <v>4.07</v>
      </c>
      <c r="N371">
        <v>1.76</v>
      </c>
      <c r="O371">
        <v>5.23</v>
      </c>
      <c r="P371">
        <v>5</v>
      </c>
      <c r="Q371">
        <v>4</v>
      </c>
      <c r="R371">
        <v>3</v>
      </c>
      <c r="S371">
        <v>6.4</v>
      </c>
      <c r="T371" t="s">
        <v>10</v>
      </c>
      <c r="U371">
        <v>6.7</v>
      </c>
      <c r="V371">
        <v>8.6</v>
      </c>
      <c r="W371">
        <v>2.4</v>
      </c>
      <c r="X371">
        <v>1.9</v>
      </c>
      <c r="Y371">
        <v>1.7</v>
      </c>
      <c r="Z371">
        <v>3.3</v>
      </c>
      <c r="AA371">
        <v>7.5</v>
      </c>
      <c r="AB371" t="s">
        <v>21</v>
      </c>
      <c r="AC371" t="s">
        <v>10</v>
      </c>
      <c r="AD371" t="s">
        <v>12</v>
      </c>
      <c r="AE371" t="str">
        <f t="shared" si="15"/>
        <v>15-19</v>
      </c>
      <c r="AF371" t="str">
        <f t="shared" si="16"/>
        <v>Very Low Usage</v>
      </c>
      <c r="AG371" t="str">
        <f t="shared" si="17"/>
        <v>Moderate Loneliness</v>
      </c>
    </row>
    <row r="372" spans="1:33" x14ac:dyDescent="0.3">
      <c r="A372" t="s">
        <v>416</v>
      </c>
      <c r="B372">
        <v>34</v>
      </c>
      <c r="C372" t="s">
        <v>1</v>
      </c>
      <c r="D372" t="s">
        <v>14</v>
      </c>
      <c r="E372" t="s">
        <v>3</v>
      </c>
      <c r="F372" t="s">
        <v>4</v>
      </c>
      <c r="G372" t="s">
        <v>17</v>
      </c>
      <c r="H372" t="s">
        <v>33</v>
      </c>
      <c r="I372" t="s">
        <v>7</v>
      </c>
      <c r="J372" t="s">
        <v>51</v>
      </c>
      <c r="K372" t="s">
        <v>30</v>
      </c>
      <c r="L372">
        <v>2.29</v>
      </c>
      <c r="M372">
        <v>2.77</v>
      </c>
      <c r="N372">
        <v>3.26</v>
      </c>
      <c r="O372">
        <v>7.5</v>
      </c>
      <c r="P372">
        <v>5</v>
      </c>
      <c r="Q372">
        <v>3.9</v>
      </c>
      <c r="R372">
        <v>3.4</v>
      </c>
      <c r="S372">
        <v>7.2</v>
      </c>
      <c r="T372" t="s">
        <v>10</v>
      </c>
      <c r="U372">
        <v>8.4</v>
      </c>
      <c r="V372">
        <v>5.8</v>
      </c>
      <c r="W372">
        <v>4.7</v>
      </c>
      <c r="X372">
        <v>4.7</v>
      </c>
      <c r="Y372">
        <v>5.4</v>
      </c>
      <c r="Z372">
        <v>6.4</v>
      </c>
      <c r="AA372">
        <v>4.5999999999999996</v>
      </c>
      <c r="AB372" t="s">
        <v>21</v>
      </c>
      <c r="AC372" t="s">
        <v>10</v>
      </c>
      <c r="AD372" t="s">
        <v>22</v>
      </c>
      <c r="AE372" t="str">
        <f t="shared" si="15"/>
        <v>25-34</v>
      </c>
      <c r="AF372" t="str">
        <f t="shared" si="16"/>
        <v>Low Usage</v>
      </c>
      <c r="AG372" t="str">
        <f t="shared" si="17"/>
        <v>Moderate Loneliness</v>
      </c>
    </row>
    <row r="373" spans="1:33" x14ac:dyDescent="0.3">
      <c r="A373" t="s">
        <v>417</v>
      </c>
      <c r="B373">
        <v>38</v>
      </c>
      <c r="C373" t="s">
        <v>1</v>
      </c>
      <c r="D373" t="s">
        <v>14</v>
      </c>
      <c r="E373" t="s">
        <v>37</v>
      </c>
      <c r="F373" t="s">
        <v>4</v>
      </c>
      <c r="G373" t="s">
        <v>5</v>
      </c>
      <c r="H373" t="s">
        <v>28</v>
      </c>
      <c r="I373" t="s">
        <v>7</v>
      </c>
      <c r="J373" t="s">
        <v>20</v>
      </c>
      <c r="K373" t="s">
        <v>30</v>
      </c>
      <c r="L373">
        <v>0</v>
      </c>
      <c r="M373">
        <v>6.15</v>
      </c>
      <c r="N373">
        <v>1.34</v>
      </c>
      <c r="O373">
        <v>1.95</v>
      </c>
      <c r="P373">
        <v>5</v>
      </c>
      <c r="Q373">
        <v>1</v>
      </c>
      <c r="R373">
        <v>1</v>
      </c>
      <c r="S373">
        <v>9</v>
      </c>
      <c r="T373" t="s">
        <v>10</v>
      </c>
      <c r="U373">
        <v>8.8000000000000007</v>
      </c>
      <c r="V373">
        <v>9.1999999999999993</v>
      </c>
      <c r="W373">
        <v>6.6</v>
      </c>
      <c r="X373">
        <v>1</v>
      </c>
      <c r="Y373">
        <v>1.7</v>
      </c>
      <c r="Z373">
        <v>2.2000000000000002</v>
      </c>
      <c r="AA373">
        <v>8.9</v>
      </c>
      <c r="AB373" t="s">
        <v>11</v>
      </c>
      <c r="AC373" t="s">
        <v>10</v>
      </c>
      <c r="AD373" t="s">
        <v>12</v>
      </c>
      <c r="AE373" t="str">
        <f t="shared" si="15"/>
        <v>35-44</v>
      </c>
      <c r="AF373" t="str">
        <f t="shared" si="16"/>
        <v>Very Low Usage</v>
      </c>
      <c r="AG373" t="str">
        <f t="shared" si="17"/>
        <v>Low Loneliness</v>
      </c>
    </row>
    <row r="374" spans="1:33" x14ac:dyDescent="0.3">
      <c r="A374" t="s">
        <v>418</v>
      </c>
      <c r="B374">
        <v>36</v>
      </c>
      <c r="C374" t="s">
        <v>1</v>
      </c>
      <c r="D374" t="s">
        <v>14</v>
      </c>
      <c r="E374" t="s">
        <v>37</v>
      </c>
      <c r="F374" t="s">
        <v>4</v>
      </c>
      <c r="G374" t="s">
        <v>5</v>
      </c>
      <c r="H374" t="s">
        <v>28</v>
      </c>
      <c r="I374" t="s">
        <v>19</v>
      </c>
      <c r="J374" t="s">
        <v>20</v>
      </c>
      <c r="K374" t="s">
        <v>9</v>
      </c>
      <c r="L374">
        <v>0</v>
      </c>
      <c r="M374">
        <v>5.8</v>
      </c>
      <c r="N374">
        <v>3.21</v>
      </c>
      <c r="O374">
        <v>6.51</v>
      </c>
      <c r="P374">
        <v>5</v>
      </c>
      <c r="Q374">
        <v>3.7</v>
      </c>
      <c r="R374">
        <v>2.7</v>
      </c>
      <c r="S374">
        <v>5.7</v>
      </c>
      <c r="T374" t="s">
        <v>10</v>
      </c>
      <c r="U374">
        <v>7.6</v>
      </c>
      <c r="V374">
        <v>8.4</v>
      </c>
      <c r="W374">
        <v>5.9</v>
      </c>
      <c r="X374">
        <v>4.5</v>
      </c>
      <c r="Y374">
        <v>2.7</v>
      </c>
      <c r="Z374">
        <v>4.5</v>
      </c>
      <c r="AA374">
        <v>7.7</v>
      </c>
      <c r="AB374" t="s">
        <v>11</v>
      </c>
      <c r="AC374" t="s">
        <v>10</v>
      </c>
      <c r="AD374" t="s">
        <v>12</v>
      </c>
      <c r="AE374" t="str">
        <f t="shared" si="15"/>
        <v>35-44</v>
      </c>
      <c r="AF374" t="str">
        <f t="shared" si="16"/>
        <v>Very Low Usage</v>
      </c>
      <c r="AG374" t="str">
        <f t="shared" si="17"/>
        <v>Moderate Loneliness</v>
      </c>
    </row>
    <row r="375" spans="1:33" x14ac:dyDescent="0.3">
      <c r="A375" t="s">
        <v>419</v>
      </c>
      <c r="B375">
        <v>38</v>
      </c>
      <c r="C375" t="s">
        <v>32</v>
      </c>
      <c r="D375" t="s">
        <v>14</v>
      </c>
      <c r="E375" t="s">
        <v>3</v>
      </c>
      <c r="F375" t="s">
        <v>12</v>
      </c>
      <c r="G375" t="s">
        <v>43</v>
      </c>
      <c r="H375" t="s">
        <v>18</v>
      </c>
      <c r="I375" t="s">
        <v>19</v>
      </c>
      <c r="J375" t="s">
        <v>51</v>
      </c>
      <c r="K375" t="s">
        <v>25</v>
      </c>
      <c r="L375">
        <v>1.19</v>
      </c>
      <c r="M375">
        <v>5.31</v>
      </c>
      <c r="N375">
        <v>2.75</v>
      </c>
      <c r="O375">
        <v>5.51</v>
      </c>
      <c r="P375">
        <v>4</v>
      </c>
      <c r="Q375">
        <v>3.1</v>
      </c>
      <c r="R375">
        <v>1.3</v>
      </c>
      <c r="S375">
        <v>7.5</v>
      </c>
      <c r="T375" t="s">
        <v>10</v>
      </c>
      <c r="U375">
        <v>7.9</v>
      </c>
      <c r="V375">
        <v>8.3000000000000007</v>
      </c>
      <c r="W375">
        <v>5.3</v>
      </c>
      <c r="X375">
        <v>3.6</v>
      </c>
      <c r="Y375">
        <v>4.5999999999999996</v>
      </c>
      <c r="Z375">
        <v>4.5999999999999996</v>
      </c>
      <c r="AA375">
        <v>7.5</v>
      </c>
      <c r="AB375" t="s">
        <v>11</v>
      </c>
      <c r="AC375" t="s">
        <v>10</v>
      </c>
      <c r="AD375" t="s">
        <v>12</v>
      </c>
      <c r="AE375" t="str">
        <f t="shared" si="15"/>
        <v>35-44</v>
      </c>
      <c r="AF375" t="str">
        <f t="shared" si="16"/>
        <v>Low Usage</v>
      </c>
      <c r="AG375" t="str">
        <f t="shared" si="17"/>
        <v>Moderate Loneliness</v>
      </c>
    </row>
    <row r="376" spans="1:33" x14ac:dyDescent="0.3">
      <c r="A376" t="s">
        <v>420</v>
      </c>
      <c r="B376">
        <v>15</v>
      </c>
      <c r="C376" t="s">
        <v>1</v>
      </c>
      <c r="D376" t="s">
        <v>58</v>
      </c>
      <c r="E376" t="s">
        <v>3</v>
      </c>
      <c r="F376" t="s">
        <v>4</v>
      </c>
      <c r="G376" t="s">
        <v>5</v>
      </c>
      <c r="H376" t="s">
        <v>6</v>
      </c>
      <c r="I376" t="s">
        <v>254</v>
      </c>
      <c r="J376" t="s">
        <v>20</v>
      </c>
      <c r="K376" t="s">
        <v>25</v>
      </c>
      <c r="L376">
        <v>3.03</v>
      </c>
      <c r="M376">
        <v>1.68</v>
      </c>
      <c r="N376">
        <v>3.53</v>
      </c>
      <c r="O376">
        <v>8.0500000000000007</v>
      </c>
      <c r="P376">
        <v>0</v>
      </c>
      <c r="Q376">
        <v>8</v>
      </c>
      <c r="R376">
        <v>7.7</v>
      </c>
      <c r="S376">
        <v>3.5</v>
      </c>
      <c r="T376" t="s">
        <v>39</v>
      </c>
      <c r="U376">
        <v>5.9</v>
      </c>
      <c r="V376">
        <v>4.2</v>
      </c>
      <c r="W376">
        <v>4.9000000000000004</v>
      </c>
      <c r="X376">
        <v>5.7</v>
      </c>
      <c r="Y376">
        <v>6.5</v>
      </c>
      <c r="Z376">
        <v>7.3</v>
      </c>
      <c r="AA376">
        <v>3.5</v>
      </c>
      <c r="AB376" t="s">
        <v>44</v>
      </c>
      <c r="AC376" t="s">
        <v>39</v>
      </c>
      <c r="AD376" t="s">
        <v>45</v>
      </c>
      <c r="AE376" t="str">
        <f t="shared" si="15"/>
        <v>15-19</v>
      </c>
      <c r="AF376" t="str">
        <f t="shared" si="16"/>
        <v>Moderate Usage</v>
      </c>
      <c r="AG376" t="str">
        <f t="shared" si="17"/>
        <v>High Loneliness</v>
      </c>
    </row>
    <row r="377" spans="1:33" x14ac:dyDescent="0.3">
      <c r="A377" t="s">
        <v>421</v>
      </c>
      <c r="B377">
        <v>38</v>
      </c>
      <c r="C377" t="s">
        <v>32</v>
      </c>
      <c r="D377" t="s">
        <v>41</v>
      </c>
      <c r="E377" t="s">
        <v>15</v>
      </c>
      <c r="F377" t="s">
        <v>12</v>
      </c>
      <c r="G377" t="s">
        <v>5</v>
      </c>
      <c r="H377" t="s">
        <v>33</v>
      </c>
      <c r="I377" t="s">
        <v>29</v>
      </c>
      <c r="J377" t="s">
        <v>20</v>
      </c>
      <c r="K377" t="s">
        <v>25</v>
      </c>
      <c r="L377">
        <v>0.45</v>
      </c>
      <c r="M377">
        <v>2.64</v>
      </c>
      <c r="N377">
        <v>3.65</v>
      </c>
      <c r="O377">
        <v>6.48</v>
      </c>
      <c r="P377">
        <v>6</v>
      </c>
      <c r="Q377">
        <v>6.5</v>
      </c>
      <c r="R377">
        <v>6.5</v>
      </c>
      <c r="S377">
        <v>4.5999999999999996</v>
      </c>
      <c r="T377" t="s">
        <v>39</v>
      </c>
      <c r="U377">
        <v>7.9</v>
      </c>
      <c r="V377">
        <v>4.9000000000000004</v>
      </c>
      <c r="W377">
        <v>3.3</v>
      </c>
      <c r="X377">
        <v>6.2</v>
      </c>
      <c r="Y377">
        <v>4.9000000000000004</v>
      </c>
      <c r="Z377">
        <v>10</v>
      </c>
      <c r="AA377">
        <v>5.3</v>
      </c>
      <c r="AB377" t="s">
        <v>44</v>
      </c>
      <c r="AC377" t="s">
        <v>39</v>
      </c>
      <c r="AD377" t="s">
        <v>22</v>
      </c>
      <c r="AE377" t="str">
        <f t="shared" si="15"/>
        <v>35-44</v>
      </c>
      <c r="AF377" t="str">
        <f t="shared" si="16"/>
        <v>Very Low Usage</v>
      </c>
      <c r="AG377" t="str">
        <f t="shared" si="17"/>
        <v>High Loneliness</v>
      </c>
    </row>
    <row r="378" spans="1:33" x14ac:dyDescent="0.3">
      <c r="A378" t="s">
        <v>422</v>
      </c>
      <c r="B378">
        <v>34</v>
      </c>
      <c r="C378" t="s">
        <v>1</v>
      </c>
      <c r="D378" t="s">
        <v>14</v>
      </c>
      <c r="E378" t="s">
        <v>59</v>
      </c>
      <c r="F378" t="s">
        <v>45</v>
      </c>
      <c r="G378" t="s">
        <v>17</v>
      </c>
      <c r="H378" t="s">
        <v>18</v>
      </c>
      <c r="I378" t="s">
        <v>29</v>
      </c>
      <c r="J378" t="s">
        <v>8</v>
      </c>
      <c r="K378" t="s">
        <v>53</v>
      </c>
      <c r="L378">
        <v>0</v>
      </c>
      <c r="M378">
        <v>4.78</v>
      </c>
      <c r="N378">
        <v>1.26</v>
      </c>
      <c r="O378">
        <v>4.4000000000000004</v>
      </c>
      <c r="P378">
        <v>6</v>
      </c>
      <c r="Q378">
        <v>3</v>
      </c>
      <c r="R378">
        <v>1</v>
      </c>
      <c r="S378">
        <v>7.6</v>
      </c>
      <c r="T378" t="s">
        <v>10</v>
      </c>
      <c r="U378">
        <v>7.4</v>
      </c>
      <c r="V378">
        <v>10</v>
      </c>
      <c r="W378">
        <v>5.7</v>
      </c>
      <c r="X378">
        <v>3.4</v>
      </c>
      <c r="Y378">
        <v>1.7</v>
      </c>
      <c r="Z378">
        <v>3.3</v>
      </c>
      <c r="AA378">
        <v>8</v>
      </c>
      <c r="AB378" t="s">
        <v>11</v>
      </c>
      <c r="AC378" t="s">
        <v>10</v>
      </c>
      <c r="AD378" t="s">
        <v>12</v>
      </c>
      <c r="AE378" t="str">
        <f t="shared" si="15"/>
        <v>25-34</v>
      </c>
      <c r="AF378" t="str">
        <f t="shared" si="16"/>
        <v>Very Low Usage</v>
      </c>
      <c r="AG378" t="str">
        <f t="shared" si="17"/>
        <v>Low Loneliness</v>
      </c>
    </row>
    <row r="379" spans="1:33" x14ac:dyDescent="0.3">
      <c r="A379" t="s">
        <v>423</v>
      </c>
      <c r="B379">
        <v>25</v>
      </c>
      <c r="C379" t="s">
        <v>32</v>
      </c>
      <c r="D379" t="s">
        <v>2</v>
      </c>
      <c r="E379" t="s">
        <v>3</v>
      </c>
      <c r="F379" t="s">
        <v>45</v>
      </c>
      <c r="G379" t="s">
        <v>17</v>
      </c>
      <c r="H379" t="s">
        <v>18</v>
      </c>
      <c r="I379" t="s">
        <v>29</v>
      </c>
      <c r="J379" t="s">
        <v>8</v>
      </c>
      <c r="K379" t="s">
        <v>53</v>
      </c>
      <c r="L379">
        <v>2.68</v>
      </c>
      <c r="M379">
        <v>2.0699999999999998</v>
      </c>
      <c r="N379">
        <v>3.84</v>
      </c>
      <c r="O379">
        <v>8.64</v>
      </c>
      <c r="P379">
        <v>1</v>
      </c>
      <c r="Q379">
        <v>8.1</v>
      </c>
      <c r="R379">
        <v>5.5</v>
      </c>
      <c r="S379">
        <v>6.7</v>
      </c>
      <c r="T379" t="s">
        <v>10</v>
      </c>
      <c r="U379">
        <v>7.4</v>
      </c>
      <c r="V379">
        <v>4.5</v>
      </c>
      <c r="W379">
        <v>4.5</v>
      </c>
      <c r="X379">
        <v>7.5</v>
      </c>
      <c r="Y379">
        <v>6.2</v>
      </c>
      <c r="Z379">
        <v>6.1</v>
      </c>
      <c r="AA379">
        <v>3.2</v>
      </c>
      <c r="AB379" t="s">
        <v>44</v>
      </c>
      <c r="AC379" t="s">
        <v>10</v>
      </c>
      <c r="AD379" t="s">
        <v>45</v>
      </c>
      <c r="AE379" t="str">
        <f t="shared" si="15"/>
        <v>25-34</v>
      </c>
      <c r="AF379" t="str">
        <f t="shared" si="16"/>
        <v>Moderate Usage</v>
      </c>
      <c r="AG379" t="str">
        <f t="shared" si="17"/>
        <v>High Loneliness</v>
      </c>
    </row>
    <row r="380" spans="1:33" x14ac:dyDescent="0.3">
      <c r="A380" t="s">
        <v>424</v>
      </c>
      <c r="B380">
        <v>31</v>
      </c>
      <c r="C380" t="s">
        <v>1</v>
      </c>
      <c r="D380" t="s">
        <v>47</v>
      </c>
      <c r="E380" t="s">
        <v>15</v>
      </c>
      <c r="F380" t="s">
        <v>4</v>
      </c>
      <c r="G380" t="s">
        <v>43</v>
      </c>
      <c r="H380" t="s">
        <v>28</v>
      </c>
      <c r="I380" t="s">
        <v>29</v>
      </c>
      <c r="J380" t="s">
        <v>8</v>
      </c>
      <c r="K380" t="s">
        <v>1079</v>
      </c>
      <c r="L380">
        <v>1.23</v>
      </c>
      <c r="M380">
        <v>3.15</v>
      </c>
      <c r="N380">
        <v>4.21</v>
      </c>
      <c r="O380">
        <v>7.49</v>
      </c>
      <c r="P380">
        <v>2</v>
      </c>
      <c r="Q380">
        <v>5.2</v>
      </c>
      <c r="R380">
        <v>8.3000000000000007</v>
      </c>
      <c r="S380">
        <v>3.6</v>
      </c>
      <c r="T380" t="s">
        <v>39</v>
      </c>
      <c r="U380">
        <v>7.8</v>
      </c>
      <c r="V380">
        <v>5.8</v>
      </c>
      <c r="W380">
        <v>4.2</v>
      </c>
      <c r="X380">
        <v>5</v>
      </c>
      <c r="Y380">
        <v>5.6</v>
      </c>
      <c r="Z380">
        <v>7.4</v>
      </c>
      <c r="AA380">
        <v>5</v>
      </c>
      <c r="AB380" t="s">
        <v>44</v>
      </c>
      <c r="AC380" t="s">
        <v>10</v>
      </c>
      <c r="AD380" t="s">
        <v>45</v>
      </c>
      <c r="AE380" t="str">
        <f t="shared" si="15"/>
        <v>25-34</v>
      </c>
      <c r="AF380" t="str">
        <f t="shared" si="16"/>
        <v>Low Usage</v>
      </c>
      <c r="AG380" t="str">
        <f t="shared" si="17"/>
        <v>Moderate Loneliness</v>
      </c>
    </row>
    <row r="381" spans="1:33" x14ac:dyDescent="0.3">
      <c r="A381" t="s">
        <v>425</v>
      </c>
      <c r="B381">
        <v>22</v>
      </c>
      <c r="C381" t="s">
        <v>1</v>
      </c>
      <c r="D381" t="s">
        <v>58</v>
      </c>
      <c r="E381" t="s">
        <v>15</v>
      </c>
      <c r="F381" t="s">
        <v>16</v>
      </c>
      <c r="G381" t="s">
        <v>17</v>
      </c>
      <c r="H381" t="s">
        <v>6</v>
      </c>
      <c r="I381" t="s">
        <v>19</v>
      </c>
      <c r="J381" t="s">
        <v>48</v>
      </c>
      <c r="K381" t="s">
        <v>1079</v>
      </c>
      <c r="L381">
        <v>1.89</v>
      </c>
      <c r="M381">
        <v>4.91</v>
      </c>
      <c r="N381">
        <v>4.04</v>
      </c>
      <c r="O381">
        <v>7.24</v>
      </c>
      <c r="P381">
        <v>6</v>
      </c>
      <c r="Q381">
        <v>4.3</v>
      </c>
      <c r="R381">
        <v>3.4</v>
      </c>
      <c r="S381">
        <v>4.3</v>
      </c>
      <c r="T381" t="s">
        <v>10</v>
      </c>
      <c r="U381">
        <v>6.3</v>
      </c>
      <c r="V381">
        <v>5.3</v>
      </c>
      <c r="W381">
        <v>4.5999999999999996</v>
      </c>
      <c r="X381">
        <v>4.7</v>
      </c>
      <c r="Y381">
        <v>5</v>
      </c>
      <c r="Z381">
        <v>4.2</v>
      </c>
      <c r="AA381">
        <v>6</v>
      </c>
      <c r="AB381" t="s">
        <v>21</v>
      </c>
      <c r="AC381" t="s">
        <v>10</v>
      </c>
      <c r="AD381" t="s">
        <v>12</v>
      </c>
      <c r="AE381" t="str">
        <f t="shared" si="15"/>
        <v>20-24</v>
      </c>
      <c r="AF381" t="str">
        <f t="shared" si="16"/>
        <v>Low Usage</v>
      </c>
      <c r="AG381" t="str">
        <f t="shared" si="17"/>
        <v>Moderate Loneliness</v>
      </c>
    </row>
    <row r="382" spans="1:33" x14ac:dyDescent="0.3">
      <c r="A382" t="s">
        <v>426</v>
      </c>
      <c r="B382">
        <v>18</v>
      </c>
      <c r="C382" t="s">
        <v>27</v>
      </c>
      <c r="D382" t="s">
        <v>2</v>
      </c>
      <c r="E382" t="s">
        <v>15</v>
      </c>
      <c r="F382" t="s">
        <v>4</v>
      </c>
      <c r="G382" t="s">
        <v>17</v>
      </c>
      <c r="H382" t="s">
        <v>33</v>
      </c>
      <c r="I382" t="s">
        <v>35</v>
      </c>
      <c r="J382" t="s">
        <v>8</v>
      </c>
      <c r="K382" t="s">
        <v>25</v>
      </c>
      <c r="L382">
        <v>2.62</v>
      </c>
      <c r="M382">
        <v>3.17</v>
      </c>
      <c r="N382">
        <v>2.84</v>
      </c>
      <c r="O382">
        <v>8.59</v>
      </c>
      <c r="P382">
        <v>2</v>
      </c>
      <c r="Q382">
        <v>8</v>
      </c>
      <c r="R382">
        <v>6.9</v>
      </c>
      <c r="S382">
        <v>4.9000000000000004</v>
      </c>
      <c r="T382" t="s">
        <v>39</v>
      </c>
      <c r="U382">
        <v>6.8</v>
      </c>
      <c r="V382">
        <v>4.2</v>
      </c>
      <c r="W382">
        <v>0.8</v>
      </c>
      <c r="X382">
        <v>4.7</v>
      </c>
      <c r="Y382">
        <v>6</v>
      </c>
      <c r="Z382">
        <v>5.5</v>
      </c>
      <c r="AA382">
        <v>4.4000000000000004</v>
      </c>
      <c r="AB382" t="s">
        <v>21</v>
      </c>
      <c r="AC382" t="s">
        <v>10</v>
      </c>
      <c r="AD382" t="s">
        <v>45</v>
      </c>
      <c r="AE382" t="str">
        <f t="shared" si="15"/>
        <v>15-19</v>
      </c>
      <c r="AF382" t="str">
        <f t="shared" si="16"/>
        <v>Moderate Usage</v>
      </c>
      <c r="AG382" t="str">
        <f t="shared" si="17"/>
        <v>High Loneliness</v>
      </c>
    </row>
    <row r="383" spans="1:33" x14ac:dyDescent="0.3">
      <c r="A383" t="s">
        <v>427</v>
      </c>
      <c r="B383">
        <v>20</v>
      </c>
      <c r="C383" t="s">
        <v>32</v>
      </c>
      <c r="D383" t="s">
        <v>14</v>
      </c>
      <c r="E383" t="s">
        <v>37</v>
      </c>
      <c r="F383" t="s">
        <v>16</v>
      </c>
      <c r="G383" t="s">
        <v>43</v>
      </c>
      <c r="H383" t="s">
        <v>28</v>
      </c>
      <c r="I383" t="s">
        <v>24</v>
      </c>
      <c r="J383" t="s">
        <v>8</v>
      </c>
      <c r="K383" t="s">
        <v>1079</v>
      </c>
      <c r="L383">
        <v>0</v>
      </c>
      <c r="M383">
        <v>8.4700000000000006</v>
      </c>
      <c r="N383">
        <v>0</v>
      </c>
      <c r="O383">
        <v>2.12</v>
      </c>
      <c r="P383">
        <v>6</v>
      </c>
      <c r="Q383">
        <v>1</v>
      </c>
      <c r="R383">
        <v>1</v>
      </c>
      <c r="S383">
        <v>10</v>
      </c>
      <c r="T383" t="s">
        <v>39</v>
      </c>
      <c r="U383">
        <v>9.1</v>
      </c>
      <c r="V383">
        <v>10</v>
      </c>
      <c r="W383">
        <v>4.3</v>
      </c>
      <c r="X383">
        <v>1.8</v>
      </c>
      <c r="Y383">
        <v>1</v>
      </c>
      <c r="Z383">
        <v>1.7</v>
      </c>
      <c r="AA383">
        <v>8.6</v>
      </c>
      <c r="AB383" t="s">
        <v>11</v>
      </c>
      <c r="AC383" t="s">
        <v>10</v>
      </c>
      <c r="AD383" t="s">
        <v>12</v>
      </c>
      <c r="AE383" t="str">
        <f t="shared" si="15"/>
        <v>20-24</v>
      </c>
      <c r="AF383" t="str">
        <f t="shared" si="16"/>
        <v>Very Low Usage</v>
      </c>
      <c r="AG383" t="str">
        <f t="shared" si="17"/>
        <v>Low Loneliness</v>
      </c>
    </row>
    <row r="384" spans="1:33" x14ac:dyDescent="0.3">
      <c r="A384" t="s">
        <v>428</v>
      </c>
      <c r="B384">
        <v>22</v>
      </c>
      <c r="C384" t="s">
        <v>1</v>
      </c>
      <c r="D384" t="s">
        <v>14</v>
      </c>
      <c r="E384" t="s">
        <v>37</v>
      </c>
      <c r="F384" t="s">
        <v>16</v>
      </c>
      <c r="G384" t="s">
        <v>17</v>
      </c>
      <c r="H384" t="s">
        <v>18</v>
      </c>
      <c r="I384" t="s">
        <v>19</v>
      </c>
      <c r="J384" t="s">
        <v>20</v>
      </c>
      <c r="K384" t="s">
        <v>30</v>
      </c>
      <c r="L384">
        <v>0</v>
      </c>
      <c r="M384">
        <v>8.74</v>
      </c>
      <c r="N384">
        <v>0.25</v>
      </c>
      <c r="O384">
        <v>2.02</v>
      </c>
      <c r="P384">
        <v>8</v>
      </c>
      <c r="Q384">
        <v>1</v>
      </c>
      <c r="R384">
        <v>1</v>
      </c>
      <c r="S384">
        <v>10</v>
      </c>
      <c r="T384" t="s">
        <v>10</v>
      </c>
      <c r="U384">
        <v>7.9</v>
      </c>
      <c r="V384">
        <v>10</v>
      </c>
      <c r="W384">
        <v>6.7</v>
      </c>
      <c r="X384">
        <v>1</v>
      </c>
      <c r="Y384">
        <v>1</v>
      </c>
      <c r="Z384">
        <v>1.5</v>
      </c>
      <c r="AA384">
        <v>10</v>
      </c>
      <c r="AB384" t="s">
        <v>11</v>
      </c>
      <c r="AC384" t="s">
        <v>10</v>
      </c>
      <c r="AD384" t="s">
        <v>12</v>
      </c>
      <c r="AE384" t="str">
        <f t="shared" si="15"/>
        <v>20-24</v>
      </c>
      <c r="AF384" t="str">
        <f t="shared" si="16"/>
        <v>Very Low Usage</v>
      </c>
      <c r="AG384" t="str">
        <f t="shared" si="17"/>
        <v>Low Loneliness</v>
      </c>
    </row>
    <row r="385" spans="1:33" x14ac:dyDescent="0.3">
      <c r="A385" t="s">
        <v>429</v>
      </c>
      <c r="B385">
        <v>34</v>
      </c>
      <c r="C385" t="s">
        <v>32</v>
      </c>
      <c r="D385" t="s">
        <v>2</v>
      </c>
      <c r="E385" t="s">
        <v>37</v>
      </c>
      <c r="F385" t="s">
        <v>45</v>
      </c>
      <c r="G385" t="s">
        <v>66</v>
      </c>
      <c r="H385" t="s">
        <v>28</v>
      </c>
      <c r="I385" t="s">
        <v>35</v>
      </c>
      <c r="J385" t="s">
        <v>48</v>
      </c>
      <c r="K385" t="s">
        <v>1079</v>
      </c>
      <c r="L385">
        <v>0</v>
      </c>
      <c r="M385">
        <v>5.6</v>
      </c>
      <c r="N385">
        <v>2.5</v>
      </c>
      <c r="O385">
        <v>4.1500000000000004</v>
      </c>
      <c r="P385">
        <v>6</v>
      </c>
      <c r="Q385">
        <v>1.7</v>
      </c>
      <c r="R385">
        <v>1.4</v>
      </c>
      <c r="S385">
        <v>9.1</v>
      </c>
      <c r="T385" t="s">
        <v>10</v>
      </c>
      <c r="U385">
        <v>6.6</v>
      </c>
      <c r="V385">
        <v>8.9</v>
      </c>
      <c r="W385">
        <v>5.4</v>
      </c>
      <c r="X385">
        <v>1.7</v>
      </c>
      <c r="Y385">
        <v>1</v>
      </c>
      <c r="Z385">
        <v>4.4000000000000004</v>
      </c>
      <c r="AA385">
        <v>6.6</v>
      </c>
      <c r="AB385" t="s">
        <v>11</v>
      </c>
      <c r="AC385" t="s">
        <v>10</v>
      </c>
      <c r="AD385" t="s">
        <v>12</v>
      </c>
      <c r="AE385" t="str">
        <f t="shared" si="15"/>
        <v>25-34</v>
      </c>
      <c r="AF385" t="str">
        <f t="shared" si="16"/>
        <v>Very Low Usage</v>
      </c>
      <c r="AG385" t="str">
        <f t="shared" si="17"/>
        <v>Low Loneliness</v>
      </c>
    </row>
    <row r="386" spans="1:33" x14ac:dyDescent="0.3">
      <c r="A386" t="s">
        <v>430</v>
      </c>
      <c r="B386">
        <v>44</v>
      </c>
      <c r="C386" t="s">
        <v>32</v>
      </c>
      <c r="D386" t="s">
        <v>14</v>
      </c>
      <c r="E386" t="s">
        <v>15</v>
      </c>
      <c r="F386" t="s">
        <v>4</v>
      </c>
      <c r="G386" t="s">
        <v>5</v>
      </c>
      <c r="H386" t="s">
        <v>6</v>
      </c>
      <c r="I386" t="s">
        <v>29</v>
      </c>
      <c r="J386" t="s">
        <v>48</v>
      </c>
      <c r="K386" t="s">
        <v>53</v>
      </c>
      <c r="L386">
        <v>1.37</v>
      </c>
      <c r="M386">
        <v>4.54</v>
      </c>
      <c r="N386">
        <v>2.71</v>
      </c>
      <c r="O386">
        <v>7.11</v>
      </c>
      <c r="P386">
        <v>3</v>
      </c>
      <c r="Q386">
        <v>7.8</v>
      </c>
      <c r="R386">
        <v>6.3</v>
      </c>
      <c r="S386">
        <v>4.3</v>
      </c>
      <c r="T386" t="s">
        <v>39</v>
      </c>
      <c r="U386">
        <v>6.1</v>
      </c>
      <c r="V386">
        <v>5.6</v>
      </c>
      <c r="W386">
        <v>1</v>
      </c>
      <c r="X386">
        <v>4.0999999999999996</v>
      </c>
      <c r="Y386">
        <v>6.6</v>
      </c>
      <c r="Z386">
        <v>3.5</v>
      </c>
      <c r="AA386">
        <v>5.2</v>
      </c>
      <c r="AB386" t="s">
        <v>11</v>
      </c>
      <c r="AC386" t="s">
        <v>39</v>
      </c>
      <c r="AD386" t="s">
        <v>45</v>
      </c>
      <c r="AE386" t="str">
        <f t="shared" si="15"/>
        <v>35-44</v>
      </c>
      <c r="AF386" t="str">
        <f t="shared" si="16"/>
        <v>Low Usage</v>
      </c>
      <c r="AG386" t="str">
        <f t="shared" si="17"/>
        <v>High Loneliness</v>
      </c>
    </row>
    <row r="387" spans="1:33" x14ac:dyDescent="0.3">
      <c r="A387" t="s">
        <v>431</v>
      </c>
      <c r="B387">
        <v>17</v>
      </c>
      <c r="C387" t="s">
        <v>32</v>
      </c>
      <c r="D387" t="s">
        <v>2</v>
      </c>
      <c r="E387" t="s">
        <v>15</v>
      </c>
      <c r="F387" t="s">
        <v>16</v>
      </c>
      <c r="G387" t="s">
        <v>5</v>
      </c>
      <c r="H387" t="s">
        <v>28</v>
      </c>
      <c r="I387" t="s">
        <v>29</v>
      </c>
      <c r="J387" t="s">
        <v>8</v>
      </c>
      <c r="K387" t="s">
        <v>30</v>
      </c>
      <c r="L387">
        <v>2.59</v>
      </c>
      <c r="M387">
        <v>1.41</v>
      </c>
      <c r="N387">
        <v>5.28</v>
      </c>
      <c r="O387">
        <v>9.61</v>
      </c>
      <c r="P387">
        <v>2</v>
      </c>
      <c r="Q387">
        <v>7.2</v>
      </c>
      <c r="R387">
        <v>7.1</v>
      </c>
      <c r="S387">
        <v>3.8</v>
      </c>
      <c r="T387" t="s">
        <v>10</v>
      </c>
      <c r="U387">
        <v>5.9</v>
      </c>
      <c r="V387">
        <v>5.0999999999999996</v>
      </c>
      <c r="W387">
        <v>2.1</v>
      </c>
      <c r="X387">
        <v>8</v>
      </c>
      <c r="Y387">
        <v>7</v>
      </c>
      <c r="Z387">
        <v>7.5</v>
      </c>
      <c r="AA387">
        <v>4</v>
      </c>
      <c r="AB387" t="s">
        <v>44</v>
      </c>
      <c r="AC387" t="s">
        <v>39</v>
      </c>
      <c r="AD387" t="s">
        <v>45</v>
      </c>
      <c r="AE387" t="str">
        <f t="shared" ref="AE387:AE450" si="18">IF(B387&lt;20,"15-19",IF(B387&lt;25,"20-24",IF(B387&lt;35,"25-34","35-44")))</f>
        <v>15-19</v>
      </c>
      <c r="AF387" t="str">
        <f t="shared" ref="AF387:AF450" si="19">IF(L387&lt;=1,"Very Low Usage",IF(L387&lt;=2.5,"Low Usage",IF(L387&lt;=4,"Moderate Usage","High Usage")))</f>
        <v>Moderate Usage</v>
      </c>
      <c r="AG387" t="str">
        <f t="shared" ref="AG387:AG450" si="20">IF(Q387&lt;=3,"Low Loneliness",IF(Q387&lt;=6,"Moderate Loneliness","High Loneliness"))</f>
        <v>High Loneliness</v>
      </c>
    </row>
    <row r="388" spans="1:33" x14ac:dyDescent="0.3">
      <c r="A388" t="s">
        <v>432</v>
      </c>
      <c r="B388">
        <v>30</v>
      </c>
      <c r="C388" t="s">
        <v>32</v>
      </c>
      <c r="D388" t="s">
        <v>14</v>
      </c>
      <c r="E388" t="s">
        <v>3</v>
      </c>
      <c r="F388" t="s">
        <v>4</v>
      </c>
      <c r="G388" t="s">
        <v>43</v>
      </c>
      <c r="H388" t="s">
        <v>33</v>
      </c>
      <c r="I388" t="s">
        <v>19</v>
      </c>
      <c r="J388" t="s">
        <v>8</v>
      </c>
      <c r="K388" t="s">
        <v>25</v>
      </c>
      <c r="L388">
        <v>0</v>
      </c>
      <c r="M388">
        <v>4.88</v>
      </c>
      <c r="N388">
        <v>2.06</v>
      </c>
      <c r="O388">
        <v>5.09</v>
      </c>
      <c r="P388">
        <v>6</v>
      </c>
      <c r="Q388">
        <v>3.8</v>
      </c>
      <c r="R388">
        <v>1</v>
      </c>
      <c r="S388">
        <v>7</v>
      </c>
      <c r="T388" t="s">
        <v>10</v>
      </c>
      <c r="U388">
        <v>8.1999999999999993</v>
      </c>
      <c r="V388">
        <v>8.6999999999999993</v>
      </c>
      <c r="W388">
        <v>6.3</v>
      </c>
      <c r="X388">
        <v>2.9</v>
      </c>
      <c r="Y388">
        <v>1.2</v>
      </c>
      <c r="Z388">
        <v>3.5</v>
      </c>
      <c r="AA388">
        <v>8.1999999999999993</v>
      </c>
      <c r="AB388" t="s">
        <v>11</v>
      </c>
      <c r="AC388" t="s">
        <v>10</v>
      </c>
      <c r="AD388" t="s">
        <v>12</v>
      </c>
      <c r="AE388" t="str">
        <f t="shared" si="18"/>
        <v>25-34</v>
      </c>
      <c r="AF388" t="str">
        <f t="shared" si="19"/>
        <v>Very Low Usage</v>
      </c>
      <c r="AG388" t="str">
        <f t="shared" si="20"/>
        <v>Moderate Loneliness</v>
      </c>
    </row>
    <row r="389" spans="1:33" x14ac:dyDescent="0.3">
      <c r="A389" t="s">
        <v>433</v>
      </c>
      <c r="B389">
        <v>44</v>
      </c>
      <c r="C389" t="s">
        <v>1</v>
      </c>
      <c r="D389" t="s">
        <v>47</v>
      </c>
      <c r="E389" t="s">
        <v>37</v>
      </c>
      <c r="F389" t="s">
        <v>45</v>
      </c>
      <c r="G389" t="s">
        <v>17</v>
      </c>
      <c r="H389" t="s">
        <v>28</v>
      </c>
      <c r="I389" t="s">
        <v>24</v>
      </c>
      <c r="J389" t="s">
        <v>38</v>
      </c>
      <c r="K389" t="s">
        <v>53</v>
      </c>
      <c r="L389">
        <v>1.1200000000000001</v>
      </c>
      <c r="M389">
        <v>6.21</v>
      </c>
      <c r="N389">
        <v>1.45</v>
      </c>
      <c r="O389">
        <v>4.09</v>
      </c>
      <c r="P389">
        <v>6</v>
      </c>
      <c r="Q389">
        <v>3.1</v>
      </c>
      <c r="R389">
        <v>2.8</v>
      </c>
      <c r="S389">
        <v>8.1</v>
      </c>
      <c r="T389" t="s">
        <v>10</v>
      </c>
      <c r="U389">
        <v>7.3</v>
      </c>
      <c r="V389">
        <v>8.3000000000000007</v>
      </c>
      <c r="W389">
        <v>4.9000000000000004</v>
      </c>
      <c r="X389">
        <v>1</v>
      </c>
      <c r="Y389">
        <v>2.7</v>
      </c>
      <c r="Z389">
        <v>4.4000000000000004</v>
      </c>
      <c r="AA389">
        <v>7.5</v>
      </c>
      <c r="AB389" t="s">
        <v>21</v>
      </c>
      <c r="AC389" t="s">
        <v>10</v>
      </c>
      <c r="AD389" t="s">
        <v>12</v>
      </c>
      <c r="AE389" t="str">
        <f t="shared" si="18"/>
        <v>35-44</v>
      </c>
      <c r="AF389" t="str">
        <f t="shared" si="19"/>
        <v>Low Usage</v>
      </c>
      <c r="AG389" t="str">
        <f t="shared" si="20"/>
        <v>Moderate Loneliness</v>
      </c>
    </row>
    <row r="390" spans="1:33" x14ac:dyDescent="0.3">
      <c r="A390" t="s">
        <v>434</v>
      </c>
      <c r="B390">
        <v>39</v>
      </c>
      <c r="C390" t="s">
        <v>1</v>
      </c>
      <c r="D390" t="s">
        <v>14</v>
      </c>
      <c r="E390" t="s">
        <v>59</v>
      </c>
      <c r="F390" t="s">
        <v>12</v>
      </c>
      <c r="G390" t="s">
        <v>17</v>
      </c>
      <c r="H390" t="s">
        <v>33</v>
      </c>
      <c r="I390" t="s">
        <v>29</v>
      </c>
      <c r="J390" t="s">
        <v>8</v>
      </c>
      <c r="K390" t="s">
        <v>30</v>
      </c>
      <c r="L390">
        <v>1.4</v>
      </c>
      <c r="M390">
        <v>3.32</v>
      </c>
      <c r="N390">
        <v>3.15</v>
      </c>
      <c r="O390">
        <v>7.27</v>
      </c>
      <c r="P390">
        <v>0</v>
      </c>
      <c r="Q390">
        <v>3.8</v>
      </c>
      <c r="R390">
        <v>5.2</v>
      </c>
      <c r="S390">
        <v>6.8</v>
      </c>
      <c r="T390" t="s">
        <v>39</v>
      </c>
      <c r="U390">
        <v>8.6999999999999993</v>
      </c>
      <c r="V390">
        <v>6.2</v>
      </c>
      <c r="W390">
        <v>4.3</v>
      </c>
      <c r="X390">
        <v>6.4</v>
      </c>
      <c r="Y390">
        <v>3.3</v>
      </c>
      <c r="Z390">
        <v>5.8</v>
      </c>
      <c r="AA390">
        <v>5</v>
      </c>
      <c r="AB390" t="s">
        <v>11</v>
      </c>
      <c r="AC390" t="s">
        <v>39</v>
      </c>
      <c r="AD390" t="s">
        <v>12</v>
      </c>
      <c r="AE390" t="str">
        <f t="shared" si="18"/>
        <v>35-44</v>
      </c>
      <c r="AF390" t="str">
        <f t="shared" si="19"/>
        <v>Low Usage</v>
      </c>
      <c r="AG390" t="str">
        <f t="shared" si="20"/>
        <v>Moderate Loneliness</v>
      </c>
    </row>
    <row r="391" spans="1:33" x14ac:dyDescent="0.3">
      <c r="A391" t="s">
        <v>435</v>
      </c>
      <c r="B391">
        <v>17</v>
      </c>
      <c r="C391" t="s">
        <v>1</v>
      </c>
      <c r="D391" t="s">
        <v>2</v>
      </c>
      <c r="E391" t="s">
        <v>15</v>
      </c>
      <c r="F391" t="s">
        <v>16</v>
      </c>
      <c r="G391" t="s">
        <v>5</v>
      </c>
      <c r="H391" t="s">
        <v>33</v>
      </c>
      <c r="I391" t="s">
        <v>19</v>
      </c>
      <c r="J391" t="s">
        <v>51</v>
      </c>
      <c r="K391" t="s">
        <v>30</v>
      </c>
      <c r="L391">
        <v>0.62</v>
      </c>
      <c r="M391">
        <v>6.03</v>
      </c>
      <c r="N391">
        <v>1.57</v>
      </c>
      <c r="O391">
        <v>4.4000000000000004</v>
      </c>
      <c r="P391">
        <v>5</v>
      </c>
      <c r="Q391">
        <v>7.3</v>
      </c>
      <c r="R391">
        <v>2.1</v>
      </c>
      <c r="S391">
        <v>7.1</v>
      </c>
      <c r="T391" t="s">
        <v>10</v>
      </c>
      <c r="U391">
        <v>8.3000000000000007</v>
      </c>
      <c r="V391">
        <v>6.5</v>
      </c>
      <c r="W391">
        <v>5.5</v>
      </c>
      <c r="X391">
        <v>4.0999999999999996</v>
      </c>
      <c r="Y391">
        <v>1</v>
      </c>
      <c r="Z391">
        <v>3.1</v>
      </c>
      <c r="AA391">
        <v>6.3</v>
      </c>
      <c r="AB391" t="s">
        <v>11</v>
      </c>
      <c r="AC391" t="s">
        <v>10</v>
      </c>
      <c r="AD391" t="s">
        <v>12</v>
      </c>
      <c r="AE391" t="str">
        <f t="shared" si="18"/>
        <v>15-19</v>
      </c>
      <c r="AF391" t="str">
        <f t="shared" si="19"/>
        <v>Very Low Usage</v>
      </c>
      <c r="AG391" t="str">
        <f t="shared" si="20"/>
        <v>High Loneliness</v>
      </c>
    </row>
    <row r="392" spans="1:33" x14ac:dyDescent="0.3">
      <c r="A392" t="s">
        <v>436</v>
      </c>
      <c r="B392">
        <v>39</v>
      </c>
      <c r="C392" t="s">
        <v>32</v>
      </c>
      <c r="D392" t="s">
        <v>2</v>
      </c>
      <c r="E392" t="s">
        <v>59</v>
      </c>
      <c r="F392" t="s">
        <v>16</v>
      </c>
      <c r="G392" t="s">
        <v>17</v>
      </c>
      <c r="H392" t="s">
        <v>33</v>
      </c>
      <c r="I392" t="s">
        <v>24</v>
      </c>
      <c r="J392" t="s">
        <v>51</v>
      </c>
      <c r="K392" t="s">
        <v>53</v>
      </c>
      <c r="L392">
        <v>0.55000000000000004</v>
      </c>
      <c r="M392">
        <v>5.72</v>
      </c>
      <c r="N392">
        <v>2.19</v>
      </c>
      <c r="O392">
        <v>3.78</v>
      </c>
      <c r="P392">
        <v>4</v>
      </c>
      <c r="Q392">
        <v>4</v>
      </c>
      <c r="R392">
        <v>2.6</v>
      </c>
      <c r="S392">
        <v>5.5</v>
      </c>
      <c r="T392" t="s">
        <v>39</v>
      </c>
      <c r="U392">
        <v>7.8</v>
      </c>
      <c r="V392">
        <v>8.8000000000000007</v>
      </c>
      <c r="W392">
        <v>2.2999999999999998</v>
      </c>
      <c r="X392">
        <v>5.0999999999999996</v>
      </c>
      <c r="Y392">
        <v>2.7</v>
      </c>
      <c r="Z392">
        <v>4.7</v>
      </c>
      <c r="AA392">
        <v>8.9</v>
      </c>
      <c r="AB392" t="s">
        <v>11</v>
      </c>
      <c r="AC392" t="s">
        <v>10</v>
      </c>
      <c r="AD392" t="s">
        <v>12</v>
      </c>
      <c r="AE392" t="str">
        <f t="shared" si="18"/>
        <v>35-44</v>
      </c>
      <c r="AF392" t="str">
        <f t="shared" si="19"/>
        <v>Very Low Usage</v>
      </c>
      <c r="AG392" t="str">
        <f t="shared" si="20"/>
        <v>Moderate Loneliness</v>
      </c>
    </row>
    <row r="393" spans="1:33" x14ac:dyDescent="0.3">
      <c r="A393" t="s">
        <v>437</v>
      </c>
      <c r="B393">
        <v>43</v>
      </c>
      <c r="C393" t="s">
        <v>32</v>
      </c>
      <c r="D393" t="s">
        <v>2</v>
      </c>
      <c r="E393" t="s">
        <v>15</v>
      </c>
      <c r="F393" t="s">
        <v>16</v>
      </c>
      <c r="G393" t="s">
        <v>5</v>
      </c>
      <c r="H393" t="s">
        <v>18</v>
      </c>
      <c r="I393" t="s">
        <v>24</v>
      </c>
      <c r="J393" t="s">
        <v>48</v>
      </c>
      <c r="K393" t="s">
        <v>53</v>
      </c>
      <c r="L393">
        <v>1.76</v>
      </c>
      <c r="M393">
        <v>5.22</v>
      </c>
      <c r="N393">
        <v>1.01</v>
      </c>
      <c r="O393">
        <v>4.68</v>
      </c>
      <c r="P393">
        <v>5</v>
      </c>
      <c r="Q393">
        <v>4.5</v>
      </c>
      <c r="R393">
        <v>4.8</v>
      </c>
      <c r="S393">
        <v>5.3</v>
      </c>
      <c r="T393" t="s">
        <v>39</v>
      </c>
      <c r="U393">
        <v>6.9</v>
      </c>
      <c r="V393">
        <v>6.5</v>
      </c>
      <c r="W393">
        <v>5.5</v>
      </c>
      <c r="X393">
        <v>5.7</v>
      </c>
      <c r="Y393">
        <v>3.6</v>
      </c>
      <c r="Z393">
        <v>4.7</v>
      </c>
      <c r="AA393">
        <v>7.7</v>
      </c>
      <c r="AB393" t="s">
        <v>21</v>
      </c>
      <c r="AC393" t="s">
        <v>10</v>
      </c>
      <c r="AD393" t="s">
        <v>12</v>
      </c>
      <c r="AE393" t="str">
        <f t="shared" si="18"/>
        <v>35-44</v>
      </c>
      <c r="AF393" t="str">
        <f t="shared" si="19"/>
        <v>Low Usage</v>
      </c>
      <c r="AG393" t="str">
        <f t="shared" si="20"/>
        <v>Moderate Loneliness</v>
      </c>
    </row>
    <row r="394" spans="1:33" x14ac:dyDescent="0.3">
      <c r="A394" t="s">
        <v>438</v>
      </c>
      <c r="B394">
        <v>32</v>
      </c>
      <c r="C394" t="s">
        <v>1</v>
      </c>
      <c r="D394" t="s">
        <v>14</v>
      </c>
      <c r="E394" t="s">
        <v>37</v>
      </c>
      <c r="F394" t="s">
        <v>12</v>
      </c>
      <c r="G394" t="s">
        <v>43</v>
      </c>
      <c r="H394" t="s">
        <v>6</v>
      </c>
      <c r="I394" t="s">
        <v>24</v>
      </c>
      <c r="J394" t="s">
        <v>8</v>
      </c>
      <c r="K394" t="s">
        <v>9</v>
      </c>
      <c r="L394">
        <v>4.24</v>
      </c>
      <c r="M394">
        <v>1.38</v>
      </c>
      <c r="N394">
        <v>3.75</v>
      </c>
      <c r="O394">
        <v>7.8</v>
      </c>
      <c r="P394">
        <v>1</v>
      </c>
      <c r="Q394">
        <v>8.5</v>
      </c>
      <c r="R394">
        <v>6.2</v>
      </c>
      <c r="S394">
        <v>5.4</v>
      </c>
      <c r="T394" t="s">
        <v>10</v>
      </c>
      <c r="U394">
        <v>6.1</v>
      </c>
      <c r="V394">
        <v>6.2</v>
      </c>
      <c r="W394">
        <v>1.3</v>
      </c>
      <c r="X394">
        <v>7</v>
      </c>
      <c r="Y394">
        <v>8.6</v>
      </c>
      <c r="Z394">
        <v>7.6</v>
      </c>
      <c r="AA394">
        <v>2.9</v>
      </c>
      <c r="AB394" t="s">
        <v>44</v>
      </c>
      <c r="AC394" t="s">
        <v>39</v>
      </c>
      <c r="AD394" t="s">
        <v>45</v>
      </c>
      <c r="AE394" t="str">
        <f t="shared" si="18"/>
        <v>25-34</v>
      </c>
      <c r="AF394" t="str">
        <f t="shared" si="19"/>
        <v>High Usage</v>
      </c>
      <c r="AG394" t="str">
        <f t="shared" si="20"/>
        <v>High Loneliness</v>
      </c>
    </row>
    <row r="395" spans="1:33" x14ac:dyDescent="0.3">
      <c r="A395" t="s">
        <v>439</v>
      </c>
      <c r="B395">
        <v>28</v>
      </c>
      <c r="C395" t="s">
        <v>1</v>
      </c>
      <c r="D395" t="s">
        <v>2</v>
      </c>
      <c r="E395" t="s">
        <v>37</v>
      </c>
      <c r="F395" t="s">
        <v>45</v>
      </c>
      <c r="G395" t="s">
        <v>17</v>
      </c>
      <c r="H395" t="s">
        <v>28</v>
      </c>
      <c r="I395" t="s">
        <v>29</v>
      </c>
      <c r="J395" t="s">
        <v>51</v>
      </c>
      <c r="K395" t="s">
        <v>1079</v>
      </c>
      <c r="L395">
        <v>3.29</v>
      </c>
      <c r="M395">
        <v>2.46</v>
      </c>
      <c r="N395">
        <v>4.62</v>
      </c>
      <c r="O395">
        <v>9.16</v>
      </c>
      <c r="P395">
        <v>2</v>
      </c>
      <c r="Q395">
        <v>8</v>
      </c>
      <c r="R395">
        <v>7.6</v>
      </c>
      <c r="S395">
        <v>2.8</v>
      </c>
      <c r="T395" t="s">
        <v>39</v>
      </c>
      <c r="U395">
        <v>7.2</v>
      </c>
      <c r="V395">
        <v>3.5</v>
      </c>
      <c r="W395">
        <v>2.2999999999999998</v>
      </c>
      <c r="X395">
        <v>7.8</v>
      </c>
      <c r="Y395">
        <v>4.9000000000000004</v>
      </c>
      <c r="Z395">
        <v>5.6</v>
      </c>
      <c r="AA395">
        <v>3.8</v>
      </c>
      <c r="AB395" t="s">
        <v>44</v>
      </c>
      <c r="AC395" t="s">
        <v>10</v>
      </c>
      <c r="AD395" t="s">
        <v>45</v>
      </c>
      <c r="AE395" t="str">
        <f t="shared" si="18"/>
        <v>25-34</v>
      </c>
      <c r="AF395" t="str">
        <f t="shared" si="19"/>
        <v>Moderate Usage</v>
      </c>
      <c r="AG395" t="str">
        <f t="shared" si="20"/>
        <v>High Loneliness</v>
      </c>
    </row>
    <row r="396" spans="1:33" x14ac:dyDescent="0.3">
      <c r="A396" t="s">
        <v>440</v>
      </c>
      <c r="B396">
        <v>32</v>
      </c>
      <c r="C396" t="s">
        <v>32</v>
      </c>
      <c r="D396" t="s">
        <v>2</v>
      </c>
      <c r="E396" t="s">
        <v>15</v>
      </c>
      <c r="F396" t="s">
        <v>12</v>
      </c>
      <c r="G396" t="s">
        <v>17</v>
      </c>
      <c r="H396" t="s">
        <v>28</v>
      </c>
      <c r="I396" t="s">
        <v>29</v>
      </c>
      <c r="J396" t="s">
        <v>48</v>
      </c>
      <c r="K396" t="s">
        <v>53</v>
      </c>
      <c r="L396">
        <v>1.64</v>
      </c>
      <c r="M396">
        <v>4.62</v>
      </c>
      <c r="N396">
        <v>3.29</v>
      </c>
      <c r="O396">
        <v>5.35</v>
      </c>
      <c r="P396">
        <v>5</v>
      </c>
      <c r="Q396">
        <v>7.6</v>
      </c>
      <c r="R396">
        <v>3.9</v>
      </c>
      <c r="S396">
        <v>6.9</v>
      </c>
      <c r="T396" t="s">
        <v>10</v>
      </c>
      <c r="U396">
        <v>7.8</v>
      </c>
      <c r="V396">
        <v>6.8</v>
      </c>
      <c r="W396">
        <v>3</v>
      </c>
      <c r="X396">
        <v>3.9</v>
      </c>
      <c r="Y396">
        <v>4.7</v>
      </c>
      <c r="Z396">
        <v>3.9</v>
      </c>
      <c r="AA396">
        <v>6.3</v>
      </c>
      <c r="AB396" t="s">
        <v>21</v>
      </c>
      <c r="AC396" t="s">
        <v>10</v>
      </c>
      <c r="AD396" t="s">
        <v>45</v>
      </c>
      <c r="AE396" t="str">
        <f t="shared" si="18"/>
        <v>25-34</v>
      </c>
      <c r="AF396" t="str">
        <f t="shared" si="19"/>
        <v>Low Usage</v>
      </c>
      <c r="AG396" t="str">
        <f t="shared" si="20"/>
        <v>High Loneliness</v>
      </c>
    </row>
    <row r="397" spans="1:33" x14ac:dyDescent="0.3">
      <c r="A397" t="s">
        <v>441</v>
      </c>
      <c r="B397">
        <v>16</v>
      </c>
      <c r="C397" t="s">
        <v>89</v>
      </c>
      <c r="D397" t="s">
        <v>2</v>
      </c>
      <c r="E397" t="s">
        <v>3</v>
      </c>
      <c r="F397" t="s">
        <v>16</v>
      </c>
      <c r="G397" t="s">
        <v>66</v>
      </c>
      <c r="H397" t="s">
        <v>28</v>
      </c>
      <c r="I397" t="s">
        <v>19</v>
      </c>
      <c r="J397" t="s">
        <v>20</v>
      </c>
      <c r="K397" t="s">
        <v>53</v>
      </c>
      <c r="L397">
        <v>3.83</v>
      </c>
      <c r="M397">
        <v>1.19</v>
      </c>
      <c r="N397">
        <v>4.78</v>
      </c>
      <c r="O397">
        <v>12.61</v>
      </c>
      <c r="P397">
        <v>4</v>
      </c>
      <c r="Q397">
        <v>10</v>
      </c>
      <c r="R397">
        <v>10</v>
      </c>
      <c r="S397">
        <v>2.8</v>
      </c>
      <c r="T397" t="s">
        <v>39</v>
      </c>
      <c r="U397">
        <v>6.7</v>
      </c>
      <c r="V397">
        <v>3.6</v>
      </c>
      <c r="W397">
        <v>3.6</v>
      </c>
      <c r="X397">
        <v>7.2</v>
      </c>
      <c r="Y397">
        <v>7.3</v>
      </c>
      <c r="Z397">
        <v>10</v>
      </c>
      <c r="AA397">
        <v>3.4</v>
      </c>
      <c r="AB397" t="s">
        <v>44</v>
      </c>
      <c r="AC397" t="s">
        <v>10</v>
      </c>
      <c r="AD397" t="s">
        <v>45</v>
      </c>
      <c r="AE397" t="str">
        <f t="shared" si="18"/>
        <v>15-19</v>
      </c>
      <c r="AF397" t="str">
        <f t="shared" si="19"/>
        <v>Moderate Usage</v>
      </c>
      <c r="AG397" t="str">
        <f t="shared" si="20"/>
        <v>High Loneliness</v>
      </c>
    </row>
    <row r="398" spans="1:33" x14ac:dyDescent="0.3">
      <c r="A398" t="s">
        <v>442</v>
      </c>
      <c r="B398">
        <v>36</v>
      </c>
      <c r="C398" t="s">
        <v>32</v>
      </c>
      <c r="D398" t="s">
        <v>2</v>
      </c>
      <c r="E398" t="s">
        <v>37</v>
      </c>
      <c r="F398" t="s">
        <v>12</v>
      </c>
      <c r="G398" t="s">
        <v>17</v>
      </c>
      <c r="H398" t="s">
        <v>6</v>
      </c>
      <c r="I398" t="s">
        <v>29</v>
      </c>
      <c r="J398" t="s">
        <v>8</v>
      </c>
      <c r="K398" t="s">
        <v>30</v>
      </c>
      <c r="L398">
        <v>3.3</v>
      </c>
      <c r="M398">
        <v>3.25</v>
      </c>
      <c r="N398">
        <v>3.3</v>
      </c>
      <c r="O398">
        <v>7.03</v>
      </c>
      <c r="P398">
        <v>1</v>
      </c>
      <c r="Q398">
        <v>5</v>
      </c>
      <c r="R398">
        <v>6.4</v>
      </c>
      <c r="S398">
        <v>3.7</v>
      </c>
      <c r="T398" t="s">
        <v>39</v>
      </c>
      <c r="U398">
        <v>6.4</v>
      </c>
      <c r="V398">
        <v>5.4</v>
      </c>
      <c r="W398">
        <v>1.6</v>
      </c>
      <c r="X398">
        <v>7.4</v>
      </c>
      <c r="Y398">
        <v>5.0999999999999996</v>
      </c>
      <c r="Z398">
        <v>7</v>
      </c>
      <c r="AA398">
        <v>5</v>
      </c>
      <c r="AB398" t="s">
        <v>21</v>
      </c>
      <c r="AC398" t="s">
        <v>10</v>
      </c>
      <c r="AD398" t="s">
        <v>22</v>
      </c>
      <c r="AE398" t="str">
        <f t="shared" si="18"/>
        <v>35-44</v>
      </c>
      <c r="AF398" t="str">
        <f t="shared" si="19"/>
        <v>Moderate Usage</v>
      </c>
      <c r="AG398" t="str">
        <f t="shared" si="20"/>
        <v>Moderate Loneliness</v>
      </c>
    </row>
    <row r="399" spans="1:33" x14ac:dyDescent="0.3">
      <c r="A399" t="s">
        <v>443</v>
      </c>
      <c r="B399">
        <v>17</v>
      </c>
      <c r="C399" t="s">
        <v>1</v>
      </c>
      <c r="D399" t="s">
        <v>2</v>
      </c>
      <c r="E399" t="s">
        <v>15</v>
      </c>
      <c r="F399" t="s">
        <v>4</v>
      </c>
      <c r="G399" t="s">
        <v>5</v>
      </c>
      <c r="H399" t="s">
        <v>28</v>
      </c>
      <c r="I399" t="s">
        <v>35</v>
      </c>
      <c r="J399" t="s">
        <v>8</v>
      </c>
      <c r="K399" t="s">
        <v>30</v>
      </c>
      <c r="L399">
        <v>3.38</v>
      </c>
      <c r="M399">
        <v>3.48</v>
      </c>
      <c r="N399">
        <v>3.81</v>
      </c>
      <c r="O399">
        <v>11.78</v>
      </c>
      <c r="P399">
        <v>3</v>
      </c>
      <c r="Q399">
        <v>10</v>
      </c>
      <c r="R399">
        <v>8.3000000000000007</v>
      </c>
      <c r="S399">
        <v>3</v>
      </c>
      <c r="T399" t="s">
        <v>39</v>
      </c>
      <c r="U399">
        <v>5.7</v>
      </c>
      <c r="V399">
        <v>5.2</v>
      </c>
      <c r="W399">
        <v>4.7</v>
      </c>
      <c r="X399">
        <v>5.9</v>
      </c>
      <c r="Y399">
        <v>7.6</v>
      </c>
      <c r="Z399">
        <v>6.9</v>
      </c>
      <c r="AA399">
        <v>1.7</v>
      </c>
      <c r="AB399" t="s">
        <v>44</v>
      </c>
      <c r="AC399" t="s">
        <v>10</v>
      </c>
      <c r="AD399" t="s">
        <v>45</v>
      </c>
      <c r="AE399" t="str">
        <f t="shared" si="18"/>
        <v>15-19</v>
      </c>
      <c r="AF399" t="str">
        <f t="shared" si="19"/>
        <v>Moderate Usage</v>
      </c>
      <c r="AG399" t="str">
        <f t="shared" si="20"/>
        <v>High Loneliness</v>
      </c>
    </row>
    <row r="400" spans="1:33" x14ac:dyDescent="0.3">
      <c r="A400" t="s">
        <v>444</v>
      </c>
      <c r="B400">
        <v>30</v>
      </c>
      <c r="C400" t="s">
        <v>1</v>
      </c>
      <c r="D400" t="s">
        <v>47</v>
      </c>
      <c r="E400" t="s">
        <v>3</v>
      </c>
      <c r="F400" t="s">
        <v>4</v>
      </c>
      <c r="G400" t="s">
        <v>17</v>
      </c>
      <c r="H400" t="s">
        <v>33</v>
      </c>
      <c r="I400" t="s">
        <v>19</v>
      </c>
      <c r="J400" t="s">
        <v>8</v>
      </c>
      <c r="K400" t="s">
        <v>30</v>
      </c>
      <c r="L400">
        <v>1.6</v>
      </c>
      <c r="M400">
        <v>4.38</v>
      </c>
      <c r="N400">
        <v>0.37</v>
      </c>
      <c r="O400">
        <v>4.49</v>
      </c>
      <c r="P400">
        <v>7</v>
      </c>
      <c r="Q400">
        <v>2.2999999999999998</v>
      </c>
      <c r="R400">
        <v>1.8</v>
      </c>
      <c r="S400">
        <v>9.9</v>
      </c>
      <c r="T400" t="s">
        <v>10</v>
      </c>
      <c r="U400">
        <v>6.3</v>
      </c>
      <c r="V400">
        <v>9</v>
      </c>
      <c r="W400">
        <v>8.6</v>
      </c>
      <c r="X400">
        <v>3</v>
      </c>
      <c r="Y400">
        <v>1.6</v>
      </c>
      <c r="Z400">
        <v>3.5</v>
      </c>
      <c r="AA400">
        <v>7.6</v>
      </c>
      <c r="AB400" t="s">
        <v>11</v>
      </c>
      <c r="AC400" t="s">
        <v>10</v>
      </c>
      <c r="AD400" t="s">
        <v>12</v>
      </c>
      <c r="AE400" t="str">
        <f t="shared" si="18"/>
        <v>25-34</v>
      </c>
      <c r="AF400" t="str">
        <f t="shared" si="19"/>
        <v>Low Usage</v>
      </c>
      <c r="AG400" t="str">
        <f t="shared" si="20"/>
        <v>Low Loneliness</v>
      </c>
    </row>
    <row r="401" spans="1:33" x14ac:dyDescent="0.3">
      <c r="A401" t="s">
        <v>445</v>
      </c>
      <c r="B401">
        <v>43</v>
      </c>
      <c r="C401" t="s">
        <v>1</v>
      </c>
      <c r="D401" t="s">
        <v>14</v>
      </c>
      <c r="E401" t="s">
        <v>15</v>
      </c>
      <c r="F401" t="s">
        <v>4</v>
      </c>
      <c r="G401" t="s">
        <v>43</v>
      </c>
      <c r="H401" t="s">
        <v>33</v>
      </c>
      <c r="I401" t="s">
        <v>29</v>
      </c>
      <c r="J401" t="s">
        <v>20</v>
      </c>
      <c r="K401" t="s">
        <v>53</v>
      </c>
      <c r="L401">
        <v>0.31</v>
      </c>
      <c r="M401">
        <v>3.87</v>
      </c>
      <c r="N401">
        <v>1.64</v>
      </c>
      <c r="O401">
        <v>3.44</v>
      </c>
      <c r="P401">
        <v>6</v>
      </c>
      <c r="Q401">
        <v>3.9</v>
      </c>
      <c r="R401">
        <v>3.9</v>
      </c>
      <c r="S401">
        <v>10</v>
      </c>
      <c r="T401" t="s">
        <v>10</v>
      </c>
      <c r="U401">
        <v>7.9</v>
      </c>
      <c r="V401">
        <v>8.3000000000000007</v>
      </c>
      <c r="W401">
        <v>2.5</v>
      </c>
      <c r="X401">
        <v>2.1</v>
      </c>
      <c r="Y401">
        <v>2.8</v>
      </c>
      <c r="Z401">
        <v>6.6</v>
      </c>
      <c r="AA401">
        <v>7.1</v>
      </c>
      <c r="AB401" t="s">
        <v>21</v>
      </c>
      <c r="AC401" t="s">
        <v>10</v>
      </c>
      <c r="AD401" t="s">
        <v>12</v>
      </c>
      <c r="AE401" t="str">
        <f t="shared" si="18"/>
        <v>35-44</v>
      </c>
      <c r="AF401" t="str">
        <f t="shared" si="19"/>
        <v>Very Low Usage</v>
      </c>
      <c r="AG401" t="str">
        <f t="shared" si="20"/>
        <v>Moderate Loneliness</v>
      </c>
    </row>
    <row r="402" spans="1:33" x14ac:dyDescent="0.3">
      <c r="A402" t="s">
        <v>446</v>
      </c>
      <c r="B402">
        <v>23</v>
      </c>
      <c r="C402" t="s">
        <v>32</v>
      </c>
      <c r="D402" t="s">
        <v>47</v>
      </c>
      <c r="E402" t="s">
        <v>37</v>
      </c>
      <c r="F402" t="s">
        <v>12</v>
      </c>
      <c r="G402" t="s">
        <v>5</v>
      </c>
      <c r="H402" t="s">
        <v>28</v>
      </c>
      <c r="I402" t="s">
        <v>24</v>
      </c>
      <c r="J402" t="s">
        <v>20</v>
      </c>
      <c r="K402" t="s">
        <v>9</v>
      </c>
      <c r="L402">
        <v>0</v>
      </c>
      <c r="M402">
        <v>2.93</v>
      </c>
      <c r="N402">
        <v>2.02</v>
      </c>
      <c r="O402">
        <v>4.82</v>
      </c>
      <c r="P402">
        <v>7</v>
      </c>
      <c r="Q402">
        <v>1.8</v>
      </c>
      <c r="R402">
        <v>3.9</v>
      </c>
      <c r="S402">
        <v>6.9</v>
      </c>
      <c r="T402" t="s">
        <v>10</v>
      </c>
      <c r="U402">
        <v>6.1</v>
      </c>
      <c r="V402">
        <v>6.4</v>
      </c>
      <c r="W402">
        <v>3.9</v>
      </c>
      <c r="X402">
        <v>2.4</v>
      </c>
      <c r="Y402">
        <v>3.9</v>
      </c>
      <c r="Z402">
        <v>3.9</v>
      </c>
      <c r="AA402">
        <v>9.6999999999999993</v>
      </c>
      <c r="AB402" t="s">
        <v>21</v>
      </c>
      <c r="AC402" t="s">
        <v>10</v>
      </c>
      <c r="AD402" t="s">
        <v>12</v>
      </c>
      <c r="AE402" t="str">
        <f t="shared" si="18"/>
        <v>20-24</v>
      </c>
      <c r="AF402" t="str">
        <f t="shared" si="19"/>
        <v>Very Low Usage</v>
      </c>
      <c r="AG402" t="str">
        <f t="shared" si="20"/>
        <v>Low Loneliness</v>
      </c>
    </row>
    <row r="403" spans="1:33" x14ac:dyDescent="0.3">
      <c r="A403" t="s">
        <v>447</v>
      </c>
      <c r="B403">
        <v>18</v>
      </c>
      <c r="C403" t="s">
        <v>1</v>
      </c>
      <c r="D403" t="s">
        <v>2</v>
      </c>
      <c r="E403" t="s">
        <v>59</v>
      </c>
      <c r="F403" t="s">
        <v>12</v>
      </c>
      <c r="G403" t="s">
        <v>43</v>
      </c>
      <c r="H403" t="s">
        <v>28</v>
      </c>
      <c r="I403" t="s">
        <v>19</v>
      </c>
      <c r="J403" t="s">
        <v>8</v>
      </c>
      <c r="K403" t="s">
        <v>1079</v>
      </c>
      <c r="L403">
        <v>0.85</v>
      </c>
      <c r="M403">
        <v>3.71</v>
      </c>
      <c r="N403">
        <v>1.29</v>
      </c>
      <c r="O403">
        <v>3.5</v>
      </c>
      <c r="P403">
        <v>3</v>
      </c>
      <c r="Q403">
        <v>6.1</v>
      </c>
      <c r="R403">
        <v>4.9000000000000004</v>
      </c>
      <c r="S403">
        <v>5.7</v>
      </c>
      <c r="T403" t="s">
        <v>39</v>
      </c>
      <c r="U403">
        <v>7</v>
      </c>
      <c r="V403">
        <v>5.3</v>
      </c>
      <c r="W403">
        <v>5</v>
      </c>
      <c r="X403">
        <v>3.7</v>
      </c>
      <c r="Y403">
        <v>5.0999999999999996</v>
      </c>
      <c r="Z403">
        <v>4.7</v>
      </c>
      <c r="AA403">
        <v>9.4</v>
      </c>
      <c r="AB403" t="s">
        <v>11</v>
      </c>
      <c r="AC403" t="s">
        <v>10</v>
      </c>
      <c r="AD403" t="s">
        <v>12</v>
      </c>
      <c r="AE403" t="str">
        <f t="shared" si="18"/>
        <v>15-19</v>
      </c>
      <c r="AF403" t="str">
        <f t="shared" si="19"/>
        <v>Very Low Usage</v>
      </c>
      <c r="AG403" t="str">
        <f t="shared" si="20"/>
        <v>High Loneliness</v>
      </c>
    </row>
    <row r="404" spans="1:33" x14ac:dyDescent="0.3">
      <c r="A404" t="s">
        <v>448</v>
      </c>
      <c r="B404">
        <v>15</v>
      </c>
      <c r="C404" t="s">
        <v>32</v>
      </c>
      <c r="D404" t="s">
        <v>14</v>
      </c>
      <c r="E404" t="s">
        <v>3</v>
      </c>
      <c r="F404" t="s">
        <v>4</v>
      </c>
      <c r="G404" t="s">
        <v>43</v>
      </c>
      <c r="H404" t="s">
        <v>28</v>
      </c>
      <c r="I404" t="s">
        <v>29</v>
      </c>
      <c r="J404" t="s">
        <v>20</v>
      </c>
      <c r="K404" t="s">
        <v>1079</v>
      </c>
      <c r="L404">
        <v>1.1299999999999999</v>
      </c>
      <c r="M404">
        <v>4.71</v>
      </c>
      <c r="N404">
        <v>0.81</v>
      </c>
      <c r="O404">
        <v>2.5299999999999998</v>
      </c>
      <c r="P404">
        <v>6</v>
      </c>
      <c r="Q404">
        <v>4.8</v>
      </c>
      <c r="R404">
        <v>4.3</v>
      </c>
      <c r="S404">
        <v>3.8</v>
      </c>
      <c r="T404" t="s">
        <v>10</v>
      </c>
      <c r="U404">
        <v>6.6</v>
      </c>
      <c r="V404">
        <v>4.9000000000000004</v>
      </c>
      <c r="W404">
        <v>2.4</v>
      </c>
      <c r="X404">
        <v>6.4</v>
      </c>
      <c r="Y404">
        <v>2.7</v>
      </c>
      <c r="Z404">
        <v>4.0999999999999996</v>
      </c>
      <c r="AA404">
        <v>6.7</v>
      </c>
      <c r="AB404" t="s">
        <v>11</v>
      </c>
      <c r="AC404" t="s">
        <v>10</v>
      </c>
      <c r="AD404" t="s">
        <v>22</v>
      </c>
      <c r="AE404" t="str">
        <f t="shared" si="18"/>
        <v>15-19</v>
      </c>
      <c r="AF404" t="str">
        <f t="shared" si="19"/>
        <v>Low Usage</v>
      </c>
      <c r="AG404" t="str">
        <f t="shared" si="20"/>
        <v>Moderate Loneliness</v>
      </c>
    </row>
    <row r="405" spans="1:33" x14ac:dyDescent="0.3">
      <c r="A405" t="s">
        <v>449</v>
      </c>
      <c r="B405">
        <v>18</v>
      </c>
      <c r="C405" t="s">
        <v>1</v>
      </c>
      <c r="D405" t="s">
        <v>14</v>
      </c>
      <c r="E405" t="s">
        <v>37</v>
      </c>
      <c r="F405" t="s">
        <v>16</v>
      </c>
      <c r="G405" t="s">
        <v>17</v>
      </c>
      <c r="H405" t="s">
        <v>18</v>
      </c>
      <c r="I405" t="s">
        <v>7</v>
      </c>
      <c r="J405" t="s">
        <v>8</v>
      </c>
      <c r="K405" t="s">
        <v>1079</v>
      </c>
      <c r="L405">
        <v>3.21</v>
      </c>
      <c r="M405">
        <v>2.77</v>
      </c>
      <c r="N405">
        <v>3.95</v>
      </c>
      <c r="O405">
        <v>9.24</v>
      </c>
      <c r="P405">
        <v>2</v>
      </c>
      <c r="Q405">
        <v>4.3</v>
      </c>
      <c r="R405">
        <v>5.5</v>
      </c>
      <c r="S405">
        <v>3.2</v>
      </c>
      <c r="T405" t="s">
        <v>39</v>
      </c>
      <c r="U405">
        <v>7</v>
      </c>
      <c r="V405">
        <v>5.6</v>
      </c>
      <c r="W405">
        <v>3.2</v>
      </c>
      <c r="X405">
        <v>5.8</v>
      </c>
      <c r="Y405">
        <v>3.9</v>
      </c>
      <c r="Z405">
        <v>5.3</v>
      </c>
      <c r="AA405">
        <v>4.5999999999999996</v>
      </c>
      <c r="AB405" t="s">
        <v>44</v>
      </c>
      <c r="AC405" t="s">
        <v>10</v>
      </c>
      <c r="AD405" t="s">
        <v>22</v>
      </c>
      <c r="AE405" t="str">
        <f t="shared" si="18"/>
        <v>15-19</v>
      </c>
      <c r="AF405" t="str">
        <f t="shared" si="19"/>
        <v>Moderate Usage</v>
      </c>
      <c r="AG405" t="str">
        <f t="shared" si="20"/>
        <v>Moderate Loneliness</v>
      </c>
    </row>
    <row r="406" spans="1:33" x14ac:dyDescent="0.3">
      <c r="A406" t="s">
        <v>450</v>
      </c>
      <c r="B406">
        <v>15</v>
      </c>
      <c r="C406" t="s">
        <v>32</v>
      </c>
      <c r="D406" t="s">
        <v>14</v>
      </c>
      <c r="E406" t="s">
        <v>37</v>
      </c>
      <c r="F406" t="s">
        <v>45</v>
      </c>
      <c r="G406" t="s">
        <v>17</v>
      </c>
      <c r="H406" t="s">
        <v>28</v>
      </c>
      <c r="I406" t="s">
        <v>7</v>
      </c>
      <c r="J406" t="s">
        <v>48</v>
      </c>
      <c r="K406" t="s">
        <v>1079</v>
      </c>
      <c r="L406">
        <v>4.6500000000000004</v>
      </c>
      <c r="M406">
        <v>1.85</v>
      </c>
      <c r="N406">
        <v>4.5199999999999996</v>
      </c>
      <c r="O406">
        <v>11.88</v>
      </c>
      <c r="P406">
        <v>1</v>
      </c>
      <c r="Q406">
        <v>10</v>
      </c>
      <c r="R406">
        <v>7</v>
      </c>
      <c r="S406">
        <v>1</v>
      </c>
      <c r="T406" t="s">
        <v>10</v>
      </c>
      <c r="U406">
        <v>6.7</v>
      </c>
      <c r="V406">
        <v>5.5</v>
      </c>
      <c r="W406">
        <v>1.9</v>
      </c>
      <c r="X406">
        <v>9.5</v>
      </c>
      <c r="Y406">
        <v>8</v>
      </c>
      <c r="Z406">
        <v>6.3</v>
      </c>
      <c r="AA406">
        <v>3.1</v>
      </c>
      <c r="AB406" t="s">
        <v>44</v>
      </c>
      <c r="AC406" t="s">
        <v>39</v>
      </c>
      <c r="AD406" t="s">
        <v>45</v>
      </c>
      <c r="AE406" t="str">
        <f t="shared" si="18"/>
        <v>15-19</v>
      </c>
      <c r="AF406" t="str">
        <f t="shared" si="19"/>
        <v>High Usage</v>
      </c>
      <c r="AG406" t="str">
        <f t="shared" si="20"/>
        <v>High Loneliness</v>
      </c>
    </row>
    <row r="407" spans="1:33" x14ac:dyDescent="0.3">
      <c r="A407" t="s">
        <v>451</v>
      </c>
      <c r="B407">
        <v>28</v>
      </c>
      <c r="C407" t="s">
        <v>32</v>
      </c>
      <c r="D407" t="s">
        <v>47</v>
      </c>
      <c r="E407" t="s">
        <v>37</v>
      </c>
      <c r="F407" t="s">
        <v>12</v>
      </c>
      <c r="G407" t="s">
        <v>43</v>
      </c>
      <c r="H407" t="s">
        <v>28</v>
      </c>
      <c r="I407" t="s">
        <v>24</v>
      </c>
      <c r="J407" t="s">
        <v>38</v>
      </c>
      <c r="K407" t="s">
        <v>25</v>
      </c>
      <c r="L407">
        <v>1.93</v>
      </c>
      <c r="M407">
        <v>2.98</v>
      </c>
      <c r="N407">
        <v>3.43</v>
      </c>
      <c r="O407">
        <v>8.64</v>
      </c>
      <c r="P407">
        <v>2</v>
      </c>
      <c r="Q407">
        <v>8.3000000000000007</v>
      </c>
      <c r="R407">
        <v>8.3000000000000007</v>
      </c>
      <c r="S407">
        <v>4</v>
      </c>
      <c r="T407" t="s">
        <v>39</v>
      </c>
      <c r="U407">
        <v>7.7</v>
      </c>
      <c r="V407">
        <v>5.0999999999999996</v>
      </c>
      <c r="W407">
        <v>2.1</v>
      </c>
      <c r="X407">
        <v>3.8</v>
      </c>
      <c r="Y407">
        <v>6.5</v>
      </c>
      <c r="Z407">
        <v>6.9</v>
      </c>
      <c r="AA407">
        <v>2.6</v>
      </c>
      <c r="AB407" t="s">
        <v>21</v>
      </c>
      <c r="AC407" t="s">
        <v>10</v>
      </c>
      <c r="AD407" t="s">
        <v>45</v>
      </c>
      <c r="AE407" t="str">
        <f t="shared" si="18"/>
        <v>25-34</v>
      </c>
      <c r="AF407" t="str">
        <f t="shared" si="19"/>
        <v>Low Usage</v>
      </c>
      <c r="AG407" t="str">
        <f t="shared" si="20"/>
        <v>High Loneliness</v>
      </c>
    </row>
    <row r="408" spans="1:33" x14ac:dyDescent="0.3">
      <c r="A408" t="s">
        <v>452</v>
      </c>
      <c r="B408">
        <v>35</v>
      </c>
      <c r="C408" t="s">
        <v>32</v>
      </c>
      <c r="D408" t="s">
        <v>2</v>
      </c>
      <c r="E408" t="s">
        <v>15</v>
      </c>
      <c r="F408" t="s">
        <v>4</v>
      </c>
      <c r="G408" t="s">
        <v>17</v>
      </c>
      <c r="H408" t="s">
        <v>6</v>
      </c>
      <c r="I408" t="s">
        <v>29</v>
      </c>
      <c r="J408" t="s">
        <v>8</v>
      </c>
      <c r="K408" t="s">
        <v>9</v>
      </c>
      <c r="L408">
        <v>1.48</v>
      </c>
      <c r="M408">
        <v>3.9</v>
      </c>
      <c r="N408">
        <v>2.54</v>
      </c>
      <c r="O408">
        <v>6.52</v>
      </c>
      <c r="P408">
        <v>4</v>
      </c>
      <c r="Q408">
        <v>5.6</v>
      </c>
      <c r="R408">
        <v>2.5</v>
      </c>
      <c r="S408">
        <v>7</v>
      </c>
      <c r="T408" t="s">
        <v>10</v>
      </c>
      <c r="U408">
        <v>8</v>
      </c>
      <c r="V408">
        <v>9.9</v>
      </c>
      <c r="W408">
        <v>4.7</v>
      </c>
      <c r="X408">
        <v>3.5</v>
      </c>
      <c r="Y408">
        <v>2.6</v>
      </c>
      <c r="Z408">
        <v>5.6</v>
      </c>
      <c r="AA408">
        <v>6.3</v>
      </c>
      <c r="AB408" t="s">
        <v>11</v>
      </c>
      <c r="AC408" t="s">
        <v>39</v>
      </c>
      <c r="AD408" t="s">
        <v>12</v>
      </c>
      <c r="AE408" t="str">
        <f t="shared" si="18"/>
        <v>35-44</v>
      </c>
      <c r="AF408" t="str">
        <f t="shared" si="19"/>
        <v>Low Usage</v>
      </c>
      <c r="AG408" t="str">
        <f t="shared" si="20"/>
        <v>Moderate Loneliness</v>
      </c>
    </row>
    <row r="409" spans="1:33" x14ac:dyDescent="0.3">
      <c r="A409" t="s">
        <v>453</v>
      </c>
      <c r="B409">
        <v>30</v>
      </c>
      <c r="C409" t="s">
        <v>1</v>
      </c>
      <c r="D409" t="s">
        <v>47</v>
      </c>
      <c r="E409" t="s">
        <v>15</v>
      </c>
      <c r="F409" t="s">
        <v>12</v>
      </c>
      <c r="G409" t="s">
        <v>43</v>
      </c>
      <c r="H409" t="s">
        <v>6</v>
      </c>
      <c r="I409" t="s">
        <v>19</v>
      </c>
      <c r="J409" t="s">
        <v>20</v>
      </c>
      <c r="K409" t="s">
        <v>1079</v>
      </c>
      <c r="L409">
        <v>1.39</v>
      </c>
      <c r="M409">
        <v>4.84</v>
      </c>
      <c r="N409">
        <v>1.51</v>
      </c>
      <c r="O409">
        <v>4.38</v>
      </c>
      <c r="P409">
        <v>1</v>
      </c>
      <c r="Q409">
        <v>3.2</v>
      </c>
      <c r="R409">
        <v>4.0999999999999996</v>
      </c>
      <c r="S409">
        <v>6.9</v>
      </c>
      <c r="T409" t="s">
        <v>10</v>
      </c>
      <c r="U409">
        <v>6.3</v>
      </c>
      <c r="V409">
        <v>6.5</v>
      </c>
      <c r="W409">
        <v>5.4</v>
      </c>
      <c r="X409">
        <v>4</v>
      </c>
      <c r="Y409">
        <v>4.0999999999999996</v>
      </c>
      <c r="Z409">
        <v>6.5</v>
      </c>
      <c r="AA409">
        <v>4.0999999999999996</v>
      </c>
      <c r="AB409" t="s">
        <v>21</v>
      </c>
      <c r="AC409" t="s">
        <v>10</v>
      </c>
      <c r="AD409" t="s">
        <v>22</v>
      </c>
      <c r="AE409" t="str">
        <f t="shared" si="18"/>
        <v>25-34</v>
      </c>
      <c r="AF409" t="str">
        <f t="shared" si="19"/>
        <v>Low Usage</v>
      </c>
      <c r="AG409" t="str">
        <f t="shared" si="20"/>
        <v>Moderate Loneliness</v>
      </c>
    </row>
    <row r="410" spans="1:33" x14ac:dyDescent="0.3">
      <c r="A410" t="s">
        <v>454</v>
      </c>
      <c r="B410">
        <v>34</v>
      </c>
      <c r="C410" t="s">
        <v>1</v>
      </c>
      <c r="D410" t="s">
        <v>2</v>
      </c>
      <c r="E410" t="s">
        <v>3</v>
      </c>
      <c r="F410" t="s">
        <v>12</v>
      </c>
      <c r="G410" t="s">
        <v>43</v>
      </c>
      <c r="H410" t="s">
        <v>28</v>
      </c>
      <c r="I410" t="s">
        <v>24</v>
      </c>
      <c r="J410" t="s">
        <v>8</v>
      </c>
      <c r="K410" t="s">
        <v>25</v>
      </c>
      <c r="L410">
        <v>4.76</v>
      </c>
      <c r="M410">
        <v>3.99</v>
      </c>
      <c r="N410">
        <v>3.6</v>
      </c>
      <c r="O410">
        <v>11.75</v>
      </c>
      <c r="P410">
        <v>0</v>
      </c>
      <c r="Q410">
        <v>10</v>
      </c>
      <c r="R410">
        <v>6.5</v>
      </c>
      <c r="S410">
        <v>3.3</v>
      </c>
      <c r="T410" t="s">
        <v>39</v>
      </c>
      <c r="U410">
        <v>5.9</v>
      </c>
      <c r="V410">
        <v>4</v>
      </c>
      <c r="W410">
        <v>2.1</v>
      </c>
      <c r="X410">
        <v>8.1</v>
      </c>
      <c r="Y410">
        <v>8.6999999999999993</v>
      </c>
      <c r="Z410">
        <v>6.7</v>
      </c>
      <c r="AA410">
        <v>3.8</v>
      </c>
      <c r="AB410" t="s">
        <v>44</v>
      </c>
      <c r="AC410" t="s">
        <v>39</v>
      </c>
      <c r="AD410" t="s">
        <v>45</v>
      </c>
      <c r="AE410" t="str">
        <f t="shared" si="18"/>
        <v>25-34</v>
      </c>
      <c r="AF410" t="str">
        <f t="shared" si="19"/>
        <v>High Usage</v>
      </c>
      <c r="AG410" t="str">
        <f t="shared" si="20"/>
        <v>High Loneliness</v>
      </c>
    </row>
    <row r="411" spans="1:33" x14ac:dyDescent="0.3">
      <c r="A411" t="s">
        <v>455</v>
      </c>
      <c r="B411">
        <v>38</v>
      </c>
      <c r="C411" t="s">
        <v>1</v>
      </c>
      <c r="D411" t="s">
        <v>2</v>
      </c>
      <c r="E411" t="s">
        <v>37</v>
      </c>
      <c r="F411" t="s">
        <v>16</v>
      </c>
      <c r="G411" t="s">
        <v>5</v>
      </c>
      <c r="H411" t="s">
        <v>28</v>
      </c>
      <c r="I411" t="s">
        <v>29</v>
      </c>
      <c r="J411" t="s">
        <v>20</v>
      </c>
      <c r="K411" t="s">
        <v>25</v>
      </c>
      <c r="L411">
        <v>2.25</v>
      </c>
      <c r="M411">
        <v>4.1399999999999997</v>
      </c>
      <c r="N411">
        <v>4.79</v>
      </c>
      <c r="O411">
        <v>10.199999999999999</v>
      </c>
      <c r="P411">
        <v>5</v>
      </c>
      <c r="Q411">
        <v>6.4</v>
      </c>
      <c r="R411">
        <v>7.2</v>
      </c>
      <c r="S411">
        <v>5.4</v>
      </c>
      <c r="T411" t="s">
        <v>39</v>
      </c>
      <c r="U411">
        <v>5.7</v>
      </c>
      <c r="V411">
        <v>5.8</v>
      </c>
      <c r="W411">
        <v>1.5</v>
      </c>
      <c r="X411">
        <v>9</v>
      </c>
      <c r="Y411">
        <v>5.2</v>
      </c>
      <c r="Z411">
        <v>3.6</v>
      </c>
      <c r="AA411">
        <v>3.1</v>
      </c>
      <c r="AB411" t="s">
        <v>44</v>
      </c>
      <c r="AC411" t="s">
        <v>39</v>
      </c>
      <c r="AD411" t="s">
        <v>45</v>
      </c>
      <c r="AE411" t="str">
        <f t="shared" si="18"/>
        <v>35-44</v>
      </c>
      <c r="AF411" t="str">
        <f t="shared" si="19"/>
        <v>Low Usage</v>
      </c>
      <c r="AG411" t="str">
        <f t="shared" si="20"/>
        <v>High Loneliness</v>
      </c>
    </row>
    <row r="412" spans="1:33" x14ac:dyDescent="0.3">
      <c r="A412" t="s">
        <v>456</v>
      </c>
      <c r="B412">
        <v>22</v>
      </c>
      <c r="C412" t="s">
        <v>32</v>
      </c>
      <c r="D412" t="s">
        <v>14</v>
      </c>
      <c r="E412" t="s">
        <v>37</v>
      </c>
      <c r="F412" t="s">
        <v>16</v>
      </c>
      <c r="G412" t="s">
        <v>5</v>
      </c>
      <c r="H412" t="s">
        <v>28</v>
      </c>
      <c r="I412" t="s">
        <v>29</v>
      </c>
      <c r="J412" t="s">
        <v>48</v>
      </c>
      <c r="K412" t="s">
        <v>9</v>
      </c>
      <c r="L412">
        <v>2.21</v>
      </c>
      <c r="M412">
        <v>1.66</v>
      </c>
      <c r="N412">
        <v>3.5</v>
      </c>
      <c r="O412">
        <v>7.98</v>
      </c>
      <c r="P412">
        <v>0</v>
      </c>
      <c r="Q412">
        <v>10</v>
      </c>
      <c r="R412">
        <v>8.6999999999999993</v>
      </c>
      <c r="S412">
        <v>2.2000000000000002</v>
      </c>
      <c r="T412" t="s">
        <v>10</v>
      </c>
      <c r="U412">
        <v>5.4</v>
      </c>
      <c r="V412">
        <v>3.5</v>
      </c>
      <c r="W412">
        <v>4</v>
      </c>
      <c r="X412">
        <v>4.5999999999999996</v>
      </c>
      <c r="Y412">
        <v>8.9</v>
      </c>
      <c r="Z412">
        <v>7.9</v>
      </c>
      <c r="AA412">
        <v>2.8</v>
      </c>
      <c r="AB412" t="s">
        <v>44</v>
      </c>
      <c r="AC412" t="s">
        <v>10</v>
      </c>
      <c r="AD412" t="s">
        <v>45</v>
      </c>
      <c r="AE412" t="str">
        <f t="shared" si="18"/>
        <v>20-24</v>
      </c>
      <c r="AF412" t="str">
        <f t="shared" si="19"/>
        <v>Low Usage</v>
      </c>
      <c r="AG412" t="str">
        <f t="shared" si="20"/>
        <v>High Loneliness</v>
      </c>
    </row>
    <row r="413" spans="1:33" x14ac:dyDescent="0.3">
      <c r="A413" t="s">
        <v>457</v>
      </c>
      <c r="B413">
        <v>21</v>
      </c>
      <c r="C413" t="s">
        <v>32</v>
      </c>
      <c r="D413" t="s">
        <v>14</v>
      </c>
      <c r="E413" t="s">
        <v>37</v>
      </c>
      <c r="F413" t="s">
        <v>12</v>
      </c>
      <c r="G413" t="s">
        <v>43</v>
      </c>
      <c r="H413" t="s">
        <v>33</v>
      </c>
      <c r="I413" t="s">
        <v>7</v>
      </c>
      <c r="J413" t="s">
        <v>38</v>
      </c>
      <c r="K413" t="s">
        <v>53</v>
      </c>
      <c r="L413">
        <v>0.72</v>
      </c>
      <c r="M413">
        <v>6.52</v>
      </c>
      <c r="N413">
        <v>1.75</v>
      </c>
      <c r="O413">
        <v>5.69</v>
      </c>
      <c r="P413">
        <v>5</v>
      </c>
      <c r="Q413">
        <v>4.7</v>
      </c>
      <c r="R413">
        <v>3</v>
      </c>
      <c r="S413">
        <v>6.9</v>
      </c>
      <c r="T413" t="s">
        <v>39</v>
      </c>
      <c r="U413">
        <v>7.8</v>
      </c>
      <c r="V413">
        <v>7.6</v>
      </c>
      <c r="W413">
        <v>6.7</v>
      </c>
      <c r="X413">
        <v>4</v>
      </c>
      <c r="Y413">
        <v>1.1000000000000001</v>
      </c>
      <c r="Z413">
        <v>5.8</v>
      </c>
      <c r="AA413">
        <v>6.9</v>
      </c>
      <c r="AB413" t="s">
        <v>21</v>
      </c>
      <c r="AC413" t="s">
        <v>10</v>
      </c>
      <c r="AD413" t="s">
        <v>12</v>
      </c>
      <c r="AE413" t="str">
        <f t="shared" si="18"/>
        <v>20-24</v>
      </c>
      <c r="AF413" t="str">
        <f t="shared" si="19"/>
        <v>Very Low Usage</v>
      </c>
      <c r="AG413" t="str">
        <f t="shared" si="20"/>
        <v>Moderate Loneliness</v>
      </c>
    </row>
    <row r="414" spans="1:33" x14ac:dyDescent="0.3">
      <c r="A414" t="s">
        <v>458</v>
      </c>
      <c r="B414">
        <v>17</v>
      </c>
      <c r="C414" t="s">
        <v>32</v>
      </c>
      <c r="D414" t="s">
        <v>2</v>
      </c>
      <c r="E414" t="s">
        <v>59</v>
      </c>
      <c r="F414" t="s">
        <v>12</v>
      </c>
      <c r="G414" t="s">
        <v>43</v>
      </c>
      <c r="H414" t="s">
        <v>6</v>
      </c>
      <c r="I414" t="s">
        <v>29</v>
      </c>
      <c r="J414" t="s">
        <v>8</v>
      </c>
      <c r="K414" t="s">
        <v>30</v>
      </c>
      <c r="L414">
        <v>0.31</v>
      </c>
      <c r="M414">
        <v>5.78</v>
      </c>
      <c r="N414">
        <v>1.1200000000000001</v>
      </c>
      <c r="O414">
        <v>5.61</v>
      </c>
      <c r="P414">
        <v>3</v>
      </c>
      <c r="Q414">
        <v>3.7</v>
      </c>
      <c r="R414">
        <v>1</v>
      </c>
      <c r="S414">
        <v>6.9</v>
      </c>
      <c r="T414" t="s">
        <v>10</v>
      </c>
      <c r="U414">
        <v>6.6</v>
      </c>
      <c r="V414">
        <v>5.7</v>
      </c>
      <c r="W414">
        <v>5.4</v>
      </c>
      <c r="X414">
        <v>5.7</v>
      </c>
      <c r="Y414">
        <v>2</v>
      </c>
      <c r="Z414">
        <v>1.9</v>
      </c>
      <c r="AA414">
        <v>7.3</v>
      </c>
      <c r="AB414" t="s">
        <v>11</v>
      </c>
      <c r="AC414" t="s">
        <v>10</v>
      </c>
      <c r="AD414" t="s">
        <v>12</v>
      </c>
      <c r="AE414" t="str">
        <f t="shared" si="18"/>
        <v>15-19</v>
      </c>
      <c r="AF414" t="str">
        <f t="shared" si="19"/>
        <v>Very Low Usage</v>
      </c>
      <c r="AG414" t="str">
        <f t="shared" si="20"/>
        <v>Moderate Loneliness</v>
      </c>
    </row>
    <row r="415" spans="1:33" x14ac:dyDescent="0.3">
      <c r="A415" t="s">
        <v>459</v>
      </c>
      <c r="B415">
        <v>31</v>
      </c>
      <c r="C415" t="s">
        <v>32</v>
      </c>
      <c r="D415" t="s">
        <v>14</v>
      </c>
      <c r="E415" t="s">
        <v>15</v>
      </c>
      <c r="F415" t="s">
        <v>12</v>
      </c>
      <c r="G415" t="s">
        <v>17</v>
      </c>
      <c r="H415" t="s">
        <v>28</v>
      </c>
      <c r="I415" t="s">
        <v>24</v>
      </c>
      <c r="J415" t="s">
        <v>38</v>
      </c>
      <c r="K415" t="s">
        <v>53</v>
      </c>
      <c r="L415">
        <v>0</v>
      </c>
      <c r="M415">
        <v>4.3099999999999996</v>
      </c>
      <c r="N415">
        <v>1.06</v>
      </c>
      <c r="O415">
        <v>2.52</v>
      </c>
      <c r="P415">
        <v>4</v>
      </c>
      <c r="Q415">
        <v>3.5</v>
      </c>
      <c r="R415">
        <v>2</v>
      </c>
      <c r="S415">
        <v>5.7</v>
      </c>
      <c r="T415" t="s">
        <v>10</v>
      </c>
      <c r="U415">
        <v>7.1</v>
      </c>
      <c r="V415">
        <v>6.7</v>
      </c>
      <c r="W415">
        <v>3.4</v>
      </c>
      <c r="X415">
        <v>2.5</v>
      </c>
      <c r="Y415">
        <v>1</v>
      </c>
      <c r="Z415">
        <v>3.4</v>
      </c>
      <c r="AA415">
        <v>6.8</v>
      </c>
      <c r="AB415" t="s">
        <v>11</v>
      </c>
      <c r="AC415" t="s">
        <v>10</v>
      </c>
      <c r="AD415" t="s">
        <v>12</v>
      </c>
      <c r="AE415" t="str">
        <f t="shared" si="18"/>
        <v>25-34</v>
      </c>
      <c r="AF415" t="str">
        <f t="shared" si="19"/>
        <v>Very Low Usage</v>
      </c>
      <c r="AG415" t="str">
        <f t="shared" si="20"/>
        <v>Moderate Loneliness</v>
      </c>
    </row>
    <row r="416" spans="1:33" x14ac:dyDescent="0.3">
      <c r="A416" t="s">
        <v>460</v>
      </c>
      <c r="B416">
        <v>15</v>
      </c>
      <c r="C416" t="s">
        <v>32</v>
      </c>
      <c r="D416" t="s">
        <v>14</v>
      </c>
      <c r="E416" t="s">
        <v>15</v>
      </c>
      <c r="F416" t="s">
        <v>16</v>
      </c>
      <c r="G416" t="s">
        <v>17</v>
      </c>
      <c r="H416" t="s">
        <v>28</v>
      </c>
      <c r="I416" t="s">
        <v>19</v>
      </c>
      <c r="J416" t="s">
        <v>8</v>
      </c>
      <c r="K416" t="s">
        <v>25</v>
      </c>
      <c r="L416">
        <v>1.45</v>
      </c>
      <c r="M416">
        <v>3.67</v>
      </c>
      <c r="N416">
        <v>3.2</v>
      </c>
      <c r="O416">
        <v>5.75</v>
      </c>
      <c r="P416">
        <v>6</v>
      </c>
      <c r="Q416">
        <v>4.0999999999999996</v>
      </c>
      <c r="R416">
        <v>4.0999999999999996</v>
      </c>
      <c r="S416">
        <v>4.2</v>
      </c>
      <c r="T416" t="s">
        <v>10</v>
      </c>
      <c r="U416">
        <v>6.3</v>
      </c>
      <c r="V416">
        <v>5.2</v>
      </c>
      <c r="W416">
        <v>3.2</v>
      </c>
      <c r="X416">
        <v>3.9</v>
      </c>
      <c r="Y416">
        <v>3.3</v>
      </c>
      <c r="Z416">
        <v>4.7</v>
      </c>
      <c r="AA416">
        <v>7.2</v>
      </c>
      <c r="AB416" t="s">
        <v>21</v>
      </c>
      <c r="AC416" t="s">
        <v>10</v>
      </c>
      <c r="AD416" t="s">
        <v>12</v>
      </c>
      <c r="AE416" t="str">
        <f t="shared" si="18"/>
        <v>15-19</v>
      </c>
      <c r="AF416" t="str">
        <f t="shared" si="19"/>
        <v>Low Usage</v>
      </c>
      <c r="AG416" t="str">
        <f t="shared" si="20"/>
        <v>Moderate Loneliness</v>
      </c>
    </row>
    <row r="417" spans="1:33" x14ac:dyDescent="0.3">
      <c r="A417" t="s">
        <v>461</v>
      </c>
      <c r="B417">
        <v>30</v>
      </c>
      <c r="C417" t="s">
        <v>1</v>
      </c>
      <c r="D417" t="s">
        <v>2</v>
      </c>
      <c r="E417" t="s">
        <v>15</v>
      </c>
      <c r="F417" t="s">
        <v>45</v>
      </c>
      <c r="G417" t="s">
        <v>17</v>
      </c>
      <c r="H417" t="s">
        <v>33</v>
      </c>
      <c r="I417" t="s">
        <v>19</v>
      </c>
      <c r="J417" t="s">
        <v>20</v>
      </c>
      <c r="K417" t="s">
        <v>53</v>
      </c>
      <c r="L417">
        <v>1.26</v>
      </c>
      <c r="M417">
        <v>6.29</v>
      </c>
      <c r="N417">
        <v>0</v>
      </c>
      <c r="O417">
        <v>2.68</v>
      </c>
      <c r="P417">
        <v>6</v>
      </c>
      <c r="Q417">
        <v>1.8</v>
      </c>
      <c r="R417">
        <v>2.2000000000000002</v>
      </c>
      <c r="S417">
        <v>7.3</v>
      </c>
      <c r="T417" t="s">
        <v>39</v>
      </c>
      <c r="U417">
        <v>8.3000000000000007</v>
      </c>
      <c r="V417">
        <v>9.3000000000000007</v>
      </c>
      <c r="W417">
        <v>1.7</v>
      </c>
      <c r="X417">
        <v>3.2</v>
      </c>
      <c r="Y417">
        <v>2.7</v>
      </c>
      <c r="Z417">
        <v>2.2000000000000002</v>
      </c>
      <c r="AA417">
        <v>6.5</v>
      </c>
      <c r="AB417" t="s">
        <v>11</v>
      </c>
      <c r="AC417" t="s">
        <v>10</v>
      </c>
      <c r="AD417" t="s">
        <v>12</v>
      </c>
      <c r="AE417" t="str">
        <f t="shared" si="18"/>
        <v>25-34</v>
      </c>
      <c r="AF417" t="str">
        <f t="shared" si="19"/>
        <v>Low Usage</v>
      </c>
      <c r="AG417" t="str">
        <f t="shared" si="20"/>
        <v>Low Loneliness</v>
      </c>
    </row>
    <row r="418" spans="1:33" x14ac:dyDescent="0.3">
      <c r="A418" t="s">
        <v>462</v>
      </c>
      <c r="B418">
        <v>26</v>
      </c>
      <c r="C418" t="s">
        <v>32</v>
      </c>
      <c r="D418" t="s">
        <v>47</v>
      </c>
      <c r="E418" t="s">
        <v>37</v>
      </c>
      <c r="F418" t="s">
        <v>12</v>
      </c>
      <c r="G418" t="s">
        <v>5</v>
      </c>
      <c r="H418" t="s">
        <v>18</v>
      </c>
      <c r="I418" t="s">
        <v>29</v>
      </c>
      <c r="J418" t="s">
        <v>8</v>
      </c>
      <c r="K418" t="s">
        <v>30</v>
      </c>
      <c r="L418">
        <v>0.99</v>
      </c>
      <c r="M418">
        <v>3.85</v>
      </c>
      <c r="N418">
        <v>2.34</v>
      </c>
      <c r="O418">
        <v>3.97</v>
      </c>
      <c r="P418">
        <v>3</v>
      </c>
      <c r="Q418">
        <v>4.4000000000000004</v>
      </c>
      <c r="R418">
        <v>5.2</v>
      </c>
      <c r="S418">
        <v>2.2000000000000002</v>
      </c>
      <c r="T418" t="s">
        <v>10</v>
      </c>
      <c r="U418">
        <v>6.5</v>
      </c>
      <c r="V418">
        <v>4.3</v>
      </c>
      <c r="W418">
        <v>2.8</v>
      </c>
      <c r="X418">
        <v>2.5</v>
      </c>
      <c r="Y418">
        <v>4.4000000000000004</v>
      </c>
      <c r="Z418">
        <v>3.4</v>
      </c>
      <c r="AA418">
        <v>7.5</v>
      </c>
      <c r="AB418" t="s">
        <v>11</v>
      </c>
      <c r="AC418" t="s">
        <v>10</v>
      </c>
      <c r="AD418" t="s">
        <v>22</v>
      </c>
      <c r="AE418" t="str">
        <f t="shared" si="18"/>
        <v>25-34</v>
      </c>
      <c r="AF418" t="str">
        <f t="shared" si="19"/>
        <v>Very Low Usage</v>
      </c>
      <c r="AG418" t="str">
        <f t="shared" si="20"/>
        <v>Moderate Loneliness</v>
      </c>
    </row>
    <row r="419" spans="1:33" x14ac:dyDescent="0.3">
      <c r="A419" t="s">
        <v>463</v>
      </c>
      <c r="B419">
        <v>41</v>
      </c>
      <c r="C419" t="s">
        <v>1</v>
      </c>
      <c r="D419" t="s">
        <v>41</v>
      </c>
      <c r="E419" t="s">
        <v>59</v>
      </c>
      <c r="F419" t="s">
        <v>12</v>
      </c>
      <c r="G419" t="s">
        <v>5</v>
      </c>
      <c r="H419" t="s">
        <v>28</v>
      </c>
      <c r="I419" t="s">
        <v>7</v>
      </c>
      <c r="J419" t="s">
        <v>51</v>
      </c>
      <c r="K419" t="s">
        <v>1079</v>
      </c>
      <c r="L419">
        <v>2.68</v>
      </c>
      <c r="M419">
        <v>2.81</v>
      </c>
      <c r="N419">
        <v>3.04</v>
      </c>
      <c r="O419">
        <v>8.31</v>
      </c>
      <c r="P419">
        <v>5</v>
      </c>
      <c r="Q419">
        <v>5.3</v>
      </c>
      <c r="R419">
        <v>4.7</v>
      </c>
      <c r="S419">
        <v>3.9</v>
      </c>
      <c r="T419" t="s">
        <v>10</v>
      </c>
      <c r="U419">
        <v>4.8</v>
      </c>
      <c r="V419">
        <v>7.6</v>
      </c>
      <c r="W419">
        <v>5.2</v>
      </c>
      <c r="X419">
        <v>5.4</v>
      </c>
      <c r="Y419">
        <v>4.0999999999999996</v>
      </c>
      <c r="Z419">
        <v>4.5999999999999996</v>
      </c>
      <c r="AA419">
        <v>4.2</v>
      </c>
      <c r="AB419" t="s">
        <v>21</v>
      </c>
      <c r="AC419" t="s">
        <v>10</v>
      </c>
      <c r="AD419" t="s">
        <v>45</v>
      </c>
      <c r="AE419" t="str">
        <f t="shared" si="18"/>
        <v>35-44</v>
      </c>
      <c r="AF419" t="str">
        <f t="shared" si="19"/>
        <v>Moderate Usage</v>
      </c>
      <c r="AG419" t="str">
        <f t="shared" si="20"/>
        <v>Moderate Loneliness</v>
      </c>
    </row>
    <row r="420" spans="1:33" x14ac:dyDescent="0.3">
      <c r="A420" t="s">
        <v>464</v>
      </c>
      <c r="B420">
        <v>33</v>
      </c>
      <c r="C420" t="s">
        <v>1</v>
      </c>
      <c r="D420" t="s">
        <v>41</v>
      </c>
      <c r="E420" t="s">
        <v>15</v>
      </c>
      <c r="F420" t="s">
        <v>16</v>
      </c>
      <c r="G420" t="s">
        <v>5</v>
      </c>
      <c r="H420" t="s">
        <v>33</v>
      </c>
      <c r="I420" t="s">
        <v>19</v>
      </c>
      <c r="J420" t="s">
        <v>20</v>
      </c>
      <c r="K420" t="s">
        <v>1079</v>
      </c>
      <c r="L420">
        <v>2.76</v>
      </c>
      <c r="M420">
        <v>2.38</v>
      </c>
      <c r="N420">
        <v>5.54</v>
      </c>
      <c r="O420">
        <v>8.68</v>
      </c>
      <c r="P420">
        <v>2</v>
      </c>
      <c r="Q420">
        <v>9.4</v>
      </c>
      <c r="R420">
        <v>5.8</v>
      </c>
      <c r="S420">
        <v>4</v>
      </c>
      <c r="T420" t="s">
        <v>10</v>
      </c>
      <c r="U420">
        <v>7.5</v>
      </c>
      <c r="V420">
        <v>4.5</v>
      </c>
      <c r="W420">
        <v>1.4</v>
      </c>
      <c r="X420">
        <v>6.2</v>
      </c>
      <c r="Y420">
        <v>5.2</v>
      </c>
      <c r="Z420">
        <v>6.6</v>
      </c>
      <c r="AA420">
        <v>3.5</v>
      </c>
      <c r="AB420" t="s">
        <v>44</v>
      </c>
      <c r="AC420" t="s">
        <v>10</v>
      </c>
      <c r="AD420" t="s">
        <v>45</v>
      </c>
      <c r="AE420" t="str">
        <f t="shared" si="18"/>
        <v>25-34</v>
      </c>
      <c r="AF420" t="str">
        <f t="shared" si="19"/>
        <v>Moderate Usage</v>
      </c>
      <c r="AG420" t="str">
        <f t="shared" si="20"/>
        <v>High Loneliness</v>
      </c>
    </row>
    <row r="421" spans="1:33" x14ac:dyDescent="0.3">
      <c r="A421" t="s">
        <v>465</v>
      </c>
      <c r="B421">
        <v>36</v>
      </c>
      <c r="C421" t="s">
        <v>32</v>
      </c>
      <c r="D421" t="s">
        <v>2</v>
      </c>
      <c r="E421" t="s">
        <v>15</v>
      </c>
      <c r="F421" t="s">
        <v>45</v>
      </c>
      <c r="G421" t="s">
        <v>17</v>
      </c>
      <c r="H421" t="s">
        <v>28</v>
      </c>
      <c r="I421" t="s">
        <v>19</v>
      </c>
      <c r="J421" t="s">
        <v>48</v>
      </c>
      <c r="K421" t="s">
        <v>30</v>
      </c>
      <c r="L421">
        <v>0</v>
      </c>
      <c r="M421">
        <v>5.53</v>
      </c>
      <c r="N421">
        <v>0</v>
      </c>
      <c r="O421">
        <v>3.27</v>
      </c>
      <c r="P421">
        <v>8</v>
      </c>
      <c r="Q421">
        <v>1</v>
      </c>
      <c r="R421">
        <v>1.4</v>
      </c>
      <c r="S421">
        <v>9.8000000000000007</v>
      </c>
      <c r="T421" t="s">
        <v>10</v>
      </c>
      <c r="U421">
        <v>9.1</v>
      </c>
      <c r="V421">
        <v>10</v>
      </c>
      <c r="W421">
        <v>4.7</v>
      </c>
      <c r="X421">
        <v>3.4</v>
      </c>
      <c r="Y421">
        <v>2.2999999999999998</v>
      </c>
      <c r="Z421">
        <v>1</v>
      </c>
      <c r="AA421">
        <v>10</v>
      </c>
      <c r="AB421" t="s">
        <v>11</v>
      </c>
      <c r="AC421" t="s">
        <v>10</v>
      </c>
      <c r="AD421" t="s">
        <v>12</v>
      </c>
      <c r="AE421" t="str">
        <f t="shared" si="18"/>
        <v>35-44</v>
      </c>
      <c r="AF421" t="str">
        <f t="shared" si="19"/>
        <v>Very Low Usage</v>
      </c>
      <c r="AG421" t="str">
        <f t="shared" si="20"/>
        <v>Low Loneliness</v>
      </c>
    </row>
    <row r="422" spans="1:33" x14ac:dyDescent="0.3">
      <c r="A422" t="s">
        <v>466</v>
      </c>
      <c r="B422">
        <v>37</v>
      </c>
      <c r="C422" t="s">
        <v>1</v>
      </c>
      <c r="D422" t="s">
        <v>2</v>
      </c>
      <c r="E422" t="s">
        <v>15</v>
      </c>
      <c r="F422" t="s">
        <v>4</v>
      </c>
      <c r="G422" t="s">
        <v>5</v>
      </c>
      <c r="H422" t="s">
        <v>28</v>
      </c>
      <c r="I422" t="s">
        <v>24</v>
      </c>
      <c r="J422" t="s">
        <v>51</v>
      </c>
      <c r="K422" t="s">
        <v>25</v>
      </c>
      <c r="L422">
        <v>0.17</v>
      </c>
      <c r="M422">
        <v>4.21</v>
      </c>
      <c r="N422">
        <v>0.25</v>
      </c>
      <c r="O422">
        <v>1.75</v>
      </c>
      <c r="P422">
        <v>4</v>
      </c>
      <c r="Q422">
        <v>4.5</v>
      </c>
      <c r="R422">
        <v>1</v>
      </c>
      <c r="S422">
        <v>7.9</v>
      </c>
      <c r="T422" t="s">
        <v>10</v>
      </c>
      <c r="U422">
        <v>5.8</v>
      </c>
      <c r="V422">
        <v>7.4</v>
      </c>
      <c r="W422">
        <v>6.7</v>
      </c>
      <c r="X422">
        <v>2.4</v>
      </c>
      <c r="Y422">
        <v>2</v>
      </c>
      <c r="Z422">
        <v>4.7</v>
      </c>
      <c r="AA422">
        <v>8.6</v>
      </c>
      <c r="AB422" t="s">
        <v>21</v>
      </c>
      <c r="AC422" t="s">
        <v>10</v>
      </c>
      <c r="AD422" t="s">
        <v>12</v>
      </c>
      <c r="AE422" t="str">
        <f t="shared" si="18"/>
        <v>35-44</v>
      </c>
      <c r="AF422" t="str">
        <f t="shared" si="19"/>
        <v>Very Low Usage</v>
      </c>
      <c r="AG422" t="str">
        <f t="shared" si="20"/>
        <v>Moderate Loneliness</v>
      </c>
    </row>
    <row r="423" spans="1:33" x14ac:dyDescent="0.3">
      <c r="A423" t="s">
        <v>467</v>
      </c>
      <c r="B423">
        <v>36</v>
      </c>
      <c r="C423" t="s">
        <v>1</v>
      </c>
      <c r="D423" t="s">
        <v>2</v>
      </c>
      <c r="E423" t="s">
        <v>37</v>
      </c>
      <c r="F423" t="s">
        <v>12</v>
      </c>
      <c r="G423" t="s">
        <v>17</v>
      </c>
      <c r="H423" t="s">
        <v>33</v>
      </c>
      <c r="I423" t="s">
        <v>24</v>
      </c>
      <c r="J423" t="s">
        <v>8</v>
      </c>
      <c r="K423" t="s">
        <v>30</v>
      </c>
      <c r="L423">
        <v>2.5299999999999998</v>
      </c>
      <c r="M423">
        <v>4.13</v>
      </c>
      <c r="N423">
        <v>2.4500000000000002</v>
      </c>
      <c r="O423">
        <v>8.33</v>
      </c>
      <c r="P423">
        <v>1</v>
      </c>
      <c r="Q423">
        <v>6.9</v>
      </c>
      <c r="R423">
        <v>6.2</v>
      </c>
      <c r="S423">
        <v>5.9</v>
      </c>
      <c r="T423" t="s">
        <v>10</v>
      </c>
      <c r="U423">
        <v>7.1</v>
      </c>
      <c r="V423">
        <v>3.7</v>
      </c>
      <c r="W423">
        <v>4.8</v>
      </c>
      <c r="X423">
        <v>5.3</v>
      </c>
      <c r="Y423">
        <v>5.0999999999999996</v>
      </c>
      <c r="Z423">
        <v>8.1999999999999993</v>
      </c>
      <c r="AA423">
        <v>5.4</v>
      </c>
      <c r="AB423" t="s">
        <v>44</v>
      </c>
      <c r="AC423" t="s">
        <v>10</v>
      </c>
      <c r="AD423" t="s">
        <v>45</v>
      </c>
      <c r="AE423" t="str">
        <f t="shared" si="18"/>
        <v>35-44</v>
      </c>
      <c r="AF423" t="str">
        <f t="shared" si="19"/>
        <v>Moderate Usage</v>
      </c>
      <c r="AG423" t="str">
        <f t="shared" si="20"/>
        <v>High Loneliness</v>
      </c>
    </row>
    <row r="424" spans="1:33" x14ac:dyDescent="0.3">
      <c r="A424" t="s">
        <v>468</v>
      </c>
      <c r="B424">
        <v>28</v>
      </c>
      <c r="C424" t="s">
        <v>32</v>
      </c>
      <c r="D424" t="s">
        <v>47</v>
      </c>
      <c r="E424" t="s">
        <v>15</v>
      </c>
      <c r="F424" t="s">
        <v>12</v>
      </c>
      <c r="G424" t="s">
        <v>5</v>
      </c>
      <c r="H424" t="s">
        <v>33</v>
      </c>
      <c r="I424" t="s">
        <v>35</v>
      </c>
      <c r="J424" t="s">
        <v>8</v>
      </c>
      <c r="K424" t="s">
        <v>25</v>
      </c>
      <c r="L424">
        <v>2.12</v>
      </c>
      <c r="M424">
        <v>4.58</v>
      </c>
      <c r="N424">
        <v>3.39</v>
      </c>
      <c r="O424">
        <v>4.95</v>
      </c>
      <c r="P424">
        <v>4</v>
      </c>
      <c r="Q424">
        <v>6.3</v>
      </c>
      <c r="R424">
        <v>3.7</v>
      </c>
      <c r="S424">
        <v>4.7</v>
      </c>
      <c r="T424" t="s">
        <v>10</v>
      </c>
      <c r="U424">
        <v>8.1999999999999993</v>
      </c>
      <c r="V424">
        <v>5.8</v>
      </c>
      <c r="W424">
        <v>3</v>
      </c>
      <c r="X424">
        <v>5.9</v>
      </c>
      <c r="Y424">
        <v>6.3</v>
      </c>
      <c r="Z424">
        <v>5.3</v>
      </c>
      <c r="AA424">
        <v>3.7</v>
      </c>
      <c r="AB424" t="s">
        <v>21</v>
      </c>
      <c r="AC424" t="s">
        <v>10</v>
      </c>
      <c r="AD424" t="s">
        <v>45</v>
      </c>
      <c r="AE424" t="str">
        <f t="shared" si="18"/>
        <v>25-34</v>
      </c>
      <c r="AF424" t="str">
        <f t="shared" si="19"/>
        <v>Low Usage</v>
      </c>
      <c r="AG424" t="str">
        <f t="shared" si="20"/>
        <v>High Loneliness</v>
      </c>
    </row>
    <row r="425" spans="1:33" x14ac:dyDescent="0.3">
      <c r="A425" t="s">
        <v>469</v>
      </c>
      <c r="B425">
        <v>44</v>
      </c>
      <c r="C425" t="s">
        <v>1</v>
      </c>
      <c r="D425" t="s">
        <v>14</v>
      </c>
      <c r="E425" t="s">
        <v>3</v>
      </c>
      <c r="F425" t="s">
        <v>4</v>
      </c>
      <c r="G425" t="s">
        <v>5</v>
      </c>
      <c r="H425" t="s">
        <v>18</v>
      </c>
      <c r="I425" t="s">
        <v>19</v>
      </c>
      <c r="J425" t="s">
        <v>51</v>
      </c>
      <c r="K425" t="s">
        <v>53</v>
      </c>
      <c r="L425">
        <v>0.74</v>
      </c>
      <c r="M425">
        <v>4.79</v>
      </c>
      <c r="N425">
        <v>2.67</v>
      </c>
      <c r="O425">
        <v>5.0199999999999996</v>
      </c>
      <c r="P425">
        <v>4</v>
      </c>
      <c r="Q425">
        <v>6.1</v>
      </c>
      <c r="R425">
        <v>5.8</v>
      </c>
      <c r="S425">
        <v>6.8</v>
      </c>
      <c r="T425" t="s">
        <v>10</v>
      </c>
      <c r="U425">
        <v>6.8</v>
      </c>
      <c r="V425">
        <v>7.7</v>
      </c>
      <c r="W425">
        <v>4.7</v>
      </c>
      <c r="X425">
        <v>5.2</v>
      </c>
      <c r="Y425">
        <v>3.7</v>
      </c>
      <c r="Z425">
        <v>6</v>
      </c>
      <c r="AA425">
        <v>4.8</v>
      </c>
      <c r="AB425" t="s">
        <v>21</v>
      </c>
      <c r="AC425" t="s">
        <v>10</v>
      </c>
      <c r="AD425" t="s">
        <v>22</v>
      </c>
      <c r="AE425" t="str">
        <f t="shared" si="18"/>
        <v>35-44</v>
      </c>
      <c r="AF425" t="str">
        <f t="shared" si="19"/>
        <v>Very Low Usage</v>
      </c>
      <c r="AG425" t="str">
        <f t="shared" si="20"/>
        <v>High Loneliness</v>
      </c>
    </row>
    <row r="426" spans="1:33" x14ac:dyDescent="0.3">
      <c r="A426" t="s">
        <v>470</v>
      </c>
      <c r="B426">
        <v>20</v>
      </c>
      <c r="C426" t="s">
        <v>32</v>
      </c>
      <c r="D426" t="s">
        <v>14</v>
      </c>
      <c r="E426" t="s">
        <v>37</v>
      </c>
      <c r="F426" t="s">
        <v>4</v>
      </c>
      <c r="G426" t="s">
        <v>17</v>
      </c>
      <c r="H426" t="s">
        <v>6</v>
      </c>
      <c r="I426" t="s">
        <v>19</v>
      </c>
      <c r="J426" t="s">
        <v>8</v>
      </c>
      <c r="K426" t="s">
        <v>1079</v>
      </c>
      <c r="L426">
        <v>4.18</v>
      </c>
      <c r="M426">
        <v>3.43</v>
      </c>
      <c r="N426">
        <v>2.3199999999999998</v>
      </c>
      <c r="O426">
        <v>7.21</v>
      </c>
      <c r="P426">
        <v>1</v>
      </c>
      <c r="Q426">
        <v>8.9</v>
      </c>
      <c r="R426">
        <v>8.1999999999999993</v>
      </c>
      <c r="S426">
        <v>2.4</v>
      </c>
      <c r="T426" t="s">
        <v>39</v>
      </c>
      <c r="U426">
        <v>6.2</v>
      </c>
      <c r="V426">
        <v>6.8</v>
      </c>
      <c r="W426">
        <v>1.2</v>
      </c>
      <c r="X426">
        <v>8.1</v>
      </c>
      <c r="Y426">
        <v>5.6</v>
      </c>
      <c r="Z426">
        <v>5.4</v>
      </c>
      <c r="AA426">
        <v>3.8</v>
      </c>
      <c r="AB426" t="s">
        <v>44</v>
      </c>
      <c r="AC426" t="s">
        <v>10</v>
      </c>
      <c r="AD426" t="s">
        <v>45</v>
      </c>
      <c r="AE426" t="str">
        <f t="shared" si="18"/>
        <v>20-24</v>
      </c>
      <c r="AF426" t="str">
        <f t="shared" si="19"/>
        <v>High Usage</v>
      </c>
      <c r="AG426" t="str">
        <f t="shared" si="20"/>
        <v>High Loneliness</v>
      </c>
    </row>
    <row r="427" spans="1:33" x14ac:dyDescent="0.3">
      <c r="A427" t="s">
        <v>471</v>
      </c>
      <c r="B427">
        <v>20</v>
      </c>
      <c r="C427" t="s">
        <v>1</v>
      </c>
      <c r="D427" t="s">
        <v>47</v>
      </c>
      <c r="E427" t="s">
        <v>37</v>
      </c>
      <c r="F427" t="s">
        <v>12</v>
      </c>
      <c r="G427" t="s">
        <v>17</v>
      </c>
      <c r="H427" t="s">
        <v>18</v>
      </c>
      <c r="I427" t="s">
        <v>35</v>
      </c>
      <c r="J427" t="s">
        <v>8</v>
      </c>
      <c r="K427" t="s">
        <v>1079</v>
      </c>
      <c r="L427">
        <v>0.59</v>
      </c>
      <c r="M427">
        <v>4.1900000000000004</v>
      </c>
      <c r="N427">
        <v>1.59</v>
      </c>
      <c r="O427">
        <v>5.53</v>
      </c>
      <c r="P427">
        <v>5</v>
      </c>
      <c r="Q427">
        <v>2.8</v>
      </c>
      <c r="R427">
        <v>1.6</v>
      </c>
      <c r="S427">
        <v>8.4</v>
      </c>
      <c r="T427" t="s">
        <v>10</v>
      </c>
      <c r="U427">
        <v>7.4</v>
      </c>
      <c r="V427">
        <v>8.9</v>
      </c>
      <c r="W427">
        <v>4.7</v>
      </c>
      <c r="X427">
        <v>4.8</v>
      </c>
      <c r="Y427">
        <v>1</v>
      </c>
      <c r="Z427">
        <v>3.1</v>
      </c>
      <c r="AA427">
        <v>8.5</v>
      </c>
      <c r="AB427" t="s">
        <v>11</v>
      </c>
      <c r="AC427" t="s">
        <v>10</v>
      </c>
      <c r="AD427" t="s">
        <v>12</v>
      </c>
      <c r="AE427" t="str">
        <f t="shared" si="18"/>
        <v>20-24</v>
      </c>
      <c r="AF427" t="str">
        <f t="shared" si="19"/>
        <v>Very Low Usage</v>
      </c>
      <c r="AG427" t="str">
        <f t="shared" si="20"/>
        <v>Low Loneliness</v>
      </c>
    </row>
    <row r="428" spans="1:33" x14ac:dyDescent="0.3">
      <c r="A428" t="s">
        <v>472</v>
      </c>
      <c r="B428">
        <v>27</v>
      </c>
      <c r="C428" t="s">
        <v>1</v>
      </c>
      <c r="D428" t="s">
        <v>14</v>
      </c>
      <c r="E428" t="s">
        <v>59</v>
      </c>
      <c r="F428" t="s">
        <v>4</v>
      </c>
      <c r="G428" t="s">
        <v>5</v>
      </c>
      <c r="H428" t="s">
        <v>33</v>
      </c>
      <c r="I428" t="s">
        <v>24</v>
      </c>
      <c r="J428" t="s">
        <v>20</v>
      </c>
      <c r="K428" t="s">
        <v>53</v>
      </c>
      <c r="L428">
        <v>1.22</v>
      </c>
      <c r="M428">
        <v>4.2</v>
      </c>
      <c r="N428">
        <v>3.32</v>
      </c>
      <c r="O428">
        <v>8.2200000000000006</v>
      </c>
      <c r="P428">
        <v>7</v>
      </c>
      <c r="Q428">
        <v>3.5</v>
      </c>
      <c r="R428">
        <v>3.6</v>
      </c>
      <c r="S428">
        <v>7.7</v>
      </c>
      <c r="T428" t="s">
        <v>39</v>
      </c>
      <c r="U428">
        <v>8</v>
      </c>
      <c r="V428">
        <v>6.2</v>
      </c>
      <c r="W428">
        <v>2.1</v>
      </c>
      <c r="X428">
        <v>2.2999999999999998</v>
      </c>
      <c r="Y428">
        <v>1.4</v>
      </c>
      <c r="Z428">
        <v>3.1</v>
      </c>
      <c r="AA428">
        <v>8.9</v>
      </c>
      <c r="AB428" t="s">
        <v>11</v>
      </c>
      <c r="AC428" t="s">
        <v>10</v>
      </c>
      <c r="AD428" t="s">
        <v>12</v>
      </c>
      <c r="AE428" t="str">
        <f t="shared" si="18"/>
        <v>25-34</v>
      </c>
      <c r="AF428" t="str">
        <f t="shared" si="19"/>
        <v>Low Usage</v>
      </c>
      <c r="AG428" t="str">
        <f t="shared" si="20"/>
        <v>Moderate Loneliness</v>
      </c>
    </row>
    <row r="429" spans="1:33" x14ac:dyDescent="0.3">
      <c r="A429" t="s">
        <v>473</v>
      </c>
      <c r="B429">
        <v>33</v>
      </c>
      <c r="C429" t="s">
        <v>1</v>
      </c>
      <c r="D429" t="s">
        <v>2</v>
      </c>
      <c r="E429" t="s">
        <v>15</v>
      </c>
      <c r="F429" t="s">
        <v>12</v>
      </c>
      <c r="G429" t="s">
        <v>5</v>
      </c>
      <c r="H429" t="s">
        <v>18</v>
      </c>
      <c r="I429" t="s">
        <v>29</v>
      </c>
      <c r="J429" t="s">
        <v>20</v>
      </c>
      <c r="K429" t="s">
        <v>30</v>
      </c>
      <c r="L429">
        <v>0</v>
      </c>
      <c r="M429">
        <v>6.39</v>
      </c>
      <c r="N429">
        <v>1.92</v>
      </c>
      <c r="O429">
        <v>1.57</v>
      </c>
      <c r="P429">
        <v>5</v>
      </c>
      <c r="Q429">
        <v>4.2</v>
      </c>
      <c r="R429">
        <v>1</v>
      </c>
      <c r="S429">
        <v>8</v>
      </c>
      <c r="T429" t="s">
        <v>10</v>
      </c>
      <c r="U429">
        <v>8.5</v>
      </c>
      <c r="V429">
        <v>6.9</v>
      </c>
      <c r="W429">
        <v>5.6</v>
      </c>
      <c r="X429">
        <v>4.9000000000000004</v>
      </c>
      <c r="Y429">
        <v>1</v>
      </c>
      <c r="Z429">
        <v>4.0999999999999996</v>
      </c>
      <c r="AA429">
        <v>7</v>
      </c>
      <c r="AB429" t="s">
        <v>21</v>
      </c>
      <c r="AC429" t="s">
        <v>10</v>
      </c>
      <c r="AD429" t="s">
        <v>12</v>
      </c>
      <c r="AE429" t="str">
        <f t="shared" si="18"/>
        <v>25-34</v>
      </c>
      <c r="AF429" t="str">
        <f t="shared" si="19"/>
        <v>Very Low Usage</v>
      </c>
      <c r="AG429" t="str">
        <f t="shared" si="20"/>
        <v>Moderate Loneliness</v>
      </c>
    </row>
    <row r="430" spans="1:33" x14ac:dyDescent="0.3">
      <c r="A430" t="s">
        <v>474</v>
      </c>
      <c r="B430">
        <v>36</v>
      </c>
      <c r="C430" t="s">
        <v>1</v>
      </c>
      <c r="D430" t="s">
        <v>2</v>
      </c>
      <c r="E430" t="s">
        <v>15</v>
      </c>
      <c r="F430" t="s">
        <v>16</v>
      </c>
      <c r="G430" t="s">
        <v>17</v>
      </c>
      <c r="H430" t="s">
        <v>6</v>
      </c>
      <c r="I430" t="s">
        <v>29</v>
      </c>
      <c r="J430" t="s">
        <v>8</v>
      </c>
      <c r="K430" t="s">
        <v>30</v>
      </c>
      <c r="L430">
        <v>0</v>
      </c>
      <c r="M430">
        <v>6.32</v>
      </c>
      <c r="N430">
        <v>0.65</v>
      </c>
      <c r="O430">
        <v>3.52</v>
      </c>
      <c r="P430">
        <v>4</v>
      </c>
      <c r="Q430">
        <v>1</v>
      </c>
      <c r="R430">
        <v>1</v>
      </c>
      <c r="S430">
        <v>9.5</v>
      </c>
      <c r="T430" t="s">
        <v>10</v>
      </c>
      <c r="U430">
        <v>7.3</v>
      </c>
      <c r="V430">
        <v>8.3000000000000007</v>
      </c>
      <c r="W430">
        <v>6.3</v>
      </c>
      <c r="X430">
        <v>2.7</v>
      </c>
      <c r="Y430">
        <v>1</v>
      </c>
      <c r="Z430">
        <v>1</v>
      </c>
      <c r="AA430">
        <v>8.6999999999999993</v>
      </c>
      <c r="AB430" t="s">
        <v>11</v>
      </c>
      <c r="AC430" t="s">
        <v>10</v>
      </c>
      <c r="AD430" t="s">
        <v>12</v>
      </c>
      <c r="AE430" t="str">
        <f t="shared" si="18"/>
        <v>35-44</v>
      </c>
      <c r="AF430" t="str">
        <f t="shared" si="19"/>
        <v>Very Low Usage</v>
      </c>
      <c r="AG430" t="str">
        <f t="shared" si="20"/>
        <v>Low Loneliness</v>
      </c>
    </row>
    <row r="431" spans="1:33" x14ac:dyDescent="0.3">
      <c r="A431" t="s">
        <v>475</v>
      </c>
      <c r="B431">
        <v>22</v>
      </c>
      <c r="C431" t="s">
        <v>32</v>
      </c>
      <c r="D431" t="s">
        <v>14</v>
      </c>
      <c r="E431" t="s">
        <v>15</v>
      </c>
      <c r="F431" t="s">
        <v>4</v>
      </c>
      <c r="G431" t="s">
        <v>66</v>
      </c>
      <c r="H431" t="s">
        <v>6</v>
      </c>
      <c r="I431" t="s">
        <v>7</v>
      </c>
      <c r="J431" t="s">
        <v>8</v>
      </c>
      <c r="K431" t="s">
        <v>30</v>
      </c>
      <c r="L431">
        <v>2.62</v>
      </c>
      <c r="M431">
        <v>2.38</v>
      </c>
      <c r="N431">
        <v>2.86</v>
      </c>
      <c r="O431">
        <v>8.5500000000000007</v>
      </c>
      <c r="P431">
        <v>1</v>
      </c>
      <c r="Q431">
        <v>3.9</v>
      </c>
      <c r="R431">
        <v>3.6</v>
      </c>
      <c r="S431">
        <v>6.1</v>
      </c>
      <c r="T431" t="s">
        <v>10</v>
      </c>
      <c r="U431">
        <v>6.3</v>
      </c>
      <c r="V431">
        <v>6.1</v>
      </c>
      <c r="W431">
        <v>2.8</v>
      </c>
      <c r="X431">
        <v>3.8</v>
      </c>
      <c r="Y431">
        <v>7.2</v>
      </c>
      <c r="Z431">
        <v>4.9000000000000004</v>
      </c>
      <c r="AA431">
        <v>5.0999999999999996</v>
      </c>
      <c r="AB431" t="s">
        <v>21</v>
      </c>
      <c r="AC431" t="s">
        <v>39</v>
      </c>
      <c r="AD431" t="s">
        <v>12</v>
      </c>
      <c r="AE431" t="str">
        <f t="shared" si="18"/>
        <v>20-24</v>
      </c>
      <c r="AF431" t="str">
        <f t="shared" si="19"/>
        <v>Moderate Usage</v>
      </c>
      <c r="AG431" t="str">
        <f t="shared" si="20"/>
        <v>Moderate Loneliness</v>
      </c>
    </row>
    <row r="432" spans="1:33" x14ac:dyDescent="0.3">
      <c r="A432" t="s">
        <v>476</v>
      </c>
      <c r="B432">
        <v>41</v>
      </c>
      <c r="C432" t="s">
        <v>1</v>
      </c>
      <c r="D432" t="s">
        <v>14</v>
      </c>
      <c r="E432" t="s">
        <v>37</v>
      </c>
      <c r="F432" t="s">
        <v>12</v>
      </c>
      <c r="G432" t="s">
        <v>5</v>
      </c>
      <c r="H432" t="s">
        <v>28</v>
      </c>
      <c r="I432" t="s">
        <v>19</v>
      </c>
      <c r="J432" t="s">
        <v>8</v>
      </c>
      <c r="K432" t="s">
        <v>25</v>
      </c>
      <c r="L432">
        <v>0</v>
      </c>
      <c r="M432">
        <v>4.79</v>
      </c>
      <c r="N432">
        <v>2.39</v>
      </c>
      <c r="O432">
        <v>4.72</v>
      </c>
      <c r="P432">
        <v>8</v>
      </c>
      <c r="Q432">
        <v>3.3</v>
      </c>
      <c r="R432">
        <v>4.5</v>
      </c>
      <c r="S432">
        <v>7.6</v>
      </c>
      <c r="T432" t="s">
        <v>10</v>
      </c>
      <c r="U432">
        <v>7.5</v>
      </c>
      <c r="V432">
        <v>7.1</v>
      </c>
      <c r="W432">
        <v>4.5</v>
      </c>
      <c r="X432">
        <v>2.6</v>
      </c>
      <c r="Y432">
        <v>1.5</v>
      </c>
      <c r="Z432">
        <v>4.9000000000000004</v>
      </c>
      <c r="AA432">
        <v>9.6999999999999993</v>
      </c>
      <c r="AB432" t="s">
        <v>44</v>
      </c>
      <c r="AC432" t="s">
        <v>10</v>
      </c>
      <c r="AD432" t="s">
        <v>12</v>
      </c>
      <c r="AE432" t="str">
        <f t="shared" si="18"/>
        <v>35-44</v>
      </c>
      <c r="AF432" t="str">
        <f t="shared" si="19"/>
        <v>Very Low Usage</v>
      </c>
      <c r="AG432" t="str">
        <f t="shared" si="20"/>
        <v>Moderate Loneliness</v>
      </c>
    </row>
    <row r="433" spans="1:33" x14ac:dyDescent="0.3">
      <c r="A433" t="s">
        <v>477</v>
      </c>
      <c r="B433">
        <v>41</v>
      </c>
      <c r="C433" t="s">
        <v>32</v>
      </c>
      <c r="D433" t="s">
        <v>14</v>
      </c>
      <c r="E433" t="s">
        <v>59</v>
      </c>
      <c r="F433" t="s">
        <v>4</v>
      </c>
      <c r="G433" t="s">
        <v>66</v>
      </c>
      <c r="H433" t="s">
        <v>6</v>
      </c>
      <c r="I433" t="s">
        <v>24</v>
      </c>
      <c r="J433" t="s">
        <v>20</v>
      </c>
      <c r="K433" t="s">
        <v>30</v>
      </c>
      <c r="L433">
        <v>0.67</v>
      </c>
      <c r="M433">
        <v>5.46</v>
      </c>
      <c r="N433">
        <v>0.5</v>
      </c>
      <c r="O433">
        <v>3.75</v>
      </c>
      <c r="P433">
        <v>7</v>
      </c>
      <c r="Q433">
        <v>3.7</v>
      </c>
      <c r="R433">
        <v>3.2</v>
      </c>
      <c r="S433">
        <v>5.6</v>
      </c>
      <c r="T433" t="s">
        <v>10</v>
      </c>
      <c r="U433">
        <v>7.8</v>
      </c>
      <c r="V433">
        <v>7.7</v>
      </c>
      <c r="W433">
        <v>4.5999999999999996</v>
      </c>
      <c r="X433">
        <v>3.1</v>
      </c>
      <c r="Y433">
        <v>1</v>
      </c>
      <c r="Z433">
        <v>4</v>
      </c>
      <c r="AA433">
        <v>9.1999999999999993</v>
      </c>
      <c r="AB433" t="s">
        <v>11</v>
      </c>
      <c r="AC433" t="s">
        <v>10</v>
      </c>
      <c r="AD433" t="s">
        <v>12</v>
      </c>
      <c r="AE433" t="str">
        <f t="shared" si="18"/>
        <v>35-44</v>
      </c>
      <c r="AF433" t="str">
        <f t="shared" si="19"/>
        <v>Very Low Usage</v>
      </c>
      <c r="AG433" t="str">
        <f t="shared" si="20"/>
        <v>Moderate Loneliness</v>
      </c>
    </row>
    <row r="434" spans="1:33" x14ac:dyDescent="0.3">
      <c r="A434" t="s">
        <v>478</v>
      </c>
      <c r="B434">
        <v>16</v>
      </c>
      <c r="C434" t="s">
        <v>32</v>
      </c>
      <c r="D434" t="s">
        <v>14</v>
      </c>
      <c r="E434" t="s">
        <v>37</v>
      </c>
      <c r="F434" t="s">
        <v>4</v>
      </c>
      <c r="G434" t="s">
        <v>17</v>
      </c>
      <c r="H434" t="s">
        <v>6</v>
      </c>
      <c r="I434" t="s">
        <v>19</v>
      </c>
      <c r="J434" t="s">
        <v>51</v>
      </c>
      <c r="K434" t="s">
        <v>53</v>
      </c>
      <c r="L434">
        <v>1.1299999999999999</v>
      </c>
      <c r="M434">
        <v>5.53</v>
      </c>
      <c r="N434">
        <v>1.35</v>
      </c>
      <c r="O434">
        <v>5</v>
      </c>
      <c r="P434">
        <v>5</v>
      </c>
      <c r="Q434">
        <v>5.3</v>
      </c>
      <c r="R434">
        <v>3.1</v>
      </c>
      <c r="S434">
        <v>8.9</v>
      </c>
      <c r="T434" t="s">
        <v>39</v>
      </c>
      <c r="U434">
        <v>8</v>
      </c>
      <c r="V434">
        <v>6.9</v>
      </c>
      <c r="W434">
        <v>3.9</v>
      </c>
      <c r="X434">
        <v>2.4</v>
      </c>
      <c r="Y434">
        <v>2.4</v>
      </c>
      <c r="Z434">
        <v>4.4000000000000004</v>
      </c>
      <c r="AA434">
        <v>7.5</v>
      </c>
      <c r="AB434" t="s">
        <v>21</v>
      </c>
      <c r="AC434" t="s">
        <v>10</v>
      </c>
      <c r="AD434" t="s">
        <v>12</v>
      </c>
      <c r="AE434" t="str">
        <f t="shared" si="18"/>
        <v>15-19</v>
      </c>
      <c r="AF434" t="str">
        <f t="shared" si="19"/>
        <v>Low Usage</v>
      </c>
      <c r="AG434" t="str">
        <f t="shared" si="20"/>
        <v>Moderate Loneliness</v>
      </c>
    </row>
    <row r="435" spans="1:33" x14ac:dyDescent="0.3">
      <c r="A435" t="s">
        <v>479</v>
      </c>
      <c r="B435">
        <v>35</v>
      </c>
      <c r="C435" t="s">
        <v>32</v>
      </c>
      <c r="D435" t="s">
        <v>14</v>
      </c>
      <c r="E435" t="s">
        <v>37</v>
      </c>
      <c r="F435" t="s">
        <v>45</v>
      </c>
      <c r="G435" t="s">
        <v>5</v>
      </c>
      <c r="H435" t="s">
        <v>33</v>
      </c>
      <c r="I435" t="s">
        <v>29</v>
      </c>
      <c r="J435" t="s">
        <v>38</v>
      </c>
      <c r="K435" t="s">
        <v>53</v>
      </c>
      <c r="L435">
        <v>1.38</v>
      </c>
      <c r="M435">
        <v>3.08</v>
      </c>
      <c r="N435">
        <v>2.2999999999999998</v>
      </c>
      <c r="O435">
        <v>6.55</v>
      </c>
      <c r="P435">
        <v>5</v>
      </c>
      <c r="Q435">
        <v>5</v>
      </c>
      <c r="R435">
        <v>3.8</v>
      </c>
      <c r="S435">
        <v>4.4000000000000004</v>
      </c>
      <c r="T435" t="s">
        <v>10</v>
      </c>
      <c r="U435">
        <v>6.8</v>
      </c>
      <c r="V435">
        <v>5.0999999999999996</v>
      </c>
      <c r="W435">
        <v>4.5999999999999996</v>
      </c>
      <c r="X435">
        <v>6.5</v>
      </c>
      <c r="Y435">
        <v>3.9</v>
      </c>
      <c r="Z435">
        <v>4.3</v>
      </c>
      <c r="AA435">
        <v>7.6</v>
      </c>
      <c r="AB435" t="s">
        <v>11</v>
      </c>
      <c r="AC435" t="s">
        <v>10</v>
      </c>
      <c r="AD435" t="s">
        <v>45</v>
      </c>
      <c r="AE435" t="str">
        <f t="shared" si="18"/>
        <v>35-44</v>
      </c>
      <c r="AF435" t="str">
        <f t="shared" si="19"/>
        <v>Low Usage</v>
      </c>
      <c r="AG435" t="str">
        <f t="shared" si="20"/>
        <v>Moderate Loneliness</v>
      </c>
    </row>
    <row r="436" spans="1:33" x14ac:dyDescent="0.3">
      <c r="A436" t="s">
        <v>480</v>
      </c>
      <c r="B436">
        <v>44</v>
      </c>
      <c r="C436" t="s">
        <v>27</v>
      </c>
      <c r="D436" t="s">
        <v>47</v>
      </c>
      <c r="E436" t="s">
        <v>3</v>
      </c>
      <c r="F436" t="s">
        <v>4</v>
      </c>
      <c r="G436" t="s">
        <v>43</v>
      </c>
      <c r="H436" t="s">
        <v>28</v>
      </c>
      <c r="I436" t="s">
        <v>24</v>
      </c>
      <c r="J436" t="s">
        <v>48</v>
      </c>
      <c r="K436" t="s">
        <v>30</v>
      </c>
      <c r="L436">
        <v>1.4</v>
      </c>
      <c r="M436">
        <v>6.77</v>
      </c>
      <c r="N436">
        <v>1.22</v>
      </c>
      <c r="O436">
        <v>3.52</v>
      </c>
      <c r="P436">
        <v>6</v>
      </c>
      <c r="Q436">
        <v>5.6</v>
      </c>
      <c r="R436">
        <v>3.5</v>
      </c>
      <c r="S436">
        <v>6.5</v>
      </c>
      <c r="T436" t="s">
        <v>10</v>
      </c>
      <c r="U436">
        <v>6.8</v>
      </c>
      <c r="V436">
        <v>8.1</v>
      </c>
      <c r="W436">
        <v>4.5</v>
      </c>
      <c r="X436">
        <v>1.9</v>
      </c>
      <c r="Y436">
        <v>3.1</v>
      </c>
      <c r="Z436">
        <v>1</v>
      </c>
      <c r="AA436">
        <v>6.8</v>
      </c>
      <c r="AB436" t="s">
        <v>21</v>
      </c>
      <c r="AC436" t="s">
        <v>10</v>
      </c>
      <c r="AD436" t="s">
        <v>12</v>
      </c>
      <c r="AE436" t="str">
        <f t="shared" si="18"/>
        <v>35-44</v>
      </c>
      <c r="AF436" t="str">
        <f t="shared" si="19"/>
        <v>Low Usage</v>
      </c>
      <c r="AG436" t="str">
        <f t="shared" si="20"/>
        <v>Moderate Loneliness</v>
      </c>
    </row>
    <row r="437" spans="1:33" x14ac:dyDescent="0.3">
      <c r="A437" t="s">
        <v>481</v>
      </c>
      <c r="B437">
        <v>15</v>
      </c>
      <c r="C437" t="s">
        <v>32</v>
      </c>
      <c r="D437" t="s">
        <v>14</v>
      </c>
      <c r="E437" t="s">
        <v>15</v>
      </c>
      <c r="F437" t="s">
        <v>4</v>
      </c>
      <c r="G437" t="s">
        <v>5</v>
      </c>
      <c r="H437" t="s">
        <v>33</v>
      </c>
      <c r="I437" t="s">
        <v>29</v>
      </c>
      <c r="J437" t="s">
        <v>8</v>
      </c>
      <c r="K437" t="s">
        <v>53</v>
      </c>
      <c r="L437">
        <v>1.57</v>
      </c>
      <c r="M437">
        <v>2.2599999999999998</v>
      </c>
      <c r="N437">
        <v>3.41</v>
      </c>
      <c r="O437">
        <v>8.18</v>
      </c>
      <c r="P437">
        <v>6</v>
      </c>
      <c r="Q437">
        <v>6.1</v>
      </c>
      <c r="R437">
        <v>3.7</v>
      </c>
      <c r="S437">
        <v>5.9</v>
      </c>
      <c r="T437" t="s">
        <v>39</v>
      </c>
      <c r="U437">
        <v>7.7</v>
      </c>
      <c r="V437">
        <v>6.7</v>
      </c>
      <c r="W437">
        <v>3.5</v>
      </c>
      <c r="X437">
        <v>5.2</v>
      </c>
      <c r="Y437">
        <v>3.8</v>
      </c>
      <c r="Z437">
        <v>6.7</v>
      </c>
      <c r="AA437">
        <v>6.7</v>
      </c>
      <c r="AB437" t="s">
        <v>11</v>
      </c>
      <c r="AC437" t="s">
        <v>10</v>
      </c>
      <c r="AD437" t="s">
        <v>22</v>
      </c>
      <c r="AE437" t="str">
        <f t="shared" si="18"/>
        <v>15-19</v>
      </c>
      <c r="AF437" t="str">
        <f t="shared" si="19"/>
        <v>Low Usage</v>
      </c>
      <c r="AG437" t="str">
        <f t="shared" si="20"/>
        <v>High Loneliness</v>
      </c>
    </row>
    <row r="438" spans="1:33" x14ac:dyDescent="0.3">
      <c r="A438" t="s">
        <v>482</v>
      </c>
      <c r="B438">
        <v>42</v>
      </c>
      <c r="C438" t="s">
        <v>1</v>
      </c>
      <c r="D438" t="s">
        <v>2</v>
      </c>
      <c r="E438" t="s">
        <v>15</v>
      </c>
      <c r="F438" t="s">
        <v>16</v>
      </c>
      <c r="G438" t="s">
        <v>5</v>
      </c>
      <c r="H438" t="s">
        <v>6</v>
      </c>
      <c r="I438" t="s">
        <v>19</v>
      </c>
      <c r="J438" t="s">
        <v>38</v>
      </c>
      <c r="K438" t="s">
        <v>53</v>
      </c>
      <c r="L438">
        <v>1.07</v>
      </c>
      <c r="M438">
        <v>3.61</v>
      </c>
      <c r="N438">
        <v>2.33</v>
      </c>
      <c r="O438">
        <v>5.61</v>
      </c>
      <c r="P438">
        <v>2</v>
      </c>
      <c r="Q438">
        <v>5.5</v>
      </c>
      <c r="R438">
        <v>4.4000000000000004</v>
      </c>
      <c r="S438">
        <v>5.9</v>
      </c>
      <c r="T438" t="s">
        <v>10</v>
      </c>
      <c r="U438">
        <v>5.6</v>
      </c>
      <c r="V438">
        <v>4.3</v>
      </c>
      <c r="W438">
        <v>1.3</v>
      </c>
      <c r="X438">
        <v>4.5</v>
      </c>
      <c r="Y438">
        <v>3.9</v>
      </c>
      <c r="Z438">
        <v>6.7</v>
      </c>
      <c r="AA438">
        <v>3.5</v>
      </c>
      <c r="AB438" t="s">
        <v>21</v>
      </c>
      <c r="AC438" t="s">
        <v>10</v>
      </c>
      <c r="AD438" t="s">
        <v>22</v>
      </c>
      <c r="AE438" t="str">
        <f t="shared" si="18"/>
        <v>35-44</v>
      </c>
      <c r="AF438" t="str">
        <f t="shared" si="19"/>
        <v>Low Usage</v>
      </c>
      <c r="AG438" t="str">
        <f t="shared" si="20"/>
        <v>Moderate Loneliness</v>
      </c>
    </row>
    <row r="439" spans="1:33" x14ac:dyDescent="0.3">
      <c r="A439" t="s">
        <v>483</v>
      </c>
      <c r="B439">
        <v>29</v>
      </c>
      <c r="C439" t="s">
        <v>1</v>
      </c>
      <c r="D439" t="s">
        <v>14</v>
      </c>
      <c r="E439" t="s">
        <v>37</v>
      </c>
      <c r="F439" t="s">
        <v>4</v>
      </c>
      <c r="G439" t="s">
        <v>17</v>
      </c>
      <c r="H439" t="s">
        <v>28</v>
      </c>
      <c r="I439" t="s">
        <v>19</v>
      </c>
      <c r="J439" t="s">
        <v>20</v>
      </c>
      <c r="K439" t="s">
        <v>1079</v>
      </c>
      <c r="L439">
        <v>1.42</v>
      </c>
      <c r="M439">
        <v>6.06</v>
      </c>
      <c r="N439">
        <v>1.85</v>
      </c>
      <c r="O439">
        <v>5.41</v>
      </c>
      <c r="P439">
        <v>3</v>
      </c>
      <c r="Q439">
        <v>5.7</v>
      </c>
      <c r="R439">
        <v>3.6</v>
      </c>
      <c r="S439">
        <v>6.9</v>
      </c>
      <c r="T439" t="s">
        <v>10</v>
      </c>
      <c r="U439">
        <v>6.8</v>
      </c>
      <c r="V439">
        <v>7.6</v>
      </c>
      <c r="W439">
        <v>4.2</v>
      </c>
      <c r="X439">
        <v>4</v>
      </c>
      <c r="Y439">
        <v>5.4</v>
      </c>
      <c r="Z439">
        <v>6.4</v>
      </c>
      <c r="AA439">
        <v>7</v>
      </c>
      <c r="AB439" t="s">
        <v>21</v>
      </c>
      <c r="AC439" t="s">
        <v>10</v>
      </c>
      <c r="AD439" t="s">
        <v>12</v>
      </c>
      <c r="AE439" t="str">
        <f t="shared" si="18"/>
        <v>25-34</v>
      </c>
      <c r="AF439" t="str">
        <f t="shared" si="19"/>
        <v>Low Usage</v>
      </c>
      <c r="AG439" t="str">
        <f t="shared" si="20"/>
        <v>Moderate Loneliness</v>
      </c>
    </row>
    <row r="440" spans="1:33" x14ac:dyDescent="0.3">
      <c r="A440" t="s">
        <v>484</v>
      </c>
      <c r="B440">
        <v>15</v>
      </c>
      <c r="C440" t="s">
        <v>1</v>
      </c>
      <c r="D440" t="s">
        <v>41</v>
      </c>
      <c r="E440" t="s">
        <v>3</v>
      </c>
      <c r="F440" t="s">
        <v>45</v>
      </c>
      <c r="G440" t="s">
        <v>17</v>
      </c>
      <c r="H440" t="s">
        <v>6</v>
      </c>
      <c r="I440" t="s">
        <v>19</v>
      </c>
      <c r="J440" t="s">
        <v>8</v>
      </c>
      <c r="K440" t="s">
        <v>30</v>
      </c>
      <c r="L440">
        <v>1.19</v>
      </c>
      <c r="M440">
        <v>4.99</v>
      </c>
      <c r="N440">
        <v>0.88</v>
      </c>
      <c r="O440">
        <v>4.63</v>
      </c>
      <c r="P440">
        <v>7</v>
      </c>
      <c r="Q440">
        <v>3.9</v>
      </c>
      <c r="R440">
        <v>2.5</v>
      </c>
      <c r="S440">
        <v>7.1</v>
      </c>
      <c r="T440" t="s">
        <v>10</v>
      </c>
      <c r="U440">
        <v>7.3</v>
      </c>
      <c r="V440">
        <v>8.3000000000000007</v>
      </c>
      <c r="W440">
        <v>4.2</v>
      </c>
      <c r="X440">
        <v>6.3</v>
      </c>
      <c r="Y440">
        <v>1.3</v>
      </c>
      <c r="Z440">
        <v>4.5</v>
      </c>
      <c r="AA440">
        <v>7.9</v>
      </c>
      <c r="AB440" t="s">
        <v>21</v>
      </c>
      <c r="AC440" t="s">
        <v>39</v>
      </c>
      <c r="AD440" t="s">
        <v>12</v>
      </c>
      <c r="AE440" t="str">
        <f t="shared" si="18"/>
        <v>15-19</v>
      </c>
      <c r="AF440" t="str">
        <f t="shared" si="19"/>
        <v>Low Usage</v>
      </c>
      <c r="AG440" t="str">
        <f t="shared" si="20"/>
        <v>Moderate Loneliness</v>
      </c>
    </row>
    <row r="441" spans="1:33" x14ac:dyDescent="0.3">
      <c r="A441" t="s">
        <v>485</v>
      </c>
      <c r="B441">
        <v>19</v>
      </c>
      <c r="C441" t="s">
        <v>32</v>
      </c>
      <c r="D441" t="s">
        <v>14</v>
      </c>
      <c r="E441" t="s">
        <v>15</v>
      </c>
      <c r="F441" t="s">
        <v>4</v>
      </c>
      <c r="G441" t="s">
        <v>17</v>
      </c>
      <c r="H441" t="s">
        <v>28</v>
      </c>
      <c r="I441" t="s">
        <v>24</v>
      </c>
      <c r="J441" t="s">
        <v>38</v>
      </c>
      <c r="K441" t="s">
        <v>1079</v>
      </c>
      <c r="L441">
        <v>3.89</v>
      </c>
      <c r="M441">
        <v>4.63</v>
      </c>
      <c r="N441">
        <v>3.06</v>
      </c>
      <c r="O441">
        <v>7.68</v>
      </c>
      <c r="P441">
        <v>1</v>
      </c>
      <c r="Q441">
        <v>5.7</v>
      </c>
      <c r="R441">
        <v>5.8</v>
      </c>
      <c r="S441">
        <v>4.2</v>
      </c>
      <c r="T441" t="s">
        <v>10</v>
      </c>
      <c r="U441">
        <v>7.3</v>
      </c>
      <c r="V441">
        <v>3.4</v>
      </c>
      <c r="W441">
        <v>2.5</v>
      </c>
      <c r="X441">
        <v>7.1</v>
      </c>
      <c r="Y441">
        <v>4.8</v>
      </c>
      <c r="Z441">
        <v>5.8</v>
      </c>
      <c r="AA441">
        <v>5.3</v>
      </c>
      <c r="AB441" t="s">
        <v>21</v>
      </c>
      <c r="AC441" t="s">
        <v>10</v>
      </c>
      <c r="AD441" t="s">
        <v>22</v>
      </c>
      <c r="AE441" t="str">
        <f t="shared" si="18"/>
        <v>15-19</v>
      </c>
      <c r="AF441" t="str">
        <f t="shared" si="19"/>
        <v>Moderate Usage</v>
      </c>
      <c r="AG441" t="str">
        <f t="shared" si="20"/>
        <v>Moderate Loneliness</v>
      </c>
    </row>
    <row r="442" spans="1:33" x14ac:dyDescent="0.3">
      <c r="A442" t="s">
        <v>486</v>
      </c>
      <c r="B442">
        <v>42</v>
      </c>
      <c r="C442" t="s">
        <v>1</v>
      </c>
      <c r="D442" t="s">
        <v>2</v>
      </c>
      <c r="E442" t="s">
        <v>3</v>
      </c>
      <c r="F442" t="s">
        <v>4</v>
      </c>
      <c r="G442" t="s">
        <v>17</v>
      </c>
      <c r="H442" t="s">
        <v>28</v>
      </c>
      <c r="I442" t="s">
        <v>7</v>
      </c>
      <c r="J442" t="s">
        <v>48</v>
      </c>
      <c r="K442" t="s">
        <v>25</v>
      </c>
      <c r="L442">
        <v>0.71</v>
      </c>
      <c r="M442">
        <v>2.98</v>
      </c>
      <c r="N442">
        <v>3.41</v>
      </c>
      <c r="O442">
        <v>4.57</v>
      </c>
      <c r="P442">
        <v>4</v>
      </c>
      <c r="Q442">
        <v>3.3</v>
      </c>
      <c r="R442">
        <v>3.9</v>
      </c>
      <c r="S442">
        <v>5.4</v>
      </c>
      <c r="T442" t="s">
        <v>39</v>
      </c>
      <c r="U442">
        <v>6.8</v>
      </c>
      <c r="V442">
        <v>8.4</v>
      </c>
      <c r="W442">
        <v>4.8</v>
      </c>
      <c r="X442">
        <v>4.9000000000000004</v>
      </c>
      <c r="Y442">
        <v>4.8</v>
      </c>
      <c r="Z442">
        <v>7.7</v>
      </c>
      <c r="AA442">
        <v>6.8</v>
      </c>
      <c r="AB442" t="s">
        <v>11</v>
      </c>
      <c r="AC442" t="s">
        <v>10</v>
      </c>
      <c r="AD442" t="s">
        <v>12</v>
      </c>
      <c r="AE442" t="str">
        <f t="shared" si="18"/>
        <v>35-44</v>
      </c>
      <c r="AF442" t="str">
        <f t="shared" si="19"/>
        <v>Very Low Usage</v>
      </c>
      <c r="AG442" t="str">
        <f t="shared" si="20"/>
        <v>Moderate Loneliness</v>
      </c>
    </row>
    <row r="443" spans="1:33" x14ac:dyDescent="0.3">
      <c r="A443" t="s">
        <v>487</v>
      </c>
      <c r="B443">
        <v>43</v>
      </c>
      <c r="C443" t="s">
        <v>32</v>
      </c>
      <c r="D443" t="s">
        <v>58</v>
      </c>
      <c r="E443" t="s">
        <v>15</v>
      </c>
      <c r="F443" t="s">
        <v>12</v>
      </c>
      <c r="G443" t="s">
        <v>17</v>
      </c>
      <c r="H443" t="s">
        <v>18</v>
      </c>
      <c r="I443" t="s">
        <v>24</v>
      </c>
      <c r="J443" t="s">
        <v>48</v>
      </c>
      <c r="K443" t="s">
        <v>30</v>
      </c>
      <c r="L443">
        <v>3.03</v>
      </c>
      <c r="M443">
        <v>2.88</v>
      </c>
      <c r="N443">
        <v>3.47</v>
      </c>
      <c r="O443">
        <v>8.3800000000000008</v>
      </c>
      <c r="P443">
        <v>2</v>
      </c>
      <c r="Q443">
        <v>6.1</v>
      </c>
      <c r="R443">
        <v>6.4</v>
      </c>
      <c r="S443">
        <v>1</v>
      </c>
      <c r="T443" t="s">
        <v>39</v>
      </c>
      <c r="U443">
        <v>6.7</v>
      </c>
      <c r="V443">
        <v>4.9000000000000004</v>
      </c>
      <c r="W443">
        <v>0</v>
      </c>
      <c r="X443">
        <v>7.9</v>
      </c>
      <c r="Y443">
        <v>7.8</v>
      </c>
      <c r="Z443">
        <v>5</v>
      </c>
      <c r="AA443">
        <v>2.8</v>
      </c>
      <c r="AB443" t="s">
        <v>44</v>
      </c>
      <c r="AC443" t="s">
        <v>10</v>
      </c>
      <c r="AD443" t="s">
        <v>45</v>
      </c>
      <c r="AE443" t="str">
        <f t="shared" si="18"/>
        <v>35-44</v>
      </c>
      <c r="AF443" t="str">
        <f t="shared" si="19"/>
        <v>Moderate Usage</v>
      </c>
      <c r="AG443" t="str">
        <f t="shared" si="20"/>
        <v>High Loneliness</v>
      </c>
    </row>
    <row r="444" spans="1:33" x14ac:dyDescent="0.3">
      <c r="A444" t="s">
        <v>488</v>
      </c>
      <c r="B444">
        <v>30</v>
      </c>
      <c r="C444" t="s">
        <v>32</v>
      </c>
      <c r="D444" t="s">
        <v>58</v>
      </c>
      <c r="E444" t="s">
        <v>59</v>
      </c>
      <c r="F444" t="s">
        <v>4</v>
      </c>
      <c r="G444" t="s">
        <v>17</v>
      </c>
      <c r="H444" t="s">
        <v>18</v>
      </c>
      <c r="I444" t="s">
        <v>29</v>
      </c>
      <c r="J444" t="s">
        <v>48</v>
      </c>
      <c r="K444" t="s">
        <v>1079</v>
      </c>
      <c r="L444">
        <v>1.33</v>
      </c>
      <c r="M444">
        <v>3.61</v>
      </c>
      <c r="N444">
        <v>3.63</v>
      </c>
      <c r="O444">
        <v>8.5</v>
      </c>
      <c r="P444">
        <v>5</v>
      </c>
      <c r="Q444">
        <v>6.4</v>
      </c>
      <c r="R444">
        <v>3.8</v>
      </c>
      <c r="S444">
        <v>4.2</v>
      </c>
      <c r="T444" t="s">
        <v>10</v>
      </c>
      <c r="U444">
        <v>7.9</v>
      </c>
      <c r="V444">
        <v>7.1</v>
      </c>
      <c r="W444">
        <v>2.9</v>
      </c>
      <c r="X444">
        <v>5.7</v>
      </c>
      <c r="Y444">
        <v>4.3</v>
      </c>
      <c r="Z444">
        <v>6.1</v>
      </c>
      <c r="AA444">
        <v>5.8</v>
      </c>
      <c r="AB444" t="s">
        <v>21</v>
      </c>
      <c r="AC444" t="s">
        <v>10</v>
      </c>
      <c r="AD444" t="s">
        <v>45</v>
      </c>
      <c r="AE444" t="str">
        <f t="shared" si="18"/>
        <v>25-34</v>
      </c>
      <c r="AF444" t="str">
        <f t="shared" si="19"/>
        <v>Low Usage</v>
      </c>
      <c r="AG444" t="str">
        <f t="shared" si="20"/>
        <v>High Loneliness</v>
      </c>
    </row>
    <row r="445" spans="1:33" x14ac:dyDescent="0.3">
      <c r="A445" t="s">
        <v>489</v>
      </c>
      <c r="B445">
        <v>33</v>
      </c>
      <c r="C445" t="s">
        <v>1</v>
      </c>
      <c r="D445" t="s">
        <v>14</v>
      </c>
      <c r="E445" t="s">
        <v>37</v>
      </c>
      <c r="F445" t="s">
        <v>16</v>
      </c>
      <c r="G445" t="s">
        <v>66</v>
      </c>
      <c r="H445" t="s">
        <v>33</v>
      </c>
      <c r="I445" t="s">
        <v>29</v>
      </c>
      <c r="J445" t="s">
        <v>8</v>
      </c>
      <c r="K445" t="s">
        <v>25</v>
      </c>
      <c r="L445">
        <v>2.81</v>
      </c>
      <c r="M445">
        <v>1.66</v>
      </c>
      <c r="N445">
        <v>3.45</v>
      </c>
      <c r="O445">
        <v>7.07</v>
      </c>
      <c r="P445">
        <v>3</v>
      </c>
      <c r="Q445">
        <v>8.6999999999999993</v>
      </c>
      <c r="R445">
        <v>8</v>
      </c>
      <c r="S445">
        <v>2.1</v>
      </c>
      <c r="T445" t="s">
        <v>39</v>
      </c>
      <c r="U445">
        <v>5.7</v>
      </c>
      <c r="V445">
        <v>3.3</v>
      </c>
      <c r="W445">
        <v>3.2</v>
      </c>
      <c r="X445">
        <v>6.3</v>
      </c>
      <c r="Y445">
        <v>4.8</v>
      </c>
      <c r="Z445">
        <v>8.3000000000000007</v>
      </c>
      <c r="AA445">
        <v>3.3</v>
      </c>
      <c r="AB445" t="s">
        <v>44</v>
      </c>
      <c r="AC445" t="s">
        <v>39</v>
      </c>
      <c r="AD445" t="s">
        <v>45</v>
      </c>
      <c r="AE445" t="str">
        <f t="shared" si="18"/>
        <v>25-34</v>
      </c>
      <c r="AF445" t="str">
        <f t="shared" si="19"/>
        <v>Moderate Usage</v>
      </c>
      <c r="AG445" t="str">
        <f t="shared" si="20"/>
        <v>High Loneliness</v>
      </c>
    </row>
    <row r="446" spans="1:33" x14ac:dyDescent="0.3">
      <c r="A446" t="s">
        <v>490</v>
      </c>
      <c r="B446">
        <v>18</v>
      </c>
      <c r="C446" t="s">
        <v>32</v>
      </c>
      <c r="D446" t="s">
        <v>47</v>
      </c>
      <c r="E446" t="s">
        <v>3</v>
      </c>
      <c r="F446" t="s">
        <v>16</v>
      </c>
      <c r="G446" t="s">
        <v>17</v>
      </c>
      <c r="H446" t="s">
        <v>28</v>
      </c>
      <c r="I446" t="s">
        <v>19</v>
      </c>
      <c r="J446" t="s">
        <v>8</v>
      </c>
      <c r="K446" t="s">
        <v>30</v>
      </c>
      <c r="L446">
        <v>2.15</v>
      </c>
      <c r="M446">
        <v>4.1900000000000004</v>
      </c>
      <c r="N446">
        <v>0.57999999999999996</v>
      </c>
      <c r="O446">
        <v>4.91</v>
      </c>
      <c r="P446">
        <v>3</v>
      </c>
      <c r="Q446">
        <v>8.6999999999999993</v>
      </c>
      <c r="R446">
        <v>2.9</v>
      </c>
      <c r="S446">
        <v>4.8</v>
      </c>
      <c r="T446" t="s">
        <v>10</v>
      </c>
      <c r="U446">
        <v>6.9</v>
      </c>
      <c r="V446">
        <v>6.3</v>
      </c>
      <c r="W446">
        <v>6.4</v>
      </c>
      <c r="X446">
        <v>8</v>
      </c>
      <c r="Y446">
        <v>7.1</v>
      </c>
      <c r="Z446">
        <v>6.3</v>
      </c>
      <c r="AA446">
        <v>5.8</v>
      </c>
      <c r="AB446" t="s">
        <v>44</v>
      </c>
      <c r="AC446" t="s">
        <v>10</v>
      </c>
      <c r="AD446" t="s">
        <v>45</v>
      </c>
      <c r="AE446" t="str">
        <f t="shared" si="18"/>
        <v>15-19</v>
      </c>
      <c r="AF446" t="str">
        <f t="shared" si="19"/>
        <v>Low Usage</v>
      </c>
      <c r="AG446" t="str">
        <f t="shared" si="20"/>
        <v>High Loneliness</v>
      </c>
    </row>
    <row r="447" spans="1:33" x14ac:dyDescent="0.3">
      <c r="A447" t="s">
        <v>491</v>
      </c>
      <c r="B447">
        <v>17</v>
      </c>
      <c r="C447" t="s">
        <v>1</v>
      </c>
      <c r="D447" t="s">
        <v>2</v>
      </c>
      <c r="E447" t="s">
        <v>15</v>
      </c>
      <c r="F447" t="s">
        <v>12</v>
      </c>
      <c r="G447" t="s">
        <v>5</v>
      </c>
      <c r="H447" t="s">
        <v>6</v>
      </c>
      <c r="I447" t="s">
        <v>35</v>
      </c>
      <c r="J447" t="s">
        <v>48</v>
      </c>
      <c r="K447" t="s">
        <v>30</v>
      </c>
      <c r="L447">
        <v>0</v>
      </c>
      <c r="M447">
        <v>4.63</v>
      </c>
      <c r="N447">
        <v>1.1299999999999999</v>
      </c>
      <c r="O447">
        <v>2.41</v>
      </c>
      <c r="P447">
        <v>5</v>
      </c>
      <c r="Q447">
        <v>1.1000000000000001</v>
      </c>
      <c r="R447">
        <v>1</v>
      </c>
      <c r="S447">
        <v>10</v>
      </c>
      <c r="T447" t="s">
        <v>10</v>
      </c>
      <c r="U447">
        <v>8.1</v>
      </c>
      <c r="V447">
        <v>10</v>
      </c>
      <c r="W447">
        <v>3.5</v>
      </c>
      <c r="X447">
        <v>3.4</v>
      </c>
      <c r="Y447">
        <v>1</v>
      </c>
      <c r="Z447">
        <v>2.8</v>
      </c>
      <c r="AA447">
        <v>7</v>
      </c>
      <c r="AB447" t="s">
        <v>11</v>
      </c>
      <c r="AC447" t="s">
        <v>10</v>
      </c>
      <c r="AD447" t="s">
        <v>12</v>
      </c>
      <c r="AE447" t="str">
        <f t="shared" si="18"/>
        <v>15-19</v>
      </c>
      <c r="AF447" t="str">
        <f t="shared" si="19"/>
        <v>Very Low Usage</v>
      </c>
      <c r="AG447" t="str">
        <f t="shared" si="20"/>
        <v>Low Loneliness</v>
      </c>
    </row>
    <row r="448" spans="1:33" x14ac:dyDescent="0.3">
      <c r="A448" t="s">
        <v>492</v>
      </c>
      <c r="B448">
        <v>31</v>
      </c>
      <c r="C448" t="s">
        <v>1</v>
      </c>
      <c r="D448" t="s">
        <v>2</v>
      </c>
      <c r="E448" t="s">
        <v>15</v>
      </c>
      <c r="F448" t="s">
        <v>12</v>
      </c>
      <c r="G448" t="s">
        <v>43</v>
      </c>
      <c r="H448" t="s">
        <v>28</v>
      </c>
      <c r="I448" t="s">
        <v>7</v>
      </c>
      <c r="J448" t="s">
        <v>8</v>
      </c>
      <c r="K448" t="s">
        <v>30</v>
      </c>
      <c r="L448">
        <v>1.1499999999999999</v>
      </c>
      <c r="M448">
        <v>3.91</v>
      </c>
      <c r="N448">
        <v>1.77</v>
      </c>
      <c r="O448">
        <v>4.0599999999999996</v>
      </c>
      <c r="P448">
        <v>3</v>
      </c>
      <c r="Q448">
        <v>5.5</v>
      </c>
      <c r="R448">
        <v>4.8</v>
      </c>
      <c r="S448">
        <v>8.1</v>
      </c>
      <c r="T448" t="s">
        <v>39</v>
      </c>
      <c r="U448">
        <v>7.1</v>
      </c>
      <c r="V448">
        <v>6.7</v>
      </c>
      <c r="W448">
        <v>4.8</v>
      </c>
      <c r="X448">
        <v>3.7</v>
      </c>
      <c r="Y448">
        <v>4.7</v>
      </c>
      <c r="Z448">
        <v>2.2999999999999998</v>
      </c>
      <c r="AA448">
        <v>5.8</v>
      </c>
      <c r="AB448" t="s">
        <v>21</v>
      </c>
      <c r="AC448" t="s">
        <v>10</v>
      </c>
      <c r="AD448" t="s">
        <v>12</v>
      </c>
      <c r="AE448" t="str">
        <f t="shared" si="18"/>
        <v>25-34</v>
      </c>
      <c r="AF448" t="str">
        <f t="shared" si="19"/>
        <v>Low Usage</v>
      </c>
      <c r="AG448" t="str">
        <f t="shared" si="20"/>
        <v>Moderate Loneliness</v>
      </c>
    </row>
    <row r="449" spans="1:33" x14ac:dyDescent="0.3">
      <c r="A449" t="s">
        <v>493</v>
      </c>
      <c r="B449">
        <v>31</v>
      </c>
      <c r="C449" t="s">
        <v>32</v>
      </c>
      <c r="D449" t="s">
        <v>14</v>
      </c>
      <c r="E449" t="s">
        <v>37</v>
      </c>
      <c r="F449" t="s">
        <v>16</v>
      </c>
      <c r="G449" t="s">
        <v>5</v>
      </c>
      <c r="H449" t="s">
        <v>28</v>
      </c>
      <c r="I449" t="s">
        <v>7</v>
      </c>
      <c r="J449" t="s">
        <v>20</v>
      </c>
      <c r="K449" t="s">
        <v>53</v>
      </c>
      <c r="L449">
        <v>1.27</v>
      </c>
      <c r="M449">
        <v>4.49</v>
      </c>
      <c r="N449">
        <v>2.5499999999999998</v>
      </c>
      <c r="O449">
        <v>6.32</v>
      </c>
      <c r="P449">
        <v>4</v>
      </c>
      <c r="Q449">
        <v>6.5</v>
      </c>
      <c r="R449">
        <v>4</v>
      </c>
      <c r="S449">
        <v>3.2</v>
      </c>
      <c r="T449" t="s">
        <v>10</v>
      </c>
      <c r="U449">
        <v>5.3</v>
      </c>
      <c r="V449">
        <v>7.5</v>
      </c>
      <c r="W449">
        <v>4.9000000000000004</v>
      </c>
      <c r="X449">
        <v>4.0999999999999996</v>
      </c>
      <c r="Y449">
        <v>4.3</v>
      </c>
      <c r="Z449">
        <v>6.7</v>
      </c>
      <c r="AA449">
        <v>7.7</v>
      </c>
      <c r="AB449" t="s">
        <v>21</v>
      </c>
      <c r="AC449" t="s">
        <v>10</v>
      </c>
      <c r="AD449" t="s">
        <v>45</v>
      </c>
      <c r="AE449" t="str">
        <f t="shared" si="18"/>
        <v>25-34</v>
      </c>
      <c r="AF449" t="str">
        <f t="shared" si="19"/>
        <v>Low Usage</v>
      </c>
      <c r="AG449" t="str">
        <f t="shared" si="20"/>
        <v>High Loneliness</v>
      </c>
    </row>
    <row r="450" spans="1:33" x14ac:dyDescent="0.3">
      <c r="A450" t="s">
        <v>494</v>
      </c>
      <c r="B450">
        <v>26</v>
      </c>
      <c r="C450" t="s">
        <v>32</v>
      </c>
      <c r="D450" t="s">
        <v>14</v>
      </c>
      <c r="E450" t="s">
        <v>59</v>
      </c>
      <c r="F450" t="s">
        <v>45</v>
      </c>
      <c r="G450" t="s">
        <v>17</v>
      </c>
      <c r="H450" t="s">
        <v>28</v>
      </c>
      <c r="I450" t="s">
        <v>29</v>
      </c>
      <c r="J450" t="s">
        <v>51</v>
      </c>
      <c r="K450" t="s">
        <v>30</v>
      </c>
      <c r="L450">
        <v>3.71</v>
      </c>
      <c r="M450">
        <v>2.9</v>
      </c>
      <c r="N450">
        <v>3.62</v>
      </c>
      <c r="O450">
        <v>10.09</v>
      </c>
      <c r="P450">
        <v>4</v>
      </c>
      <c r="Q450">
        <v>6.3</v>
      </c>
      <c r="R450">
        <v>7.4</v>
      </c>
      <c r="S450">
        <v>2.2999999999999998</v>
      </c>
      <c r="T450" t="s">
        <v>10</v>
      </c>
      <c r="U450">
        <v>6.7</v>
      </c>
      <c r="V450">
        <v>4.8</v>
      </c>
      <c r="W450">
        <v>3.1</v>
      </c>
      <c r="X450">
        <v>6.1</v>
      </c>
      <c r="Y450">
        <v>5.2</v>
      </c>
      <c r="Z450">
        <v>7.8</v>
      </c>
      <c r="AA450">
        <v>1.4</v>
      </c>
      <c r="AB450" t="s">
        <v>21</v>
      </c>
      <c r="AC450" t="s">
        <v>39</v>
      </c>
      <c r="AD450" t="s">
        <v>45</v>
      </c>
      <c r="AE450" t="str">
        <f t="shared" si="18"/>
        <v>25-34</v>
      </c>
      <c r="AF450" t="str">
        <f t="shared" si="19"/>
        <v>Moderate Usage</v>
      </c>
      <c r="AG450" t="str">
        <f t="shared" si="20"/>
        <v>High Loneliness</v>
      </c>
    </row>
    <row r="451" spans="1:33" x14ac:dyDescent="0.3">
      <c r="A451" t="s">
        <v>495</v>
      </c>
      <c r="B451">
        <v>42</v>
      </c>
      <c r="C451" t="s">
        <v>32</v>
      </c>
      <c r="D451" t="s">
        <v>47</v>
      </c>
      <c r="E451" t="s">
        <v>3</v>
      </c>
      <c r="F451" t="s">
        <v>12</v>
      </c>
      <c r="G451" t="s">
        <v>5</v>
      </c>
      <c r="H451" t="s">
        <v>18</v>
      </c>
      <c r="I451" t="s">
        <v>19</v>
      </c>
      <c r="J451" t="s">
        <v>51</v>
      </c>
      <c r="K451" t="s">
        <v>1079</v>
      </c>
      <c r="L451">
        <v>3.49</v>
      </c>
      <c r="M451">
        <v>2.0499999999999998</v>
      </c>
      <c r="N451">
        <v>3.74</v>
      </c>
      <c r="O451">
        <v>8.44</v>
      </c>
      <c r="P451">
        <v>1</v>
      </c>
      <c r="Q451">
        <v>10</v>
      </c>
      <c r="R451">
        <v>9.6</v>
      </c>
      <c r="S451">
        <v>1</v>
      </c>
      <c r="T451" t="s">
        <v>10</v>
      </c>
      <c r="U451">
        <v>6.1</v>
      </c>
      <c r="V451">
        <v>2.2999999999999998</v>
      </c>
      <c r="W451">
        <v>0</v>
      </c>
      <c r="X451">
        <v>8.8000000000000007</v>
      </c>
      <c r="Y451">
        <v>8.5</v>
      </c>
      <c r="Z451">
        <v>9.8000000000000007</v>
      </c>
      <c r="AA451">
        <v>1.6</v>
      </c>
      <c r="AB451" t="s">
        <v>44</v>
      </c>
      <c r="AC451" t="s">
        <v>10</v>
      </c>
      <c r="AD451" t="s">
        <v>45</v>
      </c>
      <c r="AE451" t="str">
        <f t="shared" ref="AE451:AE514" si="21">IF(B451&lt;20,"15-19",IF(B451&lt;25,"20-24",IF(B451&lt;35,"25-34","35-44")))</f>
        <v>35-44</v>
      </c>
      <c r="AF451" t="str">
        <f t="shared" ref="AF451:AF514" si="22">IF(L451&lt;=1,"Very Low Usage",IF(L451&lt;=2.5,"Low Usage",IF(L451&lt;=4,"Moderate Usage","High Usage")))</f>
        <v>Moderate Usage</v>
      </c>
      <c r="AG451" t="str">
        <f t="shared" ref="AG451:AG514" si="23">IF(Q451&lt;=3,"Low Loneliness",IF(Q451&lt;=6,"Moderate Loneliness","High Loneliness"))</f>
        <v>High Loneliness</v>
      </c>
    </row>
    <row r="452" spans="1:33" x14ac:dyDescent="0.3">
      <c r="A452" t="s">
        <v>496</v>
      </c>
      <c r="B452">
        <v>44</v>
      </c>
      <c r="C452" t="s">
        <v>1</v>
      </c>
      <c r="D452" t="s">
        <v>2</v>
      </c>
      <c r="E452" t="s">
        <v>37</v>
      </c>
      <c r="F452" t="s">
        <v>4</v>
      </c>
      <c r="G452" t="s">
        <v>5</v>
      </c>
      <c r="H452" t="s">
        <v>6</v>
      </c>
      <c r="I452" t="s">
        <v>19</v>
      </c>
      <c r="J452" t="s">
        <v>20</v>
      </c>
      <c r="K452" t="s">
        <v>9</v>
      </c>
      <c r="L452">
        <v>2.36</v>
      </c>
      <c r="M452">
        <v>4.33</v>
      </c>
      <c r="N452">
        <v>3.49</v>
      </c>
      <c r="O452">
        <v>9.23</v>
      </c>
      <c r="P452">
        <v>7</v>
      </c>
      <c r="Q452">
        <v>5.0999999999999996</v>
      </c>
      <c r="R452">
        <v>3.1</v>
      </c>
      <c r="S452">
        <v>4.7</v>
      </c>
      <c r="T452" t="s">
        <v>39</v>
      </c>
      <c r="U452">
        <v>8.3000000000000007</v>
      </c>
      <c r="V452">
        <v>7.1</v>
      </c>
      <c r="W452">
        <v>3.9</v>
      </c>
      <c r="X452">
        <v>3.5</v>
      </c>
      <c r="Y452">
        <v>4.4000000000000004</v>
      </c>
      <c r="Z452">
        <v>4.2</v>
      </c>
      <c r="AA452">
        <v>6.7</v>
      </c>
      <c r="AB452" t="s">
        <v>21</v>
      </c>
      <c r="AC452" t="s">
        <v>10</v>
      </c>
      <c r="AD452" t="s">
        <v>22</v>
      </c>
      <c r="AE452" t="str">
        <f t="shared" si="21"/>
        <v>35-44</v>
      </c>
      <c r="AF452" t="str">
        <f t="shared" si="22"/>
        <v>Low Usage</v>
      </c>
      <c r="AG452" t="str">
        <f t="shared" si="23"/>
        <v>Moderate Loneliness</v>
      </c>
    </row>
    <row r="453" spans="1:33" x14ac:dyDescent="0.3">
      <c r="A453" t="s">
        <v>497</v>
      </c>
      <c r="B453">
        <v>43</v>
      </c>
      <c r="C453" t="s">
        <v>1</v>
      </c>
      <c r="D453" t="s">
        <v>2</v>
      </c>
      <c r="E453" t="s">
        <v>15</v>
      </c>
      <c r="F453" t="s">
        <v>4</v>
      </c>
      <c r="G453" t="s">
        <v>5</v>
      </c>
      <c r="H453" t="s">
        <v>33</v>
      </c>
      <c r="I453" t="s">
        <v>29</v>
      </c>
      <c r="J453" t="s">
        <v>51</v>
      </c>
      <c r="K453" t="s">
        <v>25</v>
      </c>
      <c r="L453">
        <v>1.79</v>
      </c>
      <c r="M453">
        <v>5.35</v>
      </c>
      <c r="N453">
        <v>2.4900000000000002</v>
      </c>
      <c r="O453">
        <v>6.7</v>
      </c>
      <c r="P453">
        <v>5</v>
      </c>
      <c r="Q453">
        <v>6.5</v>
      </c>
      <c r="R453">
        <v>2.6</v>
      </c>
      <c r="S453">
        <v>5.5</v>
      </c>
      <c r="T453" t="s">
        <v>10</v>
      </c>
      <c r="U453">
        <v>6.7</v>
      </c>
      <c r="V453">
        <v>6.6</v>
      </c>
      <c r="W453">
        <v>0.3</v>
      </c>
      <c r="X453">
        <v>6</v>
      </c>
      <c r="Y453">
        <v>4.2</v>
      </c>
      <c r="Z453">
        <v>4.7</v>
      </c>
      <c r="AA453">
        <v>6.3</v>
      </c>
      <c r="AB453" t="s">
        <v>11</v>
      </c>
      <c r="AC453" t="s">
        <v>10</v>
      </c>
      <c r="AD453" t="s">
        <v>45</v>
      </c>
      <c r="AE453" t="str">
        <f t="shared" si="21"/>
        <v>35-44</v>
      </c>
      <c r="AF453" t="str">
        <f t="shared" si="22"/>
        <v>Low Usage</v>
      </c>
      <c r="AG453" t="str">
        <f t="shared" si="23"/>
        <v>High Loneliness</v>
      </c>
    </row>
    <row r="454" spans="1:33" x14ac:dyDescent="0.3">
      <c r="A454" t="s">
        <v>498</v>
      </c>
      <c r="B454">
        <v>28</v>
      </c>
      <c r="C454" t="s">
        <v>32</v>
      </c>
      <c r="D454" t="s">
        <v>47</v>
      </c>
      <c r="E454" t="s">
        <v>15</v>
      </c>
      <c r="F454" t="s">
        <v>16</v>
      </c>
      <c r="G454" t="s">
        <v>43</v>
      </c>
      <c r="H454" t="s">
        <v>6</v>
      </c>
      <c r="I454" t="s">
        <v>29</v>
      </c>
      <c r="J454" t="s">
        <v>51</v>
      </c>
      <c r="K454" t="s">
        <v>30</v>
      </c>
      <c r="L454">
        <v>3.56</v>
      </c>
      <c r="M454">
        <v>2.2000000000000002</v>
      </c>
      <c r="N454">
        <v>3.1</v>
      </c>
      <c r="O454">
        <v>8.42</v>
      </c>
      <c r="P454">
        <v>4</v>
      </c>
      <c r="Q454">
        <v>9.4</v>
      </c>
      <c r="R454">
        <v>4.8</v>
      </c>
      <c r="S454">
        <v>4.7</v>
      </c>
      <c r="T454" t="s">
        <v>10</v>
      </c>
      <c r="U454">
        <v>5.8</v>
      </c>
      <c r="V454">
        <v>4.7</v>
      </c>
      <c r="W454">
        <v>3</v>
      </c>
      <c r="X454">
        <v>6.7</v>
      </c>
      <c r="Y454">
        <v>4.8</v>
      </c>
      <c r="Z454">
        <v>6.4</v>
      </c>
      <c r="AA454">
        <v>3.9</v>
      </c>
      <c r="AB454" t="s">
        <v>21</v>
      </c>
      <c r="AC454" t="s">
        <v>10</v>
      </c>
      <c r="AD454" t="s">
        <v>45</v>
      </c>
      <c r="AE454" t="str">
        <f t="shared" si="21"/>
        <v>25-34</v>
      </c>
      <c r="AF454" t="str">
        <f t="shared" si="22"/>
        <v>Moderate Usage</v>
      </c>
      <c r="AG454" t="str">
        <f t="shared" si="23"/>
        <v>High Loneliness</v>
      </c>
    </row>
    <row r="455" spans="1:33" x14ac:dyDescent="0.3">
      <c r="A455" t="s">
        <v>499</v>
      </c>
      <c r="B455">
        <v>35</v>
      </c>
      <c r="C455" t="s">
        <v>32</v>
      </c>
      <c r="D455" t="s">
        <v>47</v>
      </c>
      <c r="E455" t="s">
        <v>3</v>
      </c>
      <c r="F455" t="s">
        <v>12</v>
      </c>
      <c r="G455" t="s">
        <v>66</v>
      </c>
      <c r="H455" t="s">
        <v>28</v>
      </c>
      <c r="I455" t="s">
        <v>35</v>
      </c>
      <c r="J455" t="s">
        <v>48</v>
      </c>
      <c r="K455" t="s">
        <v>53</v>
      </c>
      <c r="L455">
        <v>1.52</v>
      </c>
      <c r="M455">
        <v>3.6</v>
      </c>
      <c r="N455">
        <v>3.19</v>
      </c>
      <c r="O455">
        <v>7.05</v>
      </c>
      <c r="P455">
        <v>4</v>
      </c>
      <c r="Q455">
        <v>6.2</v>
      </c>
      <c r="R455">
        <v>2.7</v>
      </c>
      <c r="S455">
        <v>4.4000000000000004</v>
      </c>
      <c r="T455" t="s">
        <v>10</v>
      </c>
      <c r="U455">
        <v>6.2</v>
      </c>
      <c r="V455">
        <v>5.7</v>
      </c>
      <c r="W455">
        <v>1.9</v>
      </c>
      <c r="X455">
        <v>3.2</v>
      </c>
      <c r="Y455">
        <v>1.7</v>
      </c>
      <c r="Z455">
        <v>6.9</v>
      </c>
      <c r="AA455">
        <v>4.8</v>
      </c>
      <c r="AB455" t="s">
        <v>21</v>
      </c>
      <c r="AC455" t="s">
        <v>10</v>
      </c>
      <c r="AD455" t="s">
        <v>12</v>
      </c>
      <c r="AE455" t="str">
        <f t="shared" si="21"/>
        <v>35-44</v>
      </c>
      <c r="AF455" t="str">
        <f t="shared" si="22"/>
        <v>Low Usage</v>
      </c>
      <c r="AG455" t="str">
        <f t="shared" si="23"/>
        <v>High Loneliness</v>
      </c>
    </row>
    <row r="456" spans="1:33" x14ac:dyDescent="0.3">
      <c r="A456" t="s">
        <v>500</v>
      </c>
      <c r="B456">
        <v>20</v>
      </c>
      <c r="C456" t="s">
        <v>32</v>
      </c>
      <c r="D456" t="s">
        <v>14</v>
      </c>
      <c r="E456" t="s">
        <v>15</v>
      </c>
      <c r="F456" t="s">
        <v>12</v>
      </c>
      <c r="G456" t="s">
        <v>5</v>
      </c>
      <c r="H456" t="s">
        <v>18</v>
      </c>
      <c r="I456" t="s">
        <v>29</v>
      </c>
      <c r="J456" t="s">
        <v>8</v>
      </c>
      <c r="K456" t="s">
        <v>53</v>
      </c>
      <c r="L456">
        <v>3.01</v>
      </c>
      <c r="M456">
        <v>2.67</v>
      </c>
      <c r="N456">
        <v>4.16</v>
      </c>
      <c r="O456">
        <v>11.21</v>
      </c>
      <c r="P456">
        <v>1</v>
      </c>
      <c r="Q456">
        <v>6.1</v>
      </c>
      <c r="R456">
        <v>9</v>
      </c>
      <c r="S456">
        <v>2.4</v>
      </c>
      <c r="T456" t="s">
        <v>10</v>
      </c>
      <c r="U456">
        <v>3.2</v>
      </c>
      <c r="V456">
        <v>4</v>
      </c>
      <c r="W456">
        <v>2.7</v>
      </c>
      <c r="X456">
        <v>6.4</v>
      </c>
      <c r="Y456">
        <v>6.9</v>
      </c>
      <c r="Z456">
        <v>7.5</v>
      </c>
      <c r="AA456">
        <v>4.3</v>
      </c>
      <c r="AB456" t="s">
        <v>44</v>
      </c>
      <c r="AC456" t="s">
        <v>10</v>
      </c>
      <c r="AD456" t="s">
        <v>45</v>
      </c>
      <c r="AE456" t="str">
        <f t="shared" si="21"/>
        <v>20-24</v>
      </c>
      <c r="AF456" t="str">
        <f t="shared" si="22"/>
        <v>Moderate Usage</v>
      </c>
      <c r="AG456" t="str">
        <f t="shared" si="23"/>
        <v>High Loneliness</v>
      </c>
    </row>
    <row r="457" spans="1:33" x14ac:dyDescent="0.3">
      <c r="A457" t="s">
        <v>501</v>
      </c>
      <c r="B457">
        <v>17</v>
      </c>
      <c r="C457" t="s">
        <v>1</v>
      </c>
      <c r="D457" t="s">
        <v>2</v>
      </c>
      <c r="E457" t="s">
        <v>37</v>
      </c>
      <c r="F457" t="s">
        <v>16</v>
      </c>
      <c r="G457" t="s">
        <v>17</v>
      </c>
      <c r="H457" t="s">
        <v>18</v>
      </c>
      <c r="I457" t="s">
        <v>29</v>
      </c>
      <c r="J457" t="s">
        <v>8</v>
      </c>
      <c r="K457" t="s">
        <v>1079</v>
      </c>
      <c r="L457">
        <v>0</v>
      </c>
      <c r="M457">
        <v>4.49</v>
      </c>
      <c r="N457">
        <v>3.72</v>
      </c>
      <c r="O457">
        <v>6.47</v>
      </c>
      <c r="P457">
        <v>9</v>
      </c>
      <c r="Q457">
        <v>2.4</v>
      </c>
      <c r="R457">
        <v>2.1</v>
      </c>
      <c r="S457">
        <v>9</v>
      </c>
      <c r="T457" t="s">
        <v>39</v>
      </c>
      <c r="U457">
        <v>7.6</v>
      </c>
      <c r="V457">
        <v>9.6</v>
      </c>
      <c r="W457">
        <v>4.5999999999999996</v>
      </c>
      <c r="X457">
        <v>3</v>
      </c>
      <c r="Y457">
        <v>2.1</v>
      </c>
      <c r="Z457">
        <v>4.5</v>
      </c>
      <c r="AA457">
        <v>9.8000000000000007</v>
      </c>
      <c r="AB457" t="s">
        <v>11</v>
      </c>
      <c r="AC457" t="s">
        <v>10</v>
      </c>
      <c r="AD457" t="s">
        <v>12</v>
      </c>
      <c r="AE457" t="str">
        <f t="shared" si="21"/>
        <v>15-19</v>
      </c>
      <c r="AF457" t="str">
        <f t="shared" si="22"/>
        <v>Very Low Usage</v>
      </c>
      <c r="AG457" t="str">
        <f t="shared" si="23"/>
        <v>Low Loneliness</v>
      </c>
    </row>
    <row r="458" spans="1:33" x14ac:dyDescent="0.3">
      <c r="A458" t="s">
        <v>502</v>
      </c>
      <c r="B458">
        <v>42</v>
      </c>
      <c r="C458" t="s">
        <v>32</v>
      </c>
      <c r="D458" t="s">
        <v>14</v>
      </c>
      <c r="E458" t="s">
        <v>37</v>
      </c>
      <c r="F458" t="s">
        <v>12</v>
      </c>
      <c r="G458" t="s">
        <v>5</v>
      </c>
      <c r="H458" t="s">
        <v>18</v>
      </c>
      <c r="I458" t="s">
        <v>29</v>
      </c>
      <c r="J458" t="s">
        <v>8</v>
      </c>
      <c r="K458" t="s">
        <v>1079</v>
      </c>
      <c r="L458">
        <v>1.27</v>
      </c>
      <c r="M458">
        <v>2.2200000000000002</v>
      </c>
      <c r="N458">
        <v>2.97</v>
      </c>
      <c r="O458">
        <v>5.54</v>
      </c>
      <c r="P458">
        <v>4</v>
      </c>
      <c r="Q458">
        <v>4.5999999999999996</v>
      </c>
      <c r="R458">
        <v>5.0999999999999996</v>
      </c>
      <c r="S458">
        <v>5.6</v>
      </c>
      <c r="T458" t="s">
        <v>10</v>
      </c>
      <c r="U458">
        <v>9</v>
      </c>
      <c r="V458">
        <v>5.5</v>
      </c>
      <c r="W458">
        <v>2.1</v>
      </c>
      <c r="X458">
        <v>4.5</v>
      </c>
      <c r="Y458">
        <v>4.2</v>
      </c>
      <c r="Z458">
        <v>6</v>
      </c>
      <c r="AA458">
        <v>4.3</v>
      </c>
      <c r="AB458" t="s">
        <v>21</v>
      </c>
      <c r="AC458" t="s">
        <v>10</v>
      </c>
      <c r="AD458" t="s">
        <v>22</v>
      </c>
      <c r="AE458" t="str">
        <f t="shared" si="21"/>
        <v>35-44</v>
      </c>
      <c r="AF458" t="str">
        <f t="shared" si="22"/>
        <v>Low Usage</v>
      </c>
      <c r="AG458" t="str">
        <f t="shared" si="23"/>
        <v>Moderate Loneliness</v>
      </c>
    </row>
    <row r="459" spans="1:33" x14ac:dyDescent="0.3">
      <c r="A459" t="s">
        <v>503</v>
      </c>
      <c r="B459">
        <v>23</v>
      </c>
      <c r="C459" t="s">
        <v>1</v>
      </c>
      <c r="D459" t="s">
        <v>47</v>
      </c>
      <c r="E459" t="s">
        <v>3</v>
      </c>
      <c r="F459" t="s">
        <v>4</v>
      </c>
      <c r="G459" t="s">
        <v>17</v>
      </c>
      <c r="H459" t="s">
        <v>28</v>
      </c>
      <c r="I459" t="s">
        <v>35</v>
      </c>
      <c r="J459" t="s">
        <v>8</v>
      </c>
      <c r="K459" t="s">
        <v>1079</v>
      </c>
      <c r="L459">
        <v>2.2799999999999998</v>
      </c>
      <c r="M459">
        <v>3.4</v>
      </c>
      <c r="N459">
        <v>3.52</v>
      </c>
      <c r="O459">
        <v>7.78</v>
      </c>
      <c r="P459">
        <v>3</v>
      </c>
      <c r="Q459">
        <v>6.7</v>
      </c>
      <c r="R459">
        <v>6</v>
      </c>
      <c r="S459">
        <v>4.9000000000000004</v>
      </c>
      <c r="T459" t="s">
        <v>10</v>
      </c>
      <c r="U459">
        <v>7.7</v>
      </c>
      <c r="V459">
        <v>3.4</v>
      </c>
      <c r="W459">
        <v>3.4</v>
      </c>
      <c r="X459">
        <v>5.4</v>
      </c>
      <c r="Y459">
        <v>6.2</v>
      </c>
      <c r="Z459">
        <v>5.0999999999999996</v>
      </c>
      <c r="AA459">
        <v>2.6</v>
      </c>
      <c r="AB459" t="s">
        <v>21</v>
      </c>
      <c r="AC459" t="s">
        <v>39</v>
      </c>
      <c r="AD459" t="s">
        <v>45</v>
      </c>
      <c r="AE459" t="str">
        <f t="shared" si="21"/>
        <v>20-24</v>
      </c>
      <c r="AF459" t="str">
        <f t="shared" si="22"/>
        <v>Low Usage</v>
      </c>
      <c r="AG459" t="str">
        <f t="shared" si="23"/>
        <v>High Loneliness</v>
      </c>
    </row>
    <row r="460" spans="1:33" x14ac:dyDescent="0.3">
      <c r="A460" t="s">
        <v>504</v>
      </c>
      <c r="B460">
        <v>19</v>
      </c>
      <c r="C460" t="s">
        <v>1</v>
      </c>
      <c r="D460" t="s">
        <v>2</v>
      </c>
      <c r="E460" t="s">
        <v>15</v>
      </c>
      <c r="F460" t="s">
        <v>4</v>
      </c>
      <c r="G460" t="s">
        <v>43</v>
      </c>
      <c r="H460" t="s">
        <v>33</v>
      </c>
      <c r="I460" t="s">
        <v>24</v>
      </c>
      <c r="J460" t="s">
        <v>8</v>
      </c>
      <c r="K460" t="s">
        <v>1079</v>
      </c>
      <c r="L460">
        <v>3.14</v>
      </c>
      <c r="M460">
        <v>3.6</v>
      </c>
      <c r="N460">
        <v>2.9</v>
      </c>
      <c r="O460">
        <v>8.17</v>
      </c>
      <c r="P460">
        <v>5</v>
      </c>
      <c r="Q460">
        <v>7.6</v>
      </c>
      <c r="R460">
        <v>7.3</v>
      </c>
      <c r="S460">
        <v>4.0999999999999996</v>
      </c>
      <c r="T460" t="s">
        <v>39</v>
      </c>
      <c r="U460">
        <v>5.3</v>
      </c>
      <c r="V460">
        <v>3.7</v>
      </c>
      <c r="W460">
        <v>3</v>
      </c>
      <c r="X460">
        <v>6.3</v>
      </c>
      <c r="Y460">
        <v>6.5</v>
      </c>
      <c r="Z460">
        <v>4.5</v>
      </c>
      <c r="AA460">
        <v>4.2</v>
      </c>
      <c r="AB460" t="s">
        <v>44</v>
      </c>
      <c r="AC460" t="s">
        <v>39</v>
      </c>
      <c r="AD460" t="s">
        <v>45</v>
      </c>
      <c r="AE460" t="str">
        <f t="shared" si="21"/>
        <v>15-19</v>
      </c>
      <c r="AF460" t="str">
        <f t="shared" si="22"/>
        <v>Moderate Usage</v>
      </c>
      <c r="AG460" t="str">
        <f t="shared" si="23"/>
        <v>High Loneliness</v>
      </c>
    </row>
    <row r="461" spans="1:33" x14ac:dyDescent="0.3">
      <c r="A461" t="s">
        <v>505</v>
      </c>
      <c r="B461">
        <v>38</v>
      </c>
      <c r="C461" t="s">
        <v>32</v>
      </c>
      <c r="D461" t="s">
        <v>41</v>
      </c>
      <c r="E461" t="s">
        <v>3</v>
      </c>
      <c r="F461" t="s">
        <v>4</v>
      </c>
      <c r="G461" t="s">
        <v>17</v>
      </c>
      <c r="H461" t="s">
        <v>18</v>
      </c>
      <c r="I461" t="s">
        <v>24</v>
      </c>
      <c r="J461" t="s">
        <v>8</v>
      </c>
      <c r="K461" t="s">
        <v>53</v>
      </c>
      <c r="L461">
        <v>1.62</v>
      </c>
      <c r="M461">
        <v>4.93</v>
      </c>
      <c r="N461">
        <v>3.43</v>
      </c>
      <c r="O461">
        <v>7.72</v>
      </c>
      <c r="P461">
        <v>5</v>
      </c>
      <c r="Q461">
        <v>4.4000000000000004</v>
      </c>
      <c r="R461">
        <v>4.7</v>
      </c>
      <c r="S461">
        <v>5.8</v>
      </c>
      <c r="T461" t="s">
        <v>10</v>
      </c>
      <c r="U461">
        <v>6.5</v>
      </c>
      <c r="V461">
        <v>5.4</v>
      </c>
      <c r="W461">
        <v>5.2</v>
      </c>
      <c r="X461">
        <v>3.1</v>
      </c>
      <c r="Y461">
        <v>5</v>
      </c>
      <c r="Z461">
        <v>5.8</v>
      </c>
      <c r="AA461">
        <v>6.1</v>
      </c>
      <c r="AB461" t="s">
        <v>21</v>
      </c>
      <c r="AC461" t="s">
        <v>10</v>
      </c>
      <c r="AD461" t="s">
        <v>12</v>
      </c>
      <c r="AE461" t="str">
        <f t="shared" si="21"/>
        <v>35-44</v>
      </c>
      <c r="AF461" t="str">
        <f t="shared" si="22"/>
        <v>Low Usage</v>
      </c>
      <c r="AG461" t="str">
        <f t="shared" si="23"/>
        <v>Moderate Loneliness</v>
      </c>
    </row>
    <row r="462" spans="1:33" x14ac:dyDescent="0.3">
      <c r="A462" t="s">
        <v>506</v>
      </c>
      <c r="B462">
        <v>43</v>
      </c>
      <c r="C462" t="s">
        <v>1</v>
      </c>
      <c r="D462" t="s">
        <v>14</v>
      </c>
      <c r="E462" t="s">
        <v>37</v>
      </c>
      <c r="F462" t="s">
        <v>4</v>
      </c>
      <c r="G462" t="s">
        <v>17</v>
      </c>
      <c r="H462" t="s">
        <v>33</v>
      </c>
      <c r="I462" t="s">
        <v>35</v>
      </c>
      <c r="J462" t="s">
        <v>20</v>
      </c>
      <c r="K462" t="s">
        <v>9</v>
      </c>
      <c r="L462">
        <v>3.72</v>
      </c>
      <c r="M462">
        <v>3.11</v>
      </c>
      <c r="N462">
        <v>3.7</v>
      </c>
      <c r="O462">
        <v>9.66</v>
      </c>
      <c r="P462">
        <v>1</v>
      </c>
      <c r="Q462">
        <v>5.7</v>
      </c>
      <c r="R462">
        <v>5.7</v>
      </c>
      <c r="S462">
        <v>2.9</v>
      </c>
      <c r="T462" t="s">
        <v>10</v>
      </c>
      <c r="U462">
        <v>5.9</v>
      </c>
      <c r="V462">
        <v>7</v>
      </c>
      <c r="W462">
        <v>2.5</v>
      </c>
      <c r="X462">
        <v>6.7</v>
      </c>
      <c r="Y462">
        <v>3.1</v>
      </c>
      <c r="Z462">
        <v>7.4</v>
      </c>
      <c r="AA462">
        <v>3.5</v>
      </c>
      <c r="AB462" t="s">
        <v>44</v>
      </c>
      <c r="AC462" t="s">
        <v>10</v>
      </c>
      <c r="AD462" t="s">
        <v>45</v>
      </c>
      <c r="AE462" t="str">
        <f t="shared" si="21"/>
        <v>35-44</v>
      </c>
      <c r="AF462" t="str">
        <f t="shared" si="22"/>
        <v>Moderate Usage</v>
      </c>
      <c r="AG462" t="str">
        <f t="shared" si="23"/>
        <v>Moderate Loneliness</v>
      </c>
    </row>
    <row r="463" spans="1:33" x14ac:dyDescent="0.3">
      <c r="A463" t="s">
        <v>507</v>
      </c>
      <c r="B463">
        <v>31</v>
      </c>
      <c r="C463" t="s">
        <v>27</v>
      </c>
      <c r="D463" t="s">
        <v>14</v>
      </c>
      <c r="E463" t="s">
        <v>37</v>
      </c>
      <c r="F463" t="s">
        <v>4</v>
      </c>
      <c r="G463" t="s">
        <v>43</v>
      </c>
      <c r="H463" t="s">
        <v>18</v>
      </c>
      <c r="I463" t="s">
        <v>29</v>
      </c>
      <c r="J463" t="s">
        <v>38</v>
      </c>
      <c r="K463" t="s">
        <v>53</v>
      </c>
      <c r="L463">
        <v>1.06</v>
      </c>
      <c r="M463">
        <v>3.6</v>
      </c>
      <c r="N463">
        <v>1.91</v>
      </c>
      <c r="O463">
        <v>6.86</v>
      </c>
      <c r="P463">
        <v>4</v>
      </c>
      <c r="Q463">
        <v>3.8</v>
      </c>
      <c r="R463">
        <v>5.9</v>
      </c>
      <c r="S463">
        <v>5.5</v>
      </c>
      <c r="T463" t="s">
        <v>39</v>
      </c>
      <c r="U463">
        <v>8.4</v>
      </c>
      <c r="V463">
        <v>7.1</v>
      </c>
      <c r="W463">
        <v>4.0999999999999996</v>
      </c>
      <c r="X463">
        <v>3.9</v>
      </c>
      <c r="Y463">
        <v>1.8</v>
      </c>
      <c r="Z463">
        <v>3.2</v>
      </c>
      <c r="AA463">
        <v>4.0999999999999996</v>
      </c>
      <c r="AB463" t="s">
        <v>21</v>
      </c>
      <c r="AC463" t="s">
        <v>39</v>
      </c>
      <c r="AD463" t="s">
        <v>12</v>
      </c>
      <c r="AE463" t="str">
        <f t="shared" si="21"/>
        <v>25-34</v>
      </c>
      <c r="AF463" t="str">
        <f t="shared" si="22"/>
        <v>Low Usage</v>
      </c>
      <c r="AG463" t="str">
        <f t="shared" si="23"/>
        <v>Moderate Loneliness</v>
      </c>
    </row>
    <row r="464" spans="1:33" x14ac:dyDescent="0.3">
      <c r="A464" t="s">
        <v>508</v>
      </c>
      <c r="B464">
        <v>28</v>
      </c>
      <c r="C464" t="s">
        <v>1</v>
      </c>
      <c r="D464" t="s">
        <v>14</v>
      </c>
      <c r="E464" t="s">
        <v>15</v>
      </c>
      <c r="F464" t="s">
        <v>12</v>
      </c>
      <c r="G464" t="s">
        <v>5</v>
      </c>
      <c r="H464" t="s">
        <v>28</v>
      </c>
      <c r="I464" t="s">
        <v>24</v>
      </c>
      <c r="J464" t="s">
        <v>8</v>
      </c>
      <c r="K464" t="s">
        <v>9</v>
      </c>
      <c r="L464">
        <v>0</v>
      </c>
      <c r="M464">
        <v>5.16</v>
      </c>
      <c r="N464">
        <v>0.83</v>
      </c>
      <c r="O464">
        <v>2.6</v>
      </c>
      <c r="P464">
        <v>6</v>
      </c>
      <c r="Q464">
        <v>2.8</v>
      </c>
      <c r="R464">
        <v>3.4</v>
      </c>
      <c r="S464">
        <v>5.9</v>
      </c>
      <c r="T464" t="s">
        <v>39</v>
      </c>
      <c r="U464">
        <v>9.6</v>
      </c>
      <c r="V464">
        <v>7.6</v>
      </c>
      <c r="W464">
        <v>2.9</v>
      </c>
      <c r="X464">
        <v>2.1</v>
      </c>
      <c r="Y464">
        <v>1.8</v>
      </c>
      <c r="Z464">
        <v>5.4</v>
      </c>
      <c r="AA464">
        <v>7.2</v>
      </c>
      <c r="AB464" t="s">
        <v>21</v>
      </c>
      <c r="AC464" t="s">
        <v>10</v>
      </c>
      <c r="AD464" t="s">
        <v>12</v>
      </c>
      <c r="AE464" t="str">
        <f t="shared" si="21"/>
        <v>25-34</v>
      </c>
      <c r="AF464" t="str">
        <f t="shared" si="22"/>
        <v>Very Low Usage</v>
      </c>
      <c r="AG464" t="str">
        <f t="shared" si="23"/>
        <v>Low Loneliness</v>
      </c>
    </row>
    <row r="465" spans="1:33" x14ac:dyDescent="0.3">
      <c r="A465" t="s">
        <v>509</v>
      </c>
      <c r="B465">
        <v>35</v>
      </c>
      <c r="C465" t="s">
        <v>1</v>
      </c>
      <c r="D465" t="s">
        <v>14</v>
      </c>
      <c r="E465" t="s">
        <v>15</v>
      </c>
      <c r="F465" t="s">
        <v>4</v>
      </c>
      <c r="G465" t="s">
        <v>17</v>
      </c>
      <c r="H465" t="s">
        <v>33</v>
      </c>
      <c r="I465" t="s">
        <v>29</v>
      </c>
      <c r="J465" t="s">
        <v>48</v>
      </c>
      <c r="K465" t="s">
        <v>9</v>
      </c>
      <c r="L465">
        <v>3.1</v>
      </c>
      <c r="M465">
        <v>5.61</v>
      </c>
      <c r="N465">
        <v>0.24</v>
      </c>
      <c r="O465">
        <v>3.62</v>
      </c>
      <c r="P465">
        <v>8</v>
      </c>
      <c r="Q465">
        <v>2.8</v>
      </c>
      <c r="R465">
        <v>2.2999999999999998</v>
      </c>
      <c r="S465">
        <v>9.8000000000000007</v>
      </c>
      <c r="T465" t="s">
        <v>10</v>
      </c>
      <c r="U465">
        <v>7.7</v>
      </c>
      <c r="V465">
        <v>7.5</v>
      </c>
      <c r="W465">
        <v>7.3</v>
      </c>
      <c r="X465">
        <v>5.0999999999999996</v>
      </c>
      <c r="Y465">
        <v>4.3</v>
      </c>
      <c r="Z465">
        <v>1.7</v>
      </c>
      <c r="AA465">
        <v>8.6999999999999993</v>
      </c>
      <c r="AB465" t="s">
        <v>11</v>
      </c>
      <c r="AC465" t="s">
        <v>39</v>
      </c>
      <c r="AD465" t="s">
        <v>12</v>
      </c>
      <c r="AE465" t="str">
        <f t="shared" si="21"/>
        <v>35-44</v>
      </c>
      <c r="AF465" t="str">
        <f t="shared" si="22"/>
        <v>Moderate Usage</v>
      </c>
      <c r="AG465" t="str">
        <f t="shared" si="23"/>
        <v>Low Loneliness</v>
      </c>
    </row>
    <row r="466" spans="1:33" x14ac:dyDescent="0.3">
      <c r="A466" t="s">
        <v>510</v>
      </c>
      <c r="B466">
        <v>17</v>
      </c>
      <c r="C466" t="s">
        <v>32</v>
      </c>
      <c r="D466" t="s">
        <v>14</v>
      </c>
      <c r="E466" t="s">
        <v>15</v>
      </c>
      <c r="F466" t="s">
        <v>16</v>
      </c>
      <c r="G466" t="s">
        <v>5</v>
      </c>
      <c r="H466" t="s">
        <v>28</v>
      </c>
      <c r="I466" t="s">
        <v>29</v>
      </c>
      <c r="J466" t="s">
        <v>48</v>
      </c>
      <c r="K466" t="s">
        <v>1079</v>
      </c>
      <c r="L466">
        <v>0</v>
      </c>
      <c r="M466">
        <v>5.85</v>
      </c>
      <c r="N466">
        <v>1.48</v>
      </c>
      <c r="O466">
        <v>3.69</v>
      </c>
      <c r="P466">
        <v>10</v>
      </c>
      <c r="Q466">
        <v>2</v>
      </c>
      <c r="R466">
        <v>1</v>
      </c>
      <c r="S466">
        <v>7</v>
      </c>
      <c r="T466" t="s">
        <v>10</v>
      </c>
      <c r="U466">
        <v>8.1999999999999993</v>
      </c>
      <c r="V466">
        <v>8.9</v>
      </c>
      <c r="W466">
        <v>4.3</v>
      </c>
      <c r="X466">
        <v>1</v>
      </c>
      <c r="Y466">
        <v>1</v>
      </c>
      <c r="Z466">
        <v>3.4</v>
      </c>
      <c r="AA466">
        <v>9.8000000000000007</v>
      </c>
      <c r="AB466" t="s">
        <v>11</v>
      </c>
      <c r="AC466" t="s">
        <v>10</v>
      </c>
      <c r="AD466" t="s">
        <v>12</v>
      </c>
      <c r="AE466" t="str">
        <f t="shared" si="21"/>
        <v>15-19</v>
      </c>
      <c r="AF466" t="str">
        <f t="shared" si="22"/>
        <v>Very Low Usage</v>
      </c>
      <c r="AG466" t="str">
        <f t="shared" si="23"/>
        <v>Low Loneliness</v>
      </c>
    </row>
    <row r="467" spans="1:33" x14ac:dyDescent="0.3">
      <c r="A467" t="s">
        <v>511</v>
      </c>
      <c r="B467">
        <v>42</v>
      </c>
      <c r="C467" t="s">
        <v>32</v>
      </c>
      <c r="D467" t="s">
        <v>58</v>
      </c>
      <c r="E467" t="s">
        <v>37</v>
      </c>
      <c r="F467" t="s">
        <v>16</v>
      </c>
      <c r="G467" t="s">
        <v>43</v>
      </c>
      <c r="H467" t="s">
        <v>6</v>
      </c>
      <c r="I467" t="s">
        <v>7</v>
      </c>
      <c r="J467" t="s">
        <v>8</v>
      </c>
      <c r="K467" t="s">
        <v>25</v>
      </c>
      <c r="L467">
        <v>1.7</v>
      </c>
      <c r="M467">
        <v>5.72</v>
      </c>
      <c r="N467">
        <v>0.67</v>
      </c>
      <c r="O467">
        <v>3.93</v>
      </c>
      <c r="P467">
        <v>5</v>
      </c>
      <c r="Q467">
        <v>4.7</v>
      </c>
      <c r="R467">
        <v>2.4</v>
      </c>
      <c r="S467">
        <v>8.1</v>
      </c>
      <c r="T467" t="s">
        <v>10</v>
      </c>
      <c r="U467">
        <v>7.8</v>
      </c>
      <c r="V467">
        <v>8.1999999999999993</v>
      </c>
      <c r="W467">
        <v>5.6</v>
      </c>
      <c r="X467">
        <v>2.6</v>
      </c>
      <c r="Y467">
        <v>2.9</v>
      </c>
      <c r="Z467">
        <v>5.2</v>
      </c>
      <c r="AA467">
        <v>6.8</v>
      </c>
      <c r="AB467" t="s">
        <v>44</v>
      </c>
      <c r="AC467" t="s">
        <v>10</v>
      </c>
      <c r="AD467" t="s">
        <v>12</v>
      </c>
      <c r="AE467" t="str">
        <f t="shared" si="21"/>
        <v>35-44</v>
      </c>
      <c r="AF467" t="str">
        <f t="shared" si="22"/>
        <v>Low Usage</v>
      </c>
      <c r="AG467" t="str">
        <f t="shared" si="23"/>
        <v>Moderate Loneliness</v>
      </c>
    </row>
    <row r="468" spans="1:33" x14ac:dyDescent="0.3">
      <c r="A468" t="s">
        <v>512</v>
      </c>
      <c r="B468">
        <v>15</v>
      </c>
      <c r="C468" t="s">
        <v>32</v>
      </c>
      <c r="D468" t="s">
        <v>14</v>
      </c>
      <c r="E468" t="s">
        <v>37</v>
      </c>
      <c r="F468" t="s">
        <v>12</v>
      </c>
      <c r="G468" t="s">
        <v>17</v>
      </c>
      <c r="H468" t="s">
        <v>18</v>
      </c>
      <c r="I468" t="s">
        <v>24</v>
      </c>
      <c r="J468" t="s">
        <v>38</v>
      </c>
      <c r="K468" t="s">
        <v>1079</v>
      </c>
      <c r="L468">
        <v>0.7</v>
      </c>
      <c r="M468">
        <v>2.64</v>
      </c>
      <c r="N468">
        <v>4.12</v>
      </c>
      <c r="O468">
        <v>5.32</v>
      </c>
      <c r="P468">
        <v>4</v>
      </c>
      <c r="Q468">
        <v>5.3</v>
      </c>
      <c r="R468">
        <v>5.7</v>
      </c>
      <c r="S468">
        <v>3.5</v>
      </c>
      <c r="T468" t="s">
        <v>39</v>
      </c>
      <c r="U468">
        <v>6.8</v>
      </c>
      <c r="V468">
        <v>3.7</v>
      </c>
      <c r="W468">
        <v>4.7</v>
      </c>
      <c r="X468">
        <v>4.4000000000000004</v>
      </c>
      <c r="Y468">
        <v>7.2</v>
      </c>
      <c r="Z468">
        <v>6.8</v>
      </c>
      <c r="AA468">
        <v>4.7</v>
      </c>
      <c r="AB468" t="s">
        <v>44</v>
      </c>
      <c r="AC468" t="s">
        <v>39</v>
      </c>
      <c r="AD468" t="s">
        <v>12</v>
      </c>
      <c r="AE468" t="str">
        <f t="shared" si="21"/>
        <v>15-19</v>
      </c>
      <c r="AF468" t="str">
        <f t="shared" si="22"/>
        <v>Very Low Usage</v>
      </c>
      <c r="AG468" t="str">
        <f t="shared" si="23"/>
        <v>Moderate Loneliness</v>
      </c>
    </row>
    <row r="469" spans="1:33" x14ac:dyDescent="0.3">
      <c r="A469" t="s">
        <v>513</v>
      </c>
      <c r="B469">
        <v>34</v>
      </c>
      <c r="C469" t="s">
        <v>32</v>
      </c>
      <c r="D469" t="s">
        <v>14</v>
      </c>
      <c r="E469" t="s">
        <v>37</v>
      </c>
      <c r="F469" t="s">
        <v>12</v>
      </c>
      <c r="G469" t="s">
        <v>43</v>
      </c>
      <c r="H469" t="s">
        <v>28</v>
      </c>
      <c r="I469" t="s">
        <v>19</v>
      </c>
      <c r="J469" t="s">
        <v>20</v>
      </c>
      <c r="K469" t="s">
        <v>30</v>
      </c>
      <c r="L469">
        <v>1.43</v>
      </c>
      <c r="M469">
        <v>3.53</v>
      </c>
      <c r="N469">
        <v>1.03</v>
      </c>
      <c r="O469">
        <v>3.75</v>
      </c>
      <c r="P469">
        <v>3</v>
      </c>
      <c r="Q469">
        <v>6.1</v>
      </c>
      <c r="R469">
        <v>3.4</v>
      </c>
      <c r="S469">
        <v>7.4</v>
      </c>
      <c r="T469" t="s">
        <v>10</v>
      </c>
      <c r="U469">
        <v>7.4</v>
      </c>
      <c r="V469">
        <v>7.2</v>
      </c>
      <c r="W469">
        <v>4.8</v>
      </c>
      <c r="X469">
        <v>2.5</v>
      </c>
      <c r="Y469">
        <v>4.0999999999999996</v>
      </c>
      <c r="Z469">
        <v>2.2999999999999998</v>
      </c>
      <c r="AA469">
        <v>7.3</v>
      </c>
      <c r="AB469" t="s">
        <v>11</v>
      </c>
      <c r="AC469" t="s">
        <v>10</v>
      </c>
      <c r="AD469" t="s">
        <v>22</v>
      </c>
      <c r="AE469" t="str">
        <f t="shared" si="21"/>
        <v>25-34</v>
      </c>
      <c r="AF469" t="str">
        <f t="shared" si="22"/>
        <v>Low Usage</v>
      </c>
      <c r="AG469" t="str">
        <f t="shared" si="23"/>
        <v>High Loneliness</v>
      </c>
    </row>
    <row r="470" spans="1:33" x14ac:dyDescent="0.3">
      <c r="A470" t="s">
        <v>514</v>
      </c>
      <c r="B470">
        <v>43</v>
      </c>
      <c r="C470" t="s">
        <v>32</v>
      </c>
      <c r="D470" t="s">
        <v>47</v>
      </c>
      <c r="E470" t="s">
        <v>15</v>
      </c>
      <c r="F470" t="s">
        <v>4</v>
      </c>
      <c r="G470" t="s">
        <v>17</v>
      </c>
      <c r="H470" t="s">
        <v>6</v>
      </c>
      <c r="I470" t="s">
        <v>19</v>
      </c>
      <c r="J470" t="s">
        <v>8</v>
      </c>
      <c r="K470" t="s">
        <v>1079</v>
      </c>
      <c r="L470">
        <v>1.1200000000000001</v>
      </c>
      <c r="M470">
        <v>4.88</v>
      </c>
      <c r="N470">
        <v>2.52</v>
      </c>
      <c r="O470">
        <v>5.28</v>
      </c>
      <c r="P470">
        <v>2</v>
      </c>
      <c r="Q470">
        <v>5.4</v>
      </c>
      <c r="R470">
        <v>5.0999999999999996</v>
      </c>
      <c r="S470">
        <v>6.9</v>
      </c>
      <c r="T470" t="s">
        <v>10</v>
      </c>
      <c r="U470">
        <v>6.9</v>
      </c>
      <c r="V470">
        <v>5.5</v>
      </c>
      <c r="W470">
        <v>3.4</v>
      </c>
      <c r="X470">
        <v>7.6</v>
      </c>
      <c r="Y470">
        <v>5.4</v>
      </c>
      <c r="Z470">
        <v>6.6</v>
      </c>
      <c r="AA470">
        <v>4.3</v>
      </c>
      <c r="AB470" t="s">
        <v>44</v>
      </c>
      <c r="AC470" t="s">
        <v>39</v>
      </c>
      <c r="AD470" t="s">
        <v>22</v>
      </c>
      <c r="AE470" t="str">
        <f t="shared" si="21"/>
        <v>35-44</v>
      </c>
      <c r="AF470" t="str">
        <f t="shared" si="22"/>
        <v>Low Usage</v>
      </c>
      <c r="AG470" t="str">
        <f t="shared" si="23"/>
        <v>Moderate Loneliness</v>
      </c>
    </row>
    <row r="471" spans="1:33" x14ac:dyDescent="0.3">
      <c r="A471" t="s">
        <v>515</v>
      </c>
      <c r="B471">
        <v>35</v>
      </c>
      <c r="C471" t="s">
        <v>32</v>
      </c>
      <c r="D471" t="s">
        <v>2</v>
      </c>
      <c r="E471" t="s">
        <v>59</v>
      </c>
      <c r="F471" t="s">
        <v>4</v>
      </c>
      <c r="G471" t="s">
        <v>43</v>
      </c>
      <c r="H471" t="s">
        <v>18</v>
      </c>
      <c r="I471" t="s">
        <v>19</v>
      </c>
      <c r="J471" t="s">
        <v>48</v>
      </c>
      <c r="K471" t="s">
        <v>1079</v>
      </c>
      <c r="L471">
        <v>0.85</v>
      </c>
      <c r="M471">
        <v>1.17</v>
      </c>
      <c r="N471">
        <v>2.85</v>
      </c>
      <c r="O471">
        <v>6.84</v>
      </c>
      <c r="P471">
        <v>0</v>
      </c>
      <c r="Q471">
        <v>8.8000000000000007</v>
      </c>
      <c r="R471">
        <v>5.2</v>
      </c>
      <c r="S471">
        <v>5</v>
      </c>
      <c r="T471" t="s">
        <v>10</v>
      </c>
      <c r="U471">
        <v>6.6</v>
      </c>
      <c r="V471">
        <v>4.8</v>
      </c>
      <c r="W471">
        <v>2</v>
      </c>
      <c r="X471">
        <v>9.6999999999999993</v>
      </c>
      <c r="Y471">
        <v>5.8</v>
      </c>
      <c r="Z471">
        <v>6.9</v>
      </c>
      <c r="AA471">
        <v>2</v>
      </c>
      <c r="AB471" t="s">
        <v>21</v>
      </c>
      <c r="AC471" t="s">
        <v>10</v>
      </c>
      <c r="AD471" t="s">
        <v>45</v>
      </c>
      <c r="AE471" t="str">
        <f t="shared" si="21"/>
        <v>35-44</v>
      </c>
      <c r="AF471" t="str">
        <f t="shared" si="22"/>
        <v>Very Low Usage</v>
      </c>
      <c r="AG471" t="str">
        <f t="shared" si="23"/>
        <v>High Loneliness</v>
      </c>
    </row>
    <row r="472" spans="1:33" x14ac:dyDescent="0.3">
      <c r="A472" t="s">
        <v>516</v>
      </c>
      <c r="B472">
        <v>37</v>
      </c>
      <c r="C472" t="s">
        <v>32</v>
      </c>
      <c r="D472" t="s">
        <v>47</v>
      </c>
      <c r="E472" t="s">
        <v>3</v>
      </c>
      <c r="F472" t="s">
        <v>4</v>
      </c>
      <c r="G472" t="s">
        <v>43</v>
      </c>
      <c r="H472" t="s">
        <v>28</v>
      </c>
      <c r="I472" t="s">
        <v>29</v>
      </c>
      <c r="J472" t="s">
        <v>8</v>
      </c>
      <c r="K472" t="s">
        <v>30</v>
      </c>
      <c r="L472">
        <v>0.6</v>
      </c>
      <c r="M472">
        <v>4.03</v>
      </c>
      <c r="N472">
        <v>2.02</v>
      </c>
      <c r="O472">
        <v>3.13</v>
      </c>
      <c r="P472">
        <v>5</v>
      </c>
      <c r="Q472">
        <v>3.5</v>
      </c>
      <c r="R472">
        <v>2.6</v>
      </c>
      <c r="S472">
        <v>5.7</v>
      </c>
      <c r="T472" t="s">
        <v>10</v>
      </c>
      <c r="U472">
        <v>5.6</v>
      </c>
      <c r="V472">
        <v>8.4</v>
      </c>
      <c r="W472">
        <v>4.5</v>
      </c>
      <c r="X472">
        <v>2.6</v>
      </c>
      <c r="Y472">
        <v>4.3</v>
      </c>
      <c r="Z472">
        <v>3.7</v>
      </c>
      <c r="AA472">
        <v>6.9</v>
      </c>
      <c r="AB472" t="s">
        <v>21</v>
      </c>
      <c r="AC472" t="s">
        <v>10</v>
      </c>
      <c r="AD472" t="s">
        <v>12</v>
      </c>
      <c r="AE472" t="str">
        <f t="shared" si="21"/>
        <v>35-44</v>
      </c>
      <c r="AF472" t="str">
        <f t="shared" si="22"/>
        <v>Very Low Usage</v>
      </c>
      <c r="AG472" t="str">
        <f t="shared" si="23"/>
        <v>Moderate Loneliness</v>
      </c>
    </row>
    <row r="473" spans="1:33" x14ac:dyDescent="0.3">
      <c r="A473" t="s">
        <v>517</v>
      </c>
      <c r="B473">
        <v>15</v>
      </c>
      <c r="C473" t="s">
        <v>1</v>
      </c>
      <c r="D473" t="s">
        <v>14</v>
      </c>
      <c r="E473" t="s">
        <v>15</v>
      </c>
      <c r="F473" t="s">
        <v>16</v>
      </c>
      <c r="G473" t="s">
        <v>17</v>
      </c>
      <c r="H473" t="s">
        <v>33</v>
      </c>
      <c r="I473" t="s">
        <v>29</v>
      </c>
      <c r="J473" t="s">
        <v>48</v>
      </c>
      <c r="K473" t="s">
        <v>1079</v>
      </c>
      <c r="L473">
        <v>4.5</v>
      </c>
      <c r="M473">
        <v>0.69</v>
      </c>
      <c r="N473">
        <v>4.87</v>
      </c>
      <c r="O473">
        <v>11.72</v>
      </c>
      <c r="P473">
        <v>2</v>
      </c>
      <c r="Q473">
        <v>10</v>
      </c>
      <c r="R473">
        <v>10</v>
      </c>
      <c r="S473">
        <v>1.5</v>
      </c>
      <c r="T473" t="s">
        <v>39</v>
      </c>
      <c r="U473">
        <v>4.9000000000000004</v>
      </c>
      <c r="V473">
        <v>1.5</v>
      </c>
      <c r="W473">
        <v>0</v>
      </c>
      <c r="X473">
        <v>10</v>
      </c>
      <c r="Y473">
        <v>10</v>
      </c>
      <c r="Z473">
        <v>10</v>
      </c>
      <c r="AA473">
        <v>3.4</v>
      </c>
      <c r="AB473" t="s">
        <v>44</v>
      </c>
      <c r="AC473" t="s">
        <v>10</v>
      </c>
      <c r="AD473" t="s">
        <v>45</v>
      </c>
      <c r="AE473" t="str">
        <f t="shared" si="21"/>
        <v>15-19</v>
      </c>
      <c r="AF473" t="str">
        <f t="shared" si="22"/>
        <v>High Usage</v>
      </c>
      <c r="AG473" t="str">
        <f t="shared" si="23"/>
        <v>High Loneliness</v>
      </c>
    </row>
    <row r="474" spans="1:33" x14ac:dyDescent="0.3">
      <c r="A474" t="s">
        <v>518</v>
      </c>
      <c r="B474">
        <v>17</v>
      </c>
      <c r="C474" t="s">
        <v>32</v>
      </c>
      <c r="D474" t="s">
        <v>2</v>
      </c>
      <c r="E474" t="s">
        <v>3</v>
      </c>
      <c r="F474" t="s">
        <v>12</v>
      </c>
      <c r="G474" t="s">
        <v>17</v>
      </c>
      <c r="H474" t="s">
        <v>28</v>
      </c>
      <c r="I474" t="s">
        <v>29</v>
      </c>
      <c r="J474" t="s">
        <v>8</v>
      </c>
      <c r="K474" t="s">
        <v>30</v>
      </c>
      <c r="L474">
        <v>2.31</v>
      </c>
      <c r="M474">
        <v>1.61</v>
      </c>
      <c r="N474">
        <v>3.7</v>
      </c>
      <c r="O474">
        <v>10.23</v>
      </c>
      <c r="P474">
        <v>4</v>
      </c>
      <c r="Q474">
        <v>7.2</v>
      </c>
      <c r="R474">
        <v>7.5</v>
      </c>
      <c r="S474">
        <v>3.7</v>
      </c>
      <c r="T474" t="s">
        <v>39</v>
      </c>
      <c r="U474">
        <v>5.4</v>
      </c>
      <c r="V474">
        <v>3.5</v>
      </c>
      <c r="W474">
        <v>3.1</v>
      </c>
      <c r="X474">
        <v>6.7</v>
      </c>
      <c r="Y474">
        <v>6.2</v>
      </c>
      <c r="Z474">
        <v>7.4</v>
      </c>
      <c r="AA474">
        <v>6.5</v>
      </c>
      <c r="AB474" t="s">
        <v>44</v>
      </c>
      <c r="AC474" t="s">
        <v>10</v>
      </c>
      <c r="AD474" t="s">
        <v>45</v>
      </c>
      <c r="AE474" t="str">
        <f t="shared" si="21"/>
        <v>15-19</v>
      </c>
      <c r="AF474" t="str">
        <f t="shared" si="22"/>
        <v>Low Usage</v>
      </c>
      <c r="AG474" t="str">
        <f t="shared" si="23"/>
        <v>High Loneliness</v>
      </c>
    </row>
    <row r="475" spans="1:33" x14ac:dyDescent="0.3">
      <c r="A475" t="s">
        <v>519</v>
      </c>
      <c r="B475">
        <v>32</v>
      </c>
      <c r="C475" t="s">
        <v>1</v>
      </c>
      <c r="D475" t="s">
        <v>14</v>
      </c>
      <c r="E475" t="s">
        <v>37</v>
      </c>
      <c r="F475" t="s">
        <v>12</v>
      </c>
      <c r="G475" t="s">
        <v>17</v>
      </c>
      <c r="H475" t="s">
        <v>33</v>
      </c>
      <c r="I475" t="s">
        <v>29</v>
      </c>
      <c r="J475" t="s">
        <v>51</v>
      </c>
      <c r="K475" t="s">
        <v>1079</v>
      </c>
      <c r="L475">
        <v>1.44</v>
      </c>
      <c r="M475">
        <v>4.03</v>
      </c>
      <c r="N475">
        <v>0.78</v>
      </c>
      <c r="O475">
        <v>4.04</v>
      </c>
      <c r="P475">
        <v>4</v>
      </c>
      <c r="Q475">
        <v>6.5</v>
      </c>
      <c r="R475">
        <v>2.9</v>
      </c>
      <c r="S475">
        <v>5.2</v>
      </c>
      <c r="T475" t="s">
        <v>10</v>
      </c>
      <c r="U475">
        <v>7.8</v>
      </c>
      <c r="V475">
        <v>6.5</v>
      </c>
      <c r="W475">
        <v>6.5</v>
      </c>
      <c r="X475">
        <v>6.1</v>
      </c>
      <c r="Y475">
        <v>3.5</v>
      </c>
      <c r="Z475">
        <v>2.2999999999999998</v>
      </c>
      <c r="AA475">
        <v>4.8</v>
      </c>
      <c r="AB475" t="s">
        <v>21</v>
      </c>
      <c r="AC475" t="s">
        <v>39</v>
      </c>
      <c r="AD475" t="s">
        <v>22</v>
      </c>
      <c r="AE475" t="str">
        <f t="shared" si="21"/>
        <v>25-34</v>
      </c>
      <c r="AF475" t="str">
        <f t="shared" si="22"/>
        <v>Low Usage</v>
      </c>
      <c r="AG475" t="str">
        <f t="shared" si="23"/>
        <v>High Loneliness</v>
      </c>
    </row>
    <row r="476" spans="1:33" x14ac:dyDescent="0.3">
      <c r="A476" t="s">
        <v>520</v>
      </c>
      <c r="B476">
        <v>39</v>
      </c>
      <c r="C476" t="s">
        <v>89</v>
      </c>
      <c r="D476" t="s">
        <v>14</v>
      </c>
      <c r="E476" t="s">
        <v>37</v>
      </c>
      <c r="F476" t="s">
        <v>4</v>
      </c>
      <c r="G476" t="s">
        <v>5</v>
      </c>
      <c r="H476" t="s">
        <v>33</v>
      </c>
      <c r="I476" t="s">
        <v>7</v>
      </c>
      <c r="J476" t="s">
        <v>20</v>
      </c>
      <c r="K476" t="s">
        <v>1079</v>
      </c>
      <c r="L476">
        <v>1</v>
      </c>
      <c r="M476">
        <v>4.99</v>
      </c>
      <c r="N476">
        <v>1.52</v>
      </c>
      <c r="O476">
        <v>4.3099999999999996</v>
      </c>
      <c r="P476">
        <v>6</v>
      </c>
      <c r="Q476">
        <v>3.7</v>
      </c>
      <c r="R476">
        <v>2.2000000000000002</v>
      </c>
      <c r="S476">
        <v>6.5</v>
      </c>
      <c r="T476" t="s">
        <v>10</v>
      </c>
      <c r="U476">
        <v>6.4</v>
      </c>
      <c r="V476">
        <v>8.4</v>
      </c>
      <c r="W476">
        <v>3.9</v>
      </c>
      <c r="X476">
        <v>3.9</v>
      </c>
      <c r="Y476">
        <v>4.2</v>
      </c>
      <c r="Z476">
        <v>3.1</v>
      </c>
      <c r="AA476">
        <v>5.9</v>
      </c>
      <c r="AB476" t="s">
        <v>21</v>
      </c>
      <c r="AC476" t="s">
        <v>10</v>
      </c>
      <c r="AD476" t="s">
        <v>12</v>
      </c>
      <c r="AE476" t="str">
        <f t="shared" si="21"/>
        <v>35-44</v>
      </c>
      <c r="AF476" t="str">
        <f t="shared" si="22"/>
        <v>Very Low Usage</v>
      </c>
      <c r="AG476" t="str">
        <f t="shared" si="23"/>
        <v>Moderate Loneliness</v>
      </c>
    </row>
    <row r="477" spans="1:33" x14ac:dyDescent="0.3">
      <c r="A477" t="s">
        <v>521</v>
      </c>
      <c r="B477">
        <v>24</v>
      </c>
      <c r="C477" t="s">
        <v>27</v>
      </c>
      <c r="D477" t="s">
        <v>58</v>
      </c>
      <c r="E477" t="s">
        <v>37</v>
      </c>
      <c r="F477" t="s">
        <v>16</v>
      </c>
      <c r="G477" t="s">
        <v>5</v>
      </c>
      <c r="H477" t="s">
        <v>6</v>
      </c>
      <c r="I477" t="s">
        <v>29</v>
      </c>
      <c r="J477" t="s">
        <v>48</v>
      </c>
      <c r="K477" t="s">
        <v>53</v>
      </c>
      <c r="L477">
        <v>0.24</v>
      </c>
      <c r="M477">
        <v>5.27</v>
      </c>
      <c r="N477">
        <v>2.46</v>
      </c>
      <c r="O477">
        <v>5.43</v>
      </c>
      <c r="P477">
        <v>10</v>
      </c>
      <c r="Q477">
        <v>2.2000000000000002</v>
      </c>
      <c r="R477">
        <v>2.6</v>
      </c>
      <c r="S477">
        <v>9.1</v>
      </c>
      <c r="T477" t="s">
        <v>10</v>
      </c>
      <c r="U477">
        <v>6.3</v>
      </c>
      <c r="V477">
        <v>9.3000000000000007</v>
      </c>
      <c r="W477">
        <v>5.2</v>
      </c>
      <c r="X477">
        <v>3</v>
      </c>
      <c r="Y477">
        <v>1</v>
      </c>
      <c r="Z477">
        <v>4.7</v>
      </c>
      <c r="AA477">
        <v>10</v>
      </c>
      <c r="AB477" t="s">
        <v>11</v>
      </c>
      <c r="AC477" t="s">
        <v>10</v>
      </c>
      <c r="AD477" t="s">
        <v>12</v>
      </c>
      <c r="AE477" t="str">
        <f t="shared" si="21"/>
        <v>20-24</v>
      </c>
      <c r="AF477" t="str">
        <f t="shared" si="22"/>
        <v>Very Low Usage</v>
      </c>
      <c r="AG477" t="str">
        <f t="shared" si="23"/>
        <v>Low Loneliness</v>
      </c>
    </row>
    <row r="478" spans="1:33" x14ac:dyDescent="0.3">
      <c r="A478" t="s">
        <v>522</v>
      </c>
      <c r="B478">
        <v>36</v>
      </c>
      <c r="C478" t="s">
        <v>1</v>
      </c>
      <c r="D478" t="s">
        <v>14</v>
      </c>
      <c r="E478" t="s">
        <v>37</v>
      </c>
      <c r="F478" t="s">
        <v>12</v>
      </c>
      <c r="G478" t="s">
        <v>5</v>
      </c>
      <c r="H478" t="s">
        <v>18</v>
      </c>
      <c r="I478" t="s">
        <v>29</v>
      </c>
      <c r="J478" t="s">
        <v>8</v>
      </c>
      <c r="K478" t="s">
        <v>53</v>
      </c>
      <c r="L478">
        <v>1.6</v>
      </c>
      <c r="M478">
        <v>4.83</v>
      </c>
      <c r="N478">
        <v>3.13</v>
      </c>
      <c r="O478">
        <v>7.26</v>
      </c>
      <c r="P478">
        <v>3</v>
      </c>
      <c r="Q478">
        <v>4.5999999999999996</v>
      </c>
      <c r="R478">
        <v>4.4000000000000004</v>
      </c>
      <c r="S478">
        <v>5.3</v>
      </c>
      <c r="T478" t="s">
        <v>10</v>
      </c>
      <c r="U478">
        <v>5.4</v>
      </c>
      <c r="V478">
        <v>6.1</v>
      </c>
      <c r="W478">
        <v>2.5</v>
      </c>
      <c r="X478">
        <v>6.1</v>
      </c>
      <c r="Y478">
        <v>5.3</v>
      </c>
      <c r="Z478">
        <v>5.5</v>
      </c>
      <c r="AA478">
        <v>5.2</v>
      </c>
      <c r="AB478" t="s">
        <v>21</v>
      </c>
      <c r="AC478" t="s">
        <v>10</v>
      </c>
      <c r="AD478" t="s">
        <v>22</v>
      </c>
      <c r="AE478" t="str">
        <f t="shared" si="21"/>
        <v>35-44</v>
      </c>
      <c r="AF478" t="str">
        <f t="shared" si="22"/>
        <v>Low Usage</v>
      </c>
      <c r="AG478" t="str">
        <f t="shared" si="23"/>
        <v>Moderate Loneliness</v>
      </c>
    </row>
    <row r="479" spans="1:33" x14ac:dyDescent="0.3">
      <c r="A479" t="s">
        <v>523</v>
      </c>
      <c r="B479">
        <v>40</v>
      </c>
      <c r="C479" t="s">
        <v>32</v>
      </c>
      <c r="D479" t="s">
        <v>2</v>
      </c>
      <c r="E479" t="s">
        <v>37</v>
      </c>
      <c r="F479" t="s">
        <v>16</v>
      </c>
      <c r="G479" t="s">
        <v>17</v>
      </c>
      <c r="H479" t="s">
        <v>18</v>
      </c>
      <c r="I479" t="s">
        <v>19</v>
      </c>
      <c r="J479" t="s">
        <v>48</v>
      </c>
      <c r="K479" t="s">
        <v>53</v>
      </c>
      <c r="L479">
        <v>0</v>
      </c>
      <c r="M479">
        <v>7.57</v>
      </c>
      <c r="N479">
        <v>0</v>
      </c>
      <c r="O479">
        <v>3.42</v>
      </c>
      <c r="P479">
        <v>4</v>
      </c>
      <c r="Q479">
        <v>3.2</v>
      </c>
      <c r="R479">
        <v>1</v>
      </c>
      <c r="S479">
        <v>10</v>
      </c>
      <c r="T479" t="s">
        <v>10</v>
      </c>
      <c r="U479">
        <v>8.9</v>
      </c>
      <c r="V479">
        <v>9.6</v>
      </c>
      <c r="W479">
        <v>6.9</v>
      </c>
      <c r="X479">
        <v>1.7</v>
      </c>
      <c r="Y479">
        <v>1</v>
      </c>
      <c r="Z479">
        <v>1.5</v>
      </c>
      <c r="AA479">
        <v>10</v>
      </c>
      <c r="AB479" t="s">
        <v>11</v>
      </c>
      <c r="AC479" t="s">
        <v>10</v>
      </c>
      <c r="AD479" t="s">
        <v>12</v>
      </c>
      <c r="AE479" t="str">
        <f t="shared" si="21"/>
        <v>35-44</v>
      </c>
      <c r="AF479" t="str">
        <f t="shared" si="22"/>
        <v>Very Low Usage</v>
      </c>
      <c r="AG479" t="str">
        <f t="shared" si="23"/>
        <v>Moderate Loneliness</v>
      </c>
    </row>
    <row r="480" spans="1:33" x14ac:dyDescent="0.3">
      <c r="A480" t="s">
        <v>524</v>
      </c>
      <c r="B480">
        <v>17</v>
      </c>
      <c r="C480" t="s">
        <v>27</v>
      </c>
      <c r="D480" t="s">
        <v>14</v>
      </c>
      <c r="E480" t="s">
        <v>37</v>
      </c>
      <c r="F480" t="s">
        <v>4</v>
      </c>
      <c r="G480" t="s">
        <v>17</v>
      </c>
      <c r="H480" t="s">
        <v>33</v>
      </c>
      <c r="I480" t="s">
        <v>7</v>
      </c>
      <c r="J480" t="s">
        <v>48</v>
      </c>
      <c r="K480" t="s">
        <v>53</v>
      </c>
      <c r="L480">
        <v>3</v>
      </c>
      <c r="M480">
        <v>2.23</v>
      </c>
      <c r="N480">
        <v>4.13</v>
      </c>
      <c r="O480">
        <v>8.9600000000000009</v>
      </c>
      <c r="P480">
        <v>3</v>
      </c>
      <c r="Q480">
        <v>7.5</v>
      </c>
      <c r="R480">
        <v>5.5</v>
      </c>
      <c r="S480">
        <v>2.2999999999999998</v>
      </c>
      <c r="T480" t="s">
        <v>39</v>
      </c>
      <c r="U480">
        <v>5.3</v>
      </c>
      <c r="V480">
        <v>3.6</v>
      </c>
      <c r="W480">
        <v>1.3</v>
      </c>
      <c r="X480">
        <v>7.2</v>
      </c>
      <c r="Y480">
        <v>6.3</v>
      </c>
      <c r="Z480">
        <v>6</v>
      </c>
      <c r="AA480">
        <v>4.8</v>
      </c>
      <c r="AB480" t="s">
        <v>21</v>
      </c>
      <c r="AC480" t="s">
        <v>39</v>
      </c>
      <c r="AD480" t="s">
        <v>45</v>
      </c>
      <c r="AE480" t="str">
        <f t="shared" si="21"/>
        <v>15-19</v>
      </c>
      <c r="AF480" t="str">
        <f t="shared" si="22"/>
        <v>Moderate Usage</v>
      </c>
      <c r="AG480" t="str">
        <f t="shared" si="23"/>
        <v>High Loneliness</v>
      </c>
    </row>
    <row r="481" spans="1:33" x14ac:dyDescent="0.3">
      <c r="A481" t="s">
        <v>525</v>
      </c>
      <c r="B481">
        <v>22</v>
      </c>
      <c r="C481" t="s">
        <v>1</v>
      </c>
      <c r="D481" t="s">
        <v>14</v>
      </c>
      <c r="E481" t="s">
        <v>15</v>
      </c>
      <c r="F481" t="s">
        <v>45</v>
      </c>
      <c r="G481" t="s">
        <v>17</v>
      </c>
      <c r="H481" t="s">
        <v>28</v>
      </c>
      <c r="I481" t="s">
        <v>29</v>
      </c>
      <c r="J481" t="s">
        <v>20</v>
      </c>
      <c r="K481" t="s">
        <v>53</v>
      </c>
      <c r="L481">
        <v>0</v>
      </c>
      <c r="M481">
        <v>9.75</v>
      </c>
      <c r="N481">
        <v>0</v>
      </c>
      <c r="O481">
        <v>2.7</v>
      </c>
      <c r="P481">
        <v>10</v>
      </c>
      <c r="Q481">
        <v>1</v>
      </c>
      <c r="R481">
        <v>1</v>
      </c>
      <c r="S481">
        <v>10</v>
      </c>
      <c r="T481" t="s">
        <v>10</v>
      </c>
      <c r="U481">
        <v>8.8000000000000007</v>
      </c>
      <c r="V481">
        <v>10</v>
      </c>
      <c r="W481">
        <v>8.6999999999999993</v>
      </c>
      <c r="X481">
        <v>1</v>
      </c>
      <c r="Y481">
        <v>1</v>
      </c>
      <c r="Z481">
        <v>1</v>
      </c>
      <c r="AA481">
        <v>10</v>
      </c>
      <c r="AB481" t="s">
        <v>11</v>
      </c>
      <c r="AC481" t="s">
        <v>10</v>
      </c>
      <c r="AD481" t="s">
        <v>12</v>
      </c>
      <c r="AE481" t="str">
        <f t="shared" si="21"/>
        <v>20-24</v>
      </c>
      <c r="AF481" t="str">
        <f t="shared" si="22"/>
        <v>Very Low Usage</v>
      </c>
      <c r="AG481" t="str">
        <f t="shared" si="23"/>
        <v>Low Loneliness</v>
      </c>
    </row>
    <row r="482" spans="1:33" x14ac:dyDescent="0.3">
      <c r="A482" t="s">
        <v>526</v>
      </c>
      <c r="B482">
        <v>28</v>
      </c>
      <c r="C482" t="s">
        <v>32</v>
      </c>
      <c r="D482" t="s">
        <v>58</v>
      </c>
      <c r="E482" t="s">
        <v>37</v>
      </c>
      <c r="F482" t="s">
        <v>45</v>
      </c>
      <c r="G482" t="s">
        <v>17</v>
      </c>
      <c r="H482" t="s">
        <v>18</v>
      </c>
      <c r="I482" t="s">
        <v>29</v>
      </c>
      <c r="J482" t="s">
        <v>20</v>
      </c>
      <c r="K482" t="s">
        <v>25</v>
      </c>
      <c r="L482">
        <v>2.0299999999999998</v>
      </c>
      <c r="M482">
        <v>3.61</v>
      </c>
      <c r="N482">
        <v>1.95</v>
      </c>
      <c r="O482">
        <v>6.7</v>
      </c>
      <c r="P482">
        <v>2</v>
      </c>
      <c r="Q482">
        <v>6.7</v>
      </c>
      <c r="R482">
        <v>4.5</v>
      </c>
      <c r="S482">
        <v>5.5</v>
      </c>
      <c r="T482" t="s">
        <v>10</v>
      </c>
      <c r="U482">
        <v>8.4</v>
      </c>
      <c r="V482">
        <v>7.4</v>
      </c>
      <c r="W482">
        <v>5.7</v>
      </c>
      <c r="X482">
        <v>3.7</v>
      </c>
      <c r="Y482">
        <v>5.4</v>
      </c>
      <c r="Z482">
        <v>6.5</v>
      </c>
      <c r="AA482">
        <v>5.4</v>
      </c>
      <c r="AB482" t="s">
        <v>21</v>
      </c>
      <c r="AC482" t="s">
        <v>10</v>
      </c>
      <c r="AD482" t="s">
        <v>22</v>
      </c>
      <c r="AE482" t="str">
        <f t="shared" si="21"/>
        <v>25-34</v>
      </c>
      <c r="AF482" t="str">
        <f t="shared" si="22"/>
        <v>Low Usage</v>
      </c>
      <c r="AG482" t="str">
        <f t="shared" si="23"/>
        <v>High Loneliness</v>
      </c>
    </row>
    <row r="483" spans="1:33" x14ac:dyDescent="0.3">
      <c r="A483" t="s">
        <v>527</v>
      </c>
      <c r="B483">
        <v>38</v>
      </c>
      <c r="C483" t="s">
        <v>32</v>
      </c>
      <c r="D483" t="s">
        <v>14</v>
      </c>
      <c r="E483" t="s">
        <v>3</v>
      </c>
      <c r="F483" t="s">
        <v>4</v>
      </c>
      <c r="G483" t="s">
        <v>5</v>
      </c>
      <c r="H483" t="s">
        <v>18</v>
      </c>
      <c r="I483" t="s">
        <v>19</v>
      </c>
      <c r="J483" t="s">
        <v>20</v>
      </c>
      <c r="K483" t="s">
        <v>53</v>
      </c>
      <c r="L483">
        <v>0</v>
      </c>
      <c r="M483">
        <v>5.05</v>
      </c>
      <c r="N483">
        <v>1.1299999999999999</v>
      </c>
      <c r="O483">
        <v>2.79</v>
      </c>
      <c r="P483">
        <v>7</v>
      </c>
      <c r="Q483">
        <v>2.6</v>
      </c>
      <c r="R483">
        <v>3.4</v>
      </c>
      <c r="S483">
        <v>7.9</v>
      </c>
      <c r="T483" t="s">
        <v>39</v>
      </c>
      <c r="U483">
        <v>8.1</v>
      </c>
      <c r="V483">
        <v>9.6999999999999993</v>
      </c>
      <c r="W483">
        <v>7.4</v>
      </c>
      <c r="X483">
        <v>1</v>
      </c>
      <c r="Y483">
        <v>1</v>
      </c>
      <c r="Z483">
        <v>5.8</v>
      </c>
      <c r="AA483">
        <v>7.7</v>
      </c>
      <c r="AB483" t="s">
        <v>21</v>
      </c>
      <c r="AC483" t="s">
        <v>10</v>
      </c>
      <c r="AD483" t="s">
        <v>12</v>
      </c>
      <c r="AE483" t="str">
        <f t="shared" si="21"/>
        <v>35-44</v>
      </c>
      <c r="AF483" t="str">
        <f t="shared" si="22"/>
        <v>Very Low Usage</v>
      </c>
      <c r="AG483" t="str">
        <f t="shared" si="23"/>
        <v>Low Loneliness</v>
      </c>
    </row>
    <row r="484" spans="1:33" x14ac:dyDescent="0.3">
      <c r="A484" t="s">
        <v>528</v>
      </c>
      <c r="B484">
        <v>32</v>
      </c>
      <c r="C484" t="s">
        <v>1</v>
      </c>
      <c r="D484" t="s">
        <v>2</v>
      </c>
      <c r="E484" t="s">
        <v>15</v>
      </c>
      <c r="F484" t="s">
        <v>12</v>
      </c>
      <c r="G484" t="s">
        <v>43</v>
      </c>
      <c r="H484" t="s">
        <v>28</v>
      </c>
      <c r="I484" t="s">
        <v>24</v>
      </c>
      <c r="J484" t="s">
        <v>51</v>
      </c>
      <c r="K484" t="s">
        <v>30</v>
      </c>
      <c r="L484">
        <v>0.3</v>
      </c>
      <c r="M484">
        <v>4.0599999999999996</v>
      </c>
      <c r="N484">
        <v>3.36</v>
      </c>
      <c r="O484">
        <v>5.54</v>
      </c>
      <c r="P484">
        <v>5</v>
      </c>
      <c r="Q484">
        <v>3.2</v>
      </c>
      <c r="R484">
        <v>1.5</v>
      </c>
      <c r="S484">
        <v>8.3000000000000007</v>
      </c>
      <c r="T484" t="s">
        <v>10</v>
      </c>
      <c r="U484">
        <v>7</v>
      </c>
      <c r="V484">
        <v>7.3</v>
      </c>
      <c r="W484">
        <v>2.7</v>
      </c>
      <c r="X484">
        <v>4</v>
      </c>
      <c r="Y484">
        <v>1.4</v>
      </c>
      <c r="Z484">
        <v>3.4</v>
      </c>
      <c r="AA484">
        <v>6.2</v>
      </c>
      <c r="AB484" t="s">
        <v>21</v>
      </c>
      <c r="AC484" t="s">
        <v>10</v>
      </c>
      <c r="AD484" t="s">
        <v>12</v>
      </c>
      <c r="AE484" t="str">
        <f t="shared" si="21"/>
        <v>25-34</v>
      </c>
      <c r="AF484" t="str">
        <f t="shared" si="22"/>
        <v>Very Low Usage</v>
      </c>
      <c r="AG484" t="str">
        <f t="shared" si="23"/>
        <v>Moderate Loneliness</v>
      </c>
    </row>
    <row r="485" spans="1:33" x14ac:dyDescent="0.3">
      <c r="A485" t="s">
        <v>529</v>
      </c>
      <c r="B485">
        <v>29</v>
      </c>
      <c r="C485" t="s">
        <v>32</v>
      </c>
      <c r="D485" t="s">
        <v>41</v>
      </c>
      <c r="E485" t="s">
        <v>37</v>
      </c>
      <c r="F485" t="s">
        <v>4</v>
      </c>
      <c r="G485" t="s">
        <v>5</v>
      </c>
      <c r="H485" t="s">
        <v>18</v>
      </c>
      <c r="I485" t="s">
        <v>19</v>
      </c>
      <c r="J485" t="s">
        <v>20</v>
      </c>
      <c r="K485" t="s">
        <v>53</v>
      </c>
      <c r="L485">
        <v>1.17</v>
      </c>
      <c r="M485">
        <v>5.17</v>
      </c>
      <c r="N485">
        <v>0.89</v>
      </c>
      <c r="O485">
        <v>4.04</v>
      </c>
      <c r="P485">
        <v>5</v>
      </c>
      <c r="Q485">
        <v>3</v>
      </c>
      <c r="R485">
        <v>3.8</v>
      </c>
      <c r="S485">
        <v>5.5</v>
      </c>
      <c r="T485" t="s">
        <v>10</v>
      </c>
      <c r="U485">
        <v>6.3</v>
      </c>
      <c r="V485">
        <v>6.9</v>
      </c>
      <c r="W485">
        <v>5.8</v>
      </c>
      <c r="X485">
        <v>3.6</v>
      </c>
      <c r="Y485">
        <v>3.6</v>
      </c>
      <c r="Z485">
        <v>5.0999999999999996</v>
      </c>
      <c r="AA485">
        <v>8</v>
      </c>
      <c r="AB485" t="s">
        <v>21</v>
      </c>
      <c r="AC485" t="s">
        <v>10</v>
      </c>
      <c r="AD485" t="s">
        <v>12</v>
      </c>
      <c r="AE485" t="str">
        <f t="shared" si="21"/>
        <v>25-34</v>
      </c>
      <c r="AF485" t="str">
        <f t="shared" si="22"/>
        <v>Low Usage</v>
      </c>
      <c r="AG485" t="str">
        <f t="shared" si="23"/>
        <v>Low Loneliness</v>
      </c>
    </row>
    <row r="486" spans="1:33" x14ac:dyDescent="0.3">
      <c r="A486" t="s">
        <v>530</v>
      </c>
      <c r="B486">
        <v>36</v>
      </c>
      <c r="C486" t="s">
        <v>1</v>
      </c>
      <c r="D486" t="s">
        <v>2</v>
      </c>
      <c r="E486" t="s">
        <v>37</v>
      </c>
      <c r="F486" t="s">
        <v>12</v>
      </c>
      <c r="G486" t="s">
        <v>17</v>
      </c>
      <c r="H486" t="s">
        <v>6</v>
      </c>
      <c r="I486" t="s">
        <v>7</v>
      </c>
      <c r="J486" t="s">
        <v>51</v>
      </c>
      <c r="K486" t="s">
        <v>25</v>
      </c>
      <c r="L486">
        <v>4.17</v>
      </c>
      <c r="M486">
        <v>1.59</v>
      </c>
      <c r="N486">
        <v>3.02</v>
      </c>
      <c r="O486">
        <v>7.96</v>
      </c>
      <c r="P486">
        <v>0</v>
      </c>
      <c r="Q486">
        <v>9.8000000000000007</v>
      </c>
      <c r="R486">
        <v>6.8</v>
      </c>
      <c r="S486">
        <v>5</v>
      </c>
      <c r="T486" t="s">
        <v>10</v>
      </c>
      <c r="U486">
        <v>6</v>
      </c>
      <c r="V486">
        <v>2.2000000000000002</v>
      </c>
      <c r="W486">
        <v>2.7</v>
      </c>
      <c r="X486">
        <v>8.6999999999999993</v>
      </c>
      <c r="Y486">
        <v>6</v>
      </c>
      <c r="Z486">
        <v>10</v>
      </c>
      <c r="AA486">
        <v>1</v>
      </c>
      <c r="AB486" t="s">
        <v>44</v>
      </c>
      <c r="AC486" t="s">
        <v>39</v>
      </c>
      <c r="AD486" t="s">
        <v>45</v>
      </c>
      <c r="AE486" t="str">
        <f t="shared" si="21"/>
        <v>35-44</v>
      </c>
      <c r="AF486" t="str">
        <f t="shared" si="22"/>
        <v>High Usage</v>
      </c>
      <c r="AG486" t="str">
        <f t="shared" si="23"/>
        <v>High Loneliness</v>
      </c>
    </row>
    <row r="487" spans="1:33" x14ac:dyDescent="0.3">
      <c r="A487" t="s">
        <v>531</v>
      </c>
      <c r="B487">
        <v>37</v>
      </c>
      <c r="C487" t="s">
        <v>27</v>
      </c>
      <c r="D487" t="s">
        <v>41</v>
      </c>
      <c r="E487" t="s">
        <v>15</v>
      </c>
      <c r="F487" t="s">
        <v>16</v>
      </c>
      <c r="G487" t="s">
        <v>66</v>
      </c>
      <c r="H487" t="s">
        <v>6</v>
      </c>
      <c r="I487" t="s">
        <v>35</v>
      </c>
      <c r="J487" t="s">
        <v>51</v>
      </c>
      <c r="K487" t="s">
        <v>1079</v>
      </c>
      <c r="L487">
        <v>0</v>
      </c>
      <c r="M487">
        <v>5.13</v>
      </c>
      <c r="N487">
        <v>1.85</v>
      </c>
      <c r="O487">
        <v>3.46</v>
      </c>
      <c r="P487">
        <v>4</v>
      </c>
      <c r="Q487">
        <v>3.8</v>
      </c>
      <c r="R487">
        <v>2.2999999999999998</v>
      </c>
      <c r="S487">
        <v>5.9</v>
      </c>
      <c r="T487" t="s">
        <v>10</v>
      </c>
      <c r="U487">
        <v>7.7</v>
      </c>
      <c r="V487">
        <v>7.9</v>
      </c>
      <c r="W487">
        <v>4.7</v>
      </c>
      <c r="X487">
        <v>2.2999999999999998</v>
      </c>
      <c r="Y487">
        <v>3.4</v>
      </c>
      <c r="Z487">
        <v>1.4</v>
      </c>
      <c r="AA487">
        <v>7.9</v>
      </c>
      <c r="AB487" t="s">
        <v>21</v>
      </c>
      <c r="AC487" t="s">
        <v>10</v>
      </c>
      <c r="AD487" t="s">
        <v>12</v>
      </c>
      <c r="AE487" t="str">
        <f t="shared" si="21"/>
        <v>35-44</v>
      </c>
      <c r="AF487" t="str">
        <f t="shared" si="22"/>
        <v>Very Low Usage</v>
      </c>
      <c r="AG487" t="str">
        <f t="shared" si="23"/>
        <v>Moderate Loneliness</v>
      </c>
    </row>
    <row r="488" spans="1:33" x14ac:dyDescent="0.3">
      <c r="A488" t="s">
        <v>532</v>
      </c>
      <c r="B488">
        <v>16</v>
      </c>
      <c r="C488" t="s">
        <v>89</v>
      </c>
      <c r="D488" t="s">
        <v>14</v>
      </c>
      <c r="E488" t="s">
        <v>37</v>
      </c>
      <c r="F488" t="s">
        <v>16</v>
      </c>
      <c r="G488" t="s">
        <v>5</v>
      </c>
      <c r="H488" t="s">
        <v>28</v>
      </c>
      <c r="I488" t="s">
        <v>7</v>
      </c>
      <c r="J488" t="s">
        <v>20</v>
      </c>
      <c r="K488" t="s">
        <v>1079</v>
      </c>
      <c r="L488">
        <v>3.69</v>
      </c>
      <c r="M488">
        <v>2.79</v>
      </c>
      <c r="N488">
        <v>3.39</v>
      </c>
      <c r="O488">
        <v>10.57</v>
      </c>
      <c r="P488">
        <v>1</v>
      </c>
      <c r="Q488">
        <v>8</v>
      </c>
      <c r="R488">
        <v>8.5</v>
      </c>
      <c r="S488">
        <v>4.5</v>
      </c>
      <c r="T488" t="s">
        <v>39</v>
      </c>
      <c r="U488">
        <v>6.9</v>
      </c>
      <c r="V488">
        <v>4</v>
      </c>
      <c r="W488">
        <v>4.7</v>
      </c>
      <c r="X488">
        <v>5</v>
      </c>
      <c r="Y488">
        <v>6.1</v>
      </c>
      <c r="Z488">
        <v>8.6999999999999993</v>
      </c>
      <c r="AA488">
        <v>6.2</v>
      </c>
      <c r="AB488" t="s">
        <v>21</v>
      </c>
      <c r="AC488" t="s">
        <v>39</v>
      </c>
      <c r="AD488" t="s">
        <v>45</v>
      </c>
      <c r="AE488" t="str">
        <f t="shared" si="21"/>
        <v>15-19</v>
      </c>
      <c r="AF488" t="str">
        <f t="shared" si="22"/>
        <v>Moderate Usage</v>
      </c>
      <c r="AG488" t="str">
        <f t="shared" si="23"/>
        <v>High Loneliness</v>
      </c>
    </row>
    <row r="489" spans="1:33" x14ac:dyDescent="0.3">
      <c r="A489" t="s">
        <v>533</v>
      </c>
      <c r="B489">
        <v>41</v>
      </c>
      <c r="C489" t="s">
        <v>27</v>
      </c>
      <c r="D489" t="s">
        <v>14</v>
      </c>
      <c r="E489" t="s">
        <v>3</v>
      </c>
      <c r="F489" t="s">
        <v>16</v>
      </c>
      <c r="G489" t="s">
        <v>43</v>
      </c>
      <c r="H489" t="s">
        <v>28</v>
      </c>
      <c r="I489" t="s">
        <v>24</v>
      </c>
      <c r="J489" t="s">
        <v>8</v>
      </c>
      <c r="K489" t="s">
        <v>1079</v>
      </c>
      <c r="L489">
        <v>2.06</v>
      </c>
      <c r="M489">
        <v>2.5</v>
      </c>
      <c r="N489">
        <v>4.87</v>
      </c>
      <c r="O489">
        <v>9.9600000000000009</v>
      </c>
      <c r="P489">
        <v>3</v>
      </c>
      <c r="Q489">
        <v>7</v>
      </c>
      <c r="R489">
        <v>7.5</v>
      </c>
      <c r="S489">
        <v>3.3</v>
      </c>
      <c r="T489" t="s">
        <v>39</v>
      </c>
      <c r="U489">
        <v>4</v>
      </c>
      <c r="V489">
        <v>4.2</v>
      </c>
      <c r="W489">
        <v>3.2</v>
      </c>
      <c r="X489">
        <v>7.2</v>
      </c>
      <c r="Y489">
        <v>8.1</v>
      </c>
      <c r="Z489">
        <v>7.2</v>
      </c>
      <c r="AA489">
        <v>4.5</v>
      </c>
      <c r="AB489" t="s">
        <v>44</v>
      </c>
      <c r="AC489" t="s">
        <v>10</v>
      </c>
      <c r="AD489" t="s">
        <v>45</v>
      </c>
      <c r="AE489" t="str">
        <f t="shared" si="21"/>
        <v>35-44</v>
      </c>
      <c r="AF489" t="str">
        <f t="shared" si="22"/>
        <v>Low Usage</v>
      </c>
      <c r="AG489" t="str">
        <f t="shared" si="23"/>
        <v>High Loneliness</v>
      </c>
    </row>
    <row r="490" spans="1:33" x14ac:dyDescent="0.3">
      <c r="A490" t="s">
        <v>534</v>
      </c>
      <c r="B490">
        <v>24</v>
      </c>
      <c r="C490" t="s">
        <v>32</v>
      </c>
      <c r="D490" t="s">
        <v>14</v>
      </c>
      <c r="E490" t="s">
        <v>37</v>
      </c>
      <c r="F490" t="s">
        <v>16</v>
      </c>
      <c r="G490" t="s">
        <v>5</v>
      </c>
      <c r="H490" t="s">
        <v>28</v>
      </c>
      <c r="I490" t="s">
        <v>19</v>
      </c>
      <c r="J490" t="s">
        <v>20</v>
      </c>
      <c r="K490" t="s">
        <v>1079</v>
      </c>
      <c r="L490">
        <v>0</v>
      </c>
      <c r="M490">
        <v>6.73</v>
      </c>
      <c r="N490">
        <v>0</v>
      </c>
      <c r="O490">
        <v>1.42</v>
      </c>
      <c r="P490">
        <v>7</v>
      </c>
      <c r="Q490">
        <v>1</v>
      </c>
      <c r="R490">
        <v>1</v>
      </c>
      <c r="S490">
        <v>9.8000000000000007</v>
      </c>
      <c r="T490" t="s">
        <v>10</v>
      </c>
      <c r="U490">
        <v>9.6999999999999993</v>
      </c>
      <c r="V490">
        <v>10</v>
      </c>
      <c r="W490">
        <v>8.9</v>
      </c>
      <c r="X490">
        <v>1</v>
      </c>
      <c r="Y490">
        <v>1</v>
      </c>
      <c r="Z490">
        <v>1.1000000000000001</v>
      </c>
      <c r="AA490">
        <v>10</v>
      </c>
      <c r="AB490" t="s">
        <v>11</v>
      </c>
      <c r="AC490" t="s">
        <v>10</v>
      </c>
      <c r="AD490" t="s">
        <v>12</v>
      </c>
      <c r="AE490" t="str">
        <f t="shared" si="21"/>
        <v>20-24</v>
      </c>
      <c r="AF490" t="str">
        <f t="shared" si="22"/>
        <v>Very Low Usage</v>
      </c>
      <c r="AG490" t="str">
        <f t="shared" si="23"/>
        <v>Low Loneliness</v>
      </c>
    </row>
    <row r="491" spans="1:33" x14ac:dyDescent="0.3">
      <c r="A491" t="s">
        <v>535</v>
      </c>
      <c r="B491">
        <v>16</v>
      </c>
      <c r="C491" t="s">
        <v>32</v>
      </c>
      <c r="D491" t="s">
        <v>47</v>
      </c>
      <c r="E491" t="s">
        <v>59</v>
      </c>
      <c r="F491" t="s">
        <v>4</v>
      </c>
      <c r="G491" t="s">
        <v>17</v>
      </c>
      <c r="H491" t="s">
        <v>6</v>
      </c>
      <c r="I491" t="s">
        <v>29</v>
      </c>
      <c r="J491" t="s">
        <v>51</v>
      </c>
      <c r="K491" t="s">
        <v>30</v>
      </c>
      <c r="L491">
        <v>1.23</v>
      </c>
      <c r="M491">
        <v>4.2300000000000004</v>
      </c>
      <c r="N491">
        <v>3.1</v>
      </c>
      <c r="O491">
        <v>6.31</v>
      </c>
      <c r="P491">
        <v>5</v>
      </c>
      <c r="Q491">
        <v>1</v>
      </c>
      <c r="R491">
        <v>4.5</v>
      </c>
      <c r="S491">
        <v>7</v>
      </c>
      <c r="T491" t="s">
        <v>10</v>
      </c>
      <c r="U491">
        <v>5.9</v>
      </c>
      <c r="V491">
        <v>8.4</v>
      </c>
      <c r="W491">
        <v>2.8</v>
      </c>
      <c r="X491">
        <v>2.2000000000000002</v>
      </c>
      <c r="Y491">
        <v>1.9</v>
      </c>
      <c r="Z491">
        <v>3.3</v>
      </c>
      <c r="AA491">
        <v>5.2</v>
      </c>
      <c r="AB491" t="s">
        <v>21</v>
      </c>
      <c r="AC491" t="s">
        <v>10</v>
      </c>
      <c r="AD491" t="s">
        <v>12</v>
      </c>
      <c r="AE491" t="str">
        <f t="shared" si="21"/>
        <v>15-19</v>
      </c>
      <c r="AF491" t="str">
        <f t="shared" si="22"/>
        <v>Low Usage</v>
      </c>
      <c r="AG491" t="str">
        <f t="shared" si="23"/>
        <v>Low Loneliness</v>
      </c>
    </row>
    <row r="492" spans="1:33" x14ac:dyDescent="0.3">
      <c r="A492" t="s">
        <v>536</v>
      </c>
      <c r="B492">
        <v>40</v>
      </c>
      <c r="C492" t="s">
        <v>32</v>
      </c>
      <c r="D492" t="s">
        <v>41</v>
      </c>
      <c r="E492" t="s">
        <v>37</v>
      </c>
      <c r="F492" t="s">
        <v>12</v>
      </c>
      <c r="G492" t="s">
        <v>17</v>
      </c>
      <c r="H492" t="s">
        <v>28</v>
      </c>
      <c r="I492" t="s">
        <v>254</v>
      </c>
      <c r="J492" t="s">
        <v>8</v>
      </c>
      <c r="K492" t="s">
        <v>53</v>
      </c>
      <c r="L492">
        <v>4.83</v>
      </c>
      <c r="M492">
        <v>1.96</v>
      </c>
      <c r="N492">
        <v>4</v>
      </c>
      <c r="O492">
        <v>11.8</v>
      </c>
      <c r="P492">
        <v>2</v>
      </c>
      <c r="Q492">
        <v>7.1</v>
      </c>
      <c r="R492">
        <v>8.5</v>
      </c>
      <c r="S492">
        <v>3.9</v>
      </c>
      <c r="T492" t="s">
        <v>39</v>
      </c>
      <c r="U492">
        <v>5.5</v>
      </c>
      <c r="V492">
        <v>2.8</v>
      </c>
      <c r="W492">
        <v>1.1000000000000001</v>
      </c>
      <c r="X492">
        <v>7.4</v>
      </c>
      <c r="Y492">
        <v>8.4</v>
      </c>
      <c r="Z492">
        <v>7.1</v>
      </c>
      <c r="AA492">
        <v>2</v>
      </c>
      <c r="AB492" t="s">
        <v>44</v>
      </c>
      <c r="AC492" t="s">
        <v>10</v>
      </c>
      <c r="AD492" t="s">
        <v>45</v>
      </c>
      <c r="AE492" t="str">
        <f t="shared" si="21"/>
        <v>35-44</v>
      </c>
      <c r="AF492" t="str">
        <f t="shared" si="22"/>
        <v>High Usage</v>
      </c>
      <c r="AG492" t="str">
        <f t="shared" si="23"/>
        <v>High Loneliness</v>
      </c>
    </row>
    <row r="493" spans="1:33" x14ac:dyDescent="0.3">
      <c r="A493" t="s">
        <v>537</v>
      </c>
      <c r="B493">
        <v>31</v>
      </c>
      <c r="C493" t="s">
        <v>1</v>
      </c>
      <c r="D493" t="s">
        <v>14</v>
      </c>
      <c r="E493" t="s">
        <v>15</v>
      </c>
      <c r="F493" t="s">
        <v>16</v>
      </c>
      <c r="G493" t="s">
        <v>5</v>
      </c>
      <c r="H493" t="s">
        <v>33</v>
      </c>
      <c r="I493" t="s">
        <v>19</v>
      </c>
      <c r="J493" t="s">
        <v>20</v>
      </c>
      <c r="K493" t="s">
        <v>9</v>
      </c>
      <c r="L493">
        <v>0</v>
      </c>
      <c r="M493">
        <v>6.52</v>
      </c>
      <c r="N493">
        <v>1.71</v>
      </c>
      <c r="O493">
        <v>4.16</v>
      </c>
      <c r="P493">
        <v>4</v>
      </c>
      <c r="Q493">
        <v>1.7</v>
      </c>
      <c r="R493">
        <v>1.5</v>
      </c>
      <c r="S493">
        <v>9.6999999999999993</v>
      </c>
      <c r="T493" t="s">
        <v>10</v>
      </c>
      <c r="U493">
        <v>9.1999999999999993</v>
      </c>
      <c r="V493">
        <v>9</v>
      </c>
      <c r="W493">
        <v>5.7</v>
      </c>
      <c r="X493">
        <v>1.1000000000000001</v>
      </c>
      <c r="Y493">
        <v>1</v>
      </c>
      <c r="Z493">
        <v>1.9</v>
      </c>
      <c r="AA493">
        <v>9.9</v>
      </c>
      <c r="AB493" t="s">
        <v>11</v>
      </c>
      <c r="AC493" t="s">
        <v>10</v>
      </c>
      <c r="AD493" t="s">
        <v>12</v>
      </c>
      <c r="AE493" t="str">
        <f t="shared" si="21"/>
        <v>25-34</v>
      </c>
      <c r="AF493" t="str">
        <f t="shared" si="22"/>
        <v>Very Low Usage</v>
      </c>
      <c r="AG493" t="str">
        <f t="shared" si="23"/>
        <v>Low Loneliness</v>
      </c>
    </row>
    <row r="494" spans="1:33" x14ac:dyDescent="0.3">
      <c r="A494" t="s">
        <v>538</v>
      </c>
      <c r="B494">
        <v>22</v>
      </c>
      <c r="C494" t="s">
        <v>32</v>
      </c>
      <c r="D494" t="s">
        <v>2</v>
      </c>
      <c r="E494" t="s">
        <v>37</v>
      </c>
      <c r="F494" t="s">
        <v>4</v>
      </c>
      <c r="G494" t="s">
        <v>17</v>
      </c>
      <c r="H494" t="s">
        <v>28</v>
      </c>
      <c r="I494" t="s">
        <v>29</v>
      </c>
      <c r="J494" t="s">
        <v>51</v>
      </c>
      <c r="K494" t="s">
        <v>1079</v>
      </c>
      <c r="L494">
        <v>3.39</v>
      </c>
      <c r="M494">
        <v>2.39</v>
      </c>
      <c r="N494">
        <v>5.32</v>
      </c>
      <c r="O494">
        <v>11.51</v>
      </c>
      <c r="P494">
        <v>2</v>
      </c>
      <c r="Q494">
        <v>7.6</v>
      </c>
      <c r="R494">
        <v>6.2</v>
      </c>
      <c r="S494">
        <v>3.3</v>
      </c>
      <c r="T494" t="s">
        <v>10</v>
      </c>
      <c r="U494">
        <v>4.2</v>
      </c>
      <c r="V494">
        <v>5.0999999999999996</v>
      </c>
      <c r="W494">
        <v>4.3</v>
      </c>
      <c r="X494">
        <v>6.6</v>
      </c>
      <c r="Y494">
        <v>5</v>
      </c>
      <c r="Z494">
        <v>5.9</v>
      </c>
      <c r="AA494">
        <v>3.9</v>
      </c>
      <c r="AB494" t="s">
        <v>44</v>
      </c>
      <c r="AC494" t="s">
        <v>10</v>
      </c>
      <c r="AD494" t="s">
        <v>45</v>
      </c>
      <c r="AE494" t="str">
        <f t="shared" si="21"/>
        <v>20-24</v>
      </c>
      <c r="AF494" t="str">
        <f t="shared" si="22"/>
        <v>Moderate Usage</v>
      </c>
      <c r="AG494" t="str">
        <f t="shared" si="23"/>
        <v>High Loneliness</v>
      </c>
    </row>
    <row r="495" spans="1:33" x14ac:dyDescent="0.3">
      <c r="A495" t="s">
        <v>539</v>
      </c>
      <c r="B495">
        <v>15</v>
      </c>
      <c r="C495" t="s">
        <v>1</v>
      </c>
      <c r="D495" t="s">
        <v>14</v>
      </c>
      <c r="E495" t="s">
        <v>3</v>
      </c>
      <c r="F495" t="s">
        <v>16</v>
      </c>
      <c r="G495" t="s">
        <v>17</v>
      </c>
      <c r="H495" t="s">
        <v>33</v>
      </c>
      <c r="I495" t="s">
        <v>24</v>
      </c>
      <c r="J495" t="s">
        <v>8</v>
      </c>
      <c r="K495" t="s">
        <v>1079</v>
      </c>
      <c r="L495">
        <v>0.52</v>
      </c>
      <c r="M495">
        <v>4.4000000000000004</v>
      </c>
      <c r="N495">
        <v>2.31</v>
      </c>
      <c r="O495">
        <v>5.37</v>
      </c>
      <c r="P495">
        <v>4</v>
      </c>
      <c r="Q495">
        <v>4.5999999999999996</v>
      </c>
      <c r="R495">
        <v>4.9000000000000004</v>
      </c>
      <c r="S495">
        <v>6.5</v>
      </c>
      <c r="T495" t="s">
        <v>10</v>
      </c>
      <c r="U495">
        <v>6.9</v>
      </c>
      <c r="V495">
        <v>5.4</v>
      </c>
      <c r="W495">
        <v>4.7</v>
      </c>
      <c r="X495">
        <v>3.1</v>
      </c>
      <c r="Y495">
        <v>4.5999999999999996</v>
      </c>
      <c r="Z495">
        <v>5.5</v>
      </c>
      <c r="AA495">
        <v>4.8</v>
      </c>
      <c r="AB495" t="s">
        <v>21</v>
      </c>
      <c r="AC495" t="s">
        <v>10</v>
      </c>
      <c r="AD495" t="s">
        <v>12</v>
      </c>
      <c r="AE495" t="str">
        <f t="shared" si="21"/>
        <v>15-19</v>
      </c>
      <c r="AF495" t="str">
        <f t="shared" si="22"/>
        <v>Very Low Usage</v>
      </c>
      <c r="AG495" t="str">
        <f t="shared" si="23"/>
        <v>Moderate Loneliness</v>
      </c>
    </row>
    <row r="496" spans="1:33" x14ac:dyDescent="0.3">
      <c r="A496" t="s">
        <v>540</v>
      </c>
      <c r="B496">
        <v>23</v>
      </c>
      <c r="C496" t="s">
        <v>32</v>
      </c>
      <c r="D496" t="s">
        <v>2</v>
      </c>
      <c r="E496" t="s">
        <v>37</v>
      </c>
      <c r="F496" t="s">
        <v>4</v>
      </c>
      <c r="G496" t="s">
        <v>5</v>
      </c>
      <c r="H496" t="s">
        <v>28</v>
      </c>
      <c r="I496" t="s">
        <v>29</v>
      </c>
      <c r="J496" t="s">
        <v>48</v>
      </c>
      <c r="K496" t="s">
        <v>25</v>
      </c>
      <c r="L496">
        <v>0.68</v>
      </c>
      <c r="M496">
        <v>3.18</v>
      </c>
      <c r="N496">
        <v>3.48</v>
      </c>
      <c r="O496">
        <v>6.38</v>
      </c>
      <c r="P496">
        <v>6</v>
      </c>
      <c r="Q496">
        <v>8.1999999999999993</v>
      </c>
      <c r="R496">
        <v>3.5</v>
      </c>
      <c r="S496">
        <v>4.4000000000000004</v>
      </c>
      <c r="T496" t="s">
        <v>10</v>
      </c>
      <c r="U496">
        <v>6.8</v>
      </c>
      <c r="V496">
        <v>6.8</v>
      </c>
      <c r="W496">
        <v>2.7</v>
      </c>
      <c r="X496">
        <v>4.0999999999999996</v>
      </c>
      <c r="Y496">
        <v>2</v>
      </c>
      <c r="Z496">
        <v>6.2</v>
      </c>
      <c r="AA496">
        <v>6.9</v>
      </c>
      <c r="AB496" t="s">
        <v>21</v>
      </c>
      <c r="AC496" t="s">
        <v>10</v>
      </c>
      <c r="AD496" t="s">
        <v>22</v>
      </c>
      <c r="AE496" t="str">
        <f t="shared" si="21"/>
        <v>20-24</v>
      </c>
      <c r="AF496" t="str">
        <f t="shared" si="22"/>
        <v>Very Low Usage</v>
      </c>
      <c r="AG496" t="str">
        <f t="shared" si="23"/>
        <v>High Loneliness</v>
      </c>
    </row>
    <row r="497" spans="1:33" x14ac:dyDescent="0.3">
      <c r="A497" t="s">
        <v>541</v>
      </c>
      <c r="B497">
        <v>25</v>
      </c>
      <c r="C497" t="s">
        <v>1</v>
      </c>
      <c r="D497" t="s">
        <v>2</v>
      </c>
      <c r="E497" t="s">
        <v>15</v>
      </c>
      <c r="F497" t="s">
        <v>12</v>
      </c>
      <c r="G497" t="s">
        <v>5</v>
      </c>
      <c r="H497" t="s">
        <v>33</v>
      </c>
      <c r="I497" t="s">
        <v>24</v>
      </c>
      <c r="J497" t="s">
        <v>8</v>
      </c>
      <c r="K497" t="s">
        <v>1079</v>
      </c>
      <c r="L497">
        <v>2.5</v>
      </c>
      <c r="M497">
        <v>3.48</v>
      </c>
      <c r="N497">
        <v>1.96</v>
      </c>
      <c r="O497">
        <v>6.29</v>
      </c>
      <c r="P497">
        <v>6</v>
      </c>
      <c r="Q497">
        <v>5.7</v>
      </c>
      <c r="R497">
        <v>5</v>
      </c>
      <c r="S497">
        <v>5.6</v>
      </c>
      <c r="T497" t="s">
        <v>10</v>
      </c>
      <c r="U497">
        <v>6.9</v>
      </c>
      <c r="V497">
        <v>7.8</v>
      </c>
      <c r="W497">
        <v>6.6</v>
      </c>
      <c r="X497">
        <v>6.6</v>
      </c>
      <c r="Y497">
        <v>5.9</v>
      </c>
      <c r="Z497">
        <v>3.9</v>
      </c>
      <c r="AA497">
        <v>5.2</v>
      </c>
      <c r="AB497" t="s">
        <v>21</v>
      </c>
      <c r="AC497" t="s">
        <v>10</v>
      </c>
      <c r="AD497" t="s">
        <v>22</v>
      </c>
      <c r="AE497" t="str">
        <f t="shared" si="21"/>
        <v>25-34</v>
      </c>
      <c r="AF497" t="str">
        <f t="shared" si="22"/>
        <v>Low Usage</v>
      </c>
      <c r="AG497" t="str">
        <f t="shared" si="23"/>
        <v>Moderate Loneliness</v>
      </c>
    </row>
    <row r="498" spans="1:33" x14ac:dyDescent="0.3">
      <c r="A498" t="s">
        <v>542</v>
      </c>
      <c r="B498">
        <v>36</v>
      </c>
      <c r="C498" t="s">
        <v>1</v>
      </c>
      <c r="D498" t="s">
        <v>41</v>
      </c>
      <c r="E498" t="s">
        <v>3</v>
      </c>
      <c r="F498" t="s">
        <v>45</v>
      </c>
      <c r="G498" t="s">
        <v>5</v>
      </c>
      <c r="H498" t="s">
        <v>28</v>
      </c>
      <c r="I498" t="s">
        <v>24</v>
      </c>
      <c r="J498" t="s">
        <v>8</v>
      </c>
      <c r="K498" t="s">
        <v>25</v>
      </c>
      <c r="L498">
        <v>2.2400000000000002</v>
      </c>
      <c r="M498">
        <v>2.39</v>
      </c>
      <c r="N498">
        <v>3.07</v>
      </c>
      <c r="O498">
        <v>6.11</v>
      </c>
      <c r="P498">
        <v>2</v>
      </c>
      <c r="Q498">
        <v>4.3</v>
      </c>
      <c r="R498">
        <v>5.4</v>
      </c>
      <c r="S498">
        <v>5.8</v>
      </c>
      <c r="T498" t="s">
        <v>10</v>
      </c>
      <c r="U498">
        <v>7.1</v>
      </c>
      <c r="V498">
        <v>5.6</v>
      </c>
      <c r="W498">
        <v>3.1</v>
      </c>
      <c r="X498">
        <v>4.5999999999999996</v>
      </c>
      <c r="Y498">
        <v>4.9000000000000004</v>
      </c>
      <c r="Z498">
        <v>4.7</v>
      </c>
      <c r="AA498">
        <v>8.4</v>
      </c>
      <c r="AB498" t="s">
        <v>21</v>
      </c>
      <c r="AC498" t="s">
        <v>10</v>
      </c>
      <c r="AD498" t="s">
        <v>45</v>
      </c>
      <c r="AE498" t="str">
        <f t="shared" si="21"/>
        <v>35-44</v>
      </c>
      <c r="AF498" t="str">
        <f t="shared" si="22"/>
        <v>Low Usage</v>
      </c>
      <c r="AG498" t="str">
        <f t="shared" si="23"/>
        <v>Moderate Loneliness</v>
      </c>
    </row>
    <row r="499" spans="1:33" x14ac:dyDescent="0.3">
      <c r="A499" t="s">
        <v>543</v>
      </c>
      <c r="B499">
        <v>30</v>
      </c>
      <c r="C499" t="s">
        <v>1</v>
      </c>
      <c r="D499" t="s">
        <v>2</v>
      </c>
      <c r="E499" t="s">
        <v>37</v>
      </c>
      <c r="F499" t="s">
        <v>12</v>
      </c>
      <c r="G499" t="s">
        <v>17</v>
      </c>
      <c r="H499" t="s">
        <v>33</v>
      </c>
      <c r="I499" t="s">
        <v>19</v>
      </c>
      <c r="J499" t="s">
        <v>51</v>
      </c>
      <c r="K499" t="s">
        <v>1079</v>
      </c>
      <c r="L499">
        <v>1.19</v>
      </c>
      <c r="M499">
        <v>6.91</v>
      </c>
      <c r="N499">
        <v>0.1</v>
      </c>
      <c r="O499">
        <v>3.98</v>
      </c>
      <c r="P499">
        <v>6</v>
      </c>
      <c r="Q499">
        <v>3.7</v>
      </c>
      <c r="R499">
        <v>3.5</v>
      </c>
      <c r="S499">
        <v>4.9000000000000004</v>
      </c>
      <c r="T499" t="s">
        <v>10</v>
      </c>
      <c r="U499">
        <v>7.7</v>
      </c>
      <c r="V499">
        <v>5.8</v>
      </c>
      <c r="W499">
        <v>3.8</v>
      </c>
      <c r="X499">
        <v>1.8</v>
      </c>
      <c r="Y499">
        <v>1</v>
      </c>
      <c r="Z499">
        <v>3.7</v>
      </c>
      <c r="AA499">
        <v>8.5</v>
      </c>
      <c r="AB499" t="s">
        <v>21</v>
      </c>
      <c r="AC499" t="s">
        <v>10</v>
      </c>
      <c r="AD499" t="s">
        <v>12</v>
      </c>
      <c r="AE499" t="str">
        <f t="shared" si="21"/>
        <v>25-34</v>
      </c>
      <c r="AF499" t="str">
        <f t="shared" si="22"/>
        <v>Low Usage</v>
      </c>
      <c r="AG499" t="str">
        <f t="shared" si="23"/>
        <v>Moderate Loneliness</v>
      </c>
    </row>
    <row r="500" spans="1:33" x14ac:dyDescent="0.3">
      <c r="A500" t="s">
        <v>544</v>
      </c>
      <c r="B500">
        <v>21</v>
      </c>
      <c r="C500" t="s">
        <v>32</v>
      </c>
      <c r="D500" t="s">
        <v>14</v>
      </c>
      <c r="E500" t="s">
        <v>37</v>
      </c>
      <c r="F500" t="s">
        <v>45</v>
      </c>
      <c r="G500" t="s">
        <v>17</v>
      </c>
      <c r="H500" t="s">
        <v>28</v>
      </c>
      <c r="I500" t="s">
        <v>7</v>
      </c>
      <c r="J500" t="s">
        <v>8</v>
      </c>
      <c r="K500" t="s">
        <v>25</v>
      </c>
      <c r="L500">
        <v>2.0299999999999998</v>
      </c>
      <c r="M500">
        <v>5.66</v>
      </c>
      <c r="N500">
        <v>1.74</v>
      </c>
      <c r="O500">
        <v>5.54</v>
      </c>
      <c r="P500">
        <v>1</v>
      </c>
      <c r="Q500">
        <v>4.9000000000000004</v>
      </c>
      <c r="R500">
        <v>3.2</v>
      </c>
      <c r="S500">
        <v>6.6</v>
      </c>
      <c r="T500" t="s">
        <v>10</v>
      </c>
      <c r="U500">
        <v>6</v>
      </c>
      <c r="V500">
        <v>3.9</v>
      </c>
      <c r="W500">
        <v>3.1</v>
      </c>
      <c r="X500">
        <v>3.2</v>
      </c>
      <c r="Y500">
        <v>4.8</v>
      </c>
      <c r="Z500">
        <v>3.2</v>
      </c>
      <c r="AA500">
        <v>5.4</v>
      </c>
      <c r="AB500" t="s">
        <v>44</v>
      </c>
      <c r="AC500" t="s">
        <v>39</v>
      </c>
      <c r="AD500" t="s">
        <v>12</v>
      </c>
      <c r="AE500" t="str">
        <f t="shared" si="21"/>
        <v>20-24</v>
      </c>
      <c r="AF500" t="str">
        <f t="shared" si="22"/>
        <v>Low Usage</v>
      </c>
      <c r="AG500" t="str">
        <f t="shared" si="23"/>
        <v>Moderate Loneliness</v>
      </c>
    </row>
    <row r="501" spans="1:33" x14ac:dyDescent="0.3">
      <c r="A501" t="s">
        <v>545</v>
      </c>
      <c r="B501">
        <v>43</v>
      </c>
      <c r="C501" t="s">
        <v>1</v>
      </c>
      <c r="D501" t="s">
        <v>14</v>
      </c>
      <c r="E501" t="s">
        <v>37</v>
      </c>
      <c r="F501" t="s">
        <v>45</v>
      </c>
      <c r="G501" t="s">
        <v>5</v>
      </c>
      <c r="H501" t="s">
        <v>33</v>
      </c>
      <c r="I501" t="s">
        <v>29</v>
      </c>
      <c r="J501" t="s">
        <v>8</v>
      </c>
      <c r="K501" t="s">
        <v>53</v>
      </c>
      <c r="L501">
        <v>0.31</v>
      </c>
      <c r="M501">
        <v>4.1900000000000004</v>
      </c>
      <c r="N501">
        <v>1.81</v>
      </c>
      <c r="O501">
        <v>2.4700000000000002</v>
      </c>
      <c r="P501">
        <v>5</v>
      </c>
      <c r="Q501">
        <v>4.5999999999999996</v>
      </c>
      <c r="R501">
        <v>5.2</v>
      </c>
      <c r="S501">
        <v>5</v>
      </c>
      <c r="T501" t="s">
        <v>10</v>
      </c>
      <c r="U501">
        <v>6.8</v>
      </c>
      <c r="V501">
        <v>6.2</v>
      </c>
      <c r="W501">
        <v>1.6</v>
      </c>
      <c r="X501">
        <v>5</v>
      </c>
      <c r="Y501">
        <v>6.2</v>
      </c>
      <c r="Z501">
        <v>5.9</v>
      </c>
      <c r="AA501">
        <v>6.4</v>
      </c>
      <c r="AB501" t="s">
        <v>21</v>
      </c>
      <c r="AC501" t="s">
        <v>10</v>
      </c>
      <c r="AD501" t="s">
        <v>12</v>
      </c>
      <c r="AE501" t="str">
        <f t="shared" si="21"/>
        <v>35-44</v>
      </c>
      <c r="AF501" t="str">
        <f t="shared" si="22"/>
        <v>Very Low Usage</v>
      </c>
      <c r="AG501" t="str">
        <f t="shared" si="23"/>
        <v>Moderate Loneliness</v>
      </c>
    </row>
    <row r="502" spans="1:33" x14ac:dyDescent="0.3">
      <c r="A502" t="s">
        <v>546</v>
      </c>
      <c r="B502">
        <v>24</v>
      </c>
      <c r="C502" t="s">
        <v>32</v>
      </c>
      <c r="D502" t="s">
        <v>14</v>
      </c>
      <c r="E502" t="s">
        <v>59</v>
      </c>
      <c r="F502" t="s">
        <v>16</v>
      </c>
      <c r="G502" t="s">
        <v>66</v>
      </c>
      <c r="H502" t="s">
        <v>6</v>
      </c>
      <c r="I502" t="s">
        <v>19</v>
      </c>
      <c r="J502" t="s">
        <v>51</v>
      </c>
      <c r="K502" t="s">
        <v>25</v>
      </c>
      <c r="L502">
        <v>0.77</v>
      </c>
      <c r="M502">
        <v>5.96</v>
      </c>
      <c r="N502">
        <v>3.9</v>
      </c>
      <c r="O502">
        <v>6.13</v>
      </c>
      <c r="P502">
        <v>5</v>
      </c>
      <c r="Q502">
        <v>5.7</v>
      </c>
      <c r="R502">
        <v>5.9</v>
      </c>
      <c r="S502">
        <v>7.3</v>
      </c>
      <c r="T502" t="s">
        <v>10</v>
      </c>
      <c r="U502">
        <v>6.9</v>
      </c>
      <c r="V502">
        <v>6.3</v>
      </c>
      <c r="W502">
        <v>0.4</v>
      </c>
      <c r="X502">
        <v>7</v>
      </c>
      <c r="Y502">
        <v>4.4000000000000004</v>
      </c>
      <c r="Z502">
        <v>5</v>
      </c>
      <c r="AA502">
        <v>7.6</v>
      </c>
      <c r="AB502" t="s">
        <v>44</v>
      </c>
      <c r="AC502" t="s">
        <v>39</v>
      </c>
      <c r="AD502" t="s">
        <v>12</v>
      </c>
      <c r="AE502" t="str">
        <f t="shared" si="21"/>
        <v>20-24</v>
      </c>
      <c r="AF502" t="str">
        <f t="shared" si="22"/>
        <v>Very Low Usage</v>
      </c>
      <c r="AG502" t="str">
        <f t="shared" si="23"/>
        <v>Moderate Loneliness</v>
      </c>
    </row>
    <row r="503" spans="1:33" x14ac:dyDescent="0.3">
      <c r="A503" t="s">
        <v>547</v>
      </c>
      <c r="B503">
        <v>37</v>
      </c>
      <c r="C503" t="s">
        <v>1</v>
      </c>
      <c r="D503" t="s">
        <v>14</v>
      </c>
      <c r="E503" t="s">
        <v>3</v>
      </c>
      <c r="F503" t="s">
        <v>16</v>
      </c>
      <c r="G503" t="s">
        <v>5</v>
      </c>
      <c r="H503" t="s">
        <v>28</v>
      </c>
      <c r="I503" t="s">
        <v>19</v>
      </c>
      <c r="J503" t="s">
        <v>8</v>
      </c>
      <c r="K503" t="s">
        <v>25</v>
      </c>
      <c r="L503">
        <v>2.17</v>
      </c>
      <c r="M503">
        <v>4.3899999999999997</v>
      </c>
      <c r="N503">
        <v>4.59</v>
      </c>
      <c r="O503">
        <v>9.61</v>
      </c>
      <c r="P503">
        <v>0</v>
      </c>
      <c r="Q503">
        <v>6.4</v>
      </c>
      <c r="R503">
        <v>5.0999999999999996</v>
      </c>
      <c r="S503">
        <v>5.5</v>
      </c>
      <c r="T503" t="s">
        <v>10</v>
      </c>
      <c r="U503">
        <v>6.7</v>
      </c>
      <c r="V503">
        <v>6.1</v>
      </c>
      <c r="W503">
        <v>3.4</v>
      </c>
      <c r="X503">
        <v>6.9</v>
      </c>
      <c r="Y503">
        <v>7.5</v>
      </c>
      <c r="Z503">
        <v>3.6</v>
      </c>
      <c r="AA503">
        <v>5.3</v>
      </c>
      <c r="AB503" t="s">
        <v>21</v>
      </c>
      <c r="AC503" t="s">
        <v>10</v>
      </c>
      <c r="AD503" t="s">
        <v>22</v>
      </c>
      <c r="AE503" t="str">
        <f t="shared" si="21"/>
        <v>35-44</v>
      </c>
      <c r="AF503" t="str">
        <f t="shared" si="22"/>
        <v>Low Usage</v>
      </c>
      <c r="AG503" t="str">
        <f t="shared" si="23"/>
        <v>High Loneliness</v>
      </c>
    </row>
    <row r="504" spans="1:33" x14ac:dyDescent="0.3">
      <c r="A504" t="s">
        <v>548</v>
      </c>
      <c r="B504">
        <v>40</v>
      </c>
      <c r="C504" t="s">
        <v>1</v>
      </c>
      <c r="D504" t="s">
        <v>14</v>
      </c>
      <c r="E504" t="s">
        <v>37</v>
      </c>
      <c r="F504" t="s">
        <v>4</v>
      </c>
      <c r="G504" t="s">
        <v>43</v>
      </c>
      <c r="H504" t="s">
        <v>6</v>
      </c>
      <c r="I504" t="s">
        <v>24</v>
      </c>
      <c r="J504" t="s">
        <v>38</v>
      </c>
      <c r="K504" t="s">
        <v>53</v>
      </c>
      <c r="L504">
        <v>0</v>
      </c>
      <c r="M504">
        <v>4.62</v>
      </c>
      <c r="N504">
        <v>1.43</v>
      </c>
      <c r="O504">
        <v>1.51</v>
      </c>
      <c r="P504">
        <v>5</v>
      </c>
      <c r="Q504">
        <v>4.5999999999999996</v>
      </c>
      <c r="R504">
        <v>2.7</v>
      </c>
      <c r="S504">
        <v>8.1</v>
      </c>
      <c r="T504" t="s">
        <v>10</v>
      </c>
      <c r="U504">
        <v>9.4</v>
      </c>
      <c r="V504">
        <v>8.4</v>
      </c>
      <c r="W504">
        <v>2.5</v>
      </c>
      <c r="X504">
        <v>2.9</v>
      </c>
      <c r="Y504">
        <v>5.2</v>
      </c>
      <c r="Z504">
        <v>4.3</v>
      </c>
      <c r="AA504">
        <v>6.4</v>
      </c>
      <c r="AB504" t="s">
        <v>21</v>
      </c>
      <c r="AC504" t="s">
        <v>10</v>
      </c>
      <c r="AD504" t="s">
        <v>12</v>
      </c>
      <c r="AE504" t="str">
        <f t="shared" si="21"/>
        <v>35-44</v>
      </c>
      <c r="AF504" t="str">
        <f t="shared" si="22"/>
        <v>Very Low Usage</v>
      </c>
      <c r="AG504" t="str">
        <f t="shared" si="23"/>
        <v>Moderate Loneliness</v>
      </c>
    </row>
    <row r="505" spans="1:33" x14ac:dyDescent="0.3">
      <c r="A505" t="s">
        <v>549</v>
      </c>
      <c r="B505">
        <v>17</v>
      </c>
      <c r="C505" t="s">
        <v>32</v>
      </c>
      <c r="D505" t="s">
        <v>58</v>
      </c>
      <c r="E505" t="s">
        <v>3</v>
      </c>
      <c r="F505" t="s">
        <v>16</v>
      </c>
      <c r="G505" t="s">
        <v>43</v>
      </c>
      <c r="H505" t="s">
        <v>18</v>
      </c>
      <c r="I505" t="s">
        <v>24</v>
      </c>
      <c r="J505" t="s">
        <v>38</v>
      </c>
      <c r="K505" t="s">
        <v>53</v>
      </c>
      <c r="L505">
        <v>1.48</v>
      </c>
      <c r="M505">
        <v>3.68</v>
      </c>
      <c r="N505">
        <v>2.36</v>
      </c>
      <c r="O505">
        <v>4.8099999999999996</v>
      </c>
      <c r="P505">
        <v>2</v>
      </c>
      <c r="Q505">
        <v>4.3</v>
      </c>
      <c r="R505">
        <v>5.5</v>
      </c>
      <c r="S505">
        <v>4.4000000000000004</v>
      </c>
      <c r="T505" t="s">
        <v>10</v>
      </c>
      <c r="U505">
        <v>7.8</v>
      </c>
      <c r="V505">
        <v>3.6</v>
      </c>
      <c r="W505">
        <v>3.7</v>
      </c>
      <c r="X505">
        <v>5</v>
      </c>
      <c r="Y505">
        <v>5.7</v>
      </c>
      <c r="Z505">
        <v>5.4</v>
      </c>
      <c r="AA505">
        <v>4.9000000000000004</v>
      </c>
      <c r="AB505" t="s">
        <v>21</v>
      </c>
      <c r="AC505" t="s">
        <v>10</v>
      </c>
      <c r="AD505" t="s">
        <v>45</v>
      </c>
      <c r="AE505" t="str">
        <f t="shared" si="21"/>
        <v>15-19</v>
      </c>
      <c r="AF505" t="str">
        <f t="shared" si="22"/>
        <v>Low Usage</v>
      </c>
      <c r="AG505" t="str">
        <f t="shared" si="23"/>
        <v>Moderate Loneliness</v>
      </c>
    </row>
    <row r="506" spans="1:33" x14ac:dyDescent="0.3">
      <c r="A506" t="s">
        <v>550</v>
      </c>
      <c r="B506">
        <v>32</v>
      </c>
      <c r="C506" t="s">
        <v>32</v>
      </c>
      <c r="D506" t="s">
        <v>2</v>
      </c>
      <c r="E506" t="s">
        <v>59</v>
      </c>
      <c r="F506" t="s">
        <v>4</v>
      </c>
      <c r="G506" t="s">
        <v>5</v>
      </c>
      <c r="H506" t="s">
        <v>28</v>
      </c>
      <c r="I506" t="s">
        <v>19</v>
      </c>
      <c r="J506" t="s">
        <v>8</v>
      </c>
      <c r="K506" t="s">
        <v>1079</v>
      </c>
      <c r="L506">
        <v>2.81</v>
      </c>
      <c r="M506">
        <v>5.22</v>
      </c>
      <c r="N506">
        <v>1.31</v>
      </c>
      <c r="O506">
        <v>6.26</v>
      </c>
      <c r="P506">
        <v>3</v>
      </c>
      <c r="Q506">
        <v>6.1</v>
      </c>
      <c r="R506">
        <v>4.5999999999999996</v>
      </c>
      <c r="S506">
        <v>6.6</v>
      </c>
      <c r="T506" t="s">
        <v>39</v>
      </c>
      <c r="U506">
        <v>8.6</v>
      </c>
      <c r="V506">
        <v>5.3</v>
      </c>
      <c r="W506">
        <v>5.3</v>
      </c>
      <c r="X506">
        <v>2.6</v>
      </c>
      <c r="Y506">
        <v>5.5</v>
      </c>
      <c r="Z506">
        <v>6.4</v>
      </c>
      <c r="AA506">
        <v>5</v>
      </c>
      <c r="AB506" t="s">
        <v>21</v>
      </c>
      <c r="AC506" t="s">
        <v>10</v>
      </c>
      <c r="AD506" t="s">
        <v>22</v>
      </c>
      <c r="AE506" t="str">
        <f t="shared" si="21"/>
        <v>25-34</v>
      </c>
      <c r="AF506" t="str">
        <f t="shared" si="22"/>
        <v>Moderate Usage</v>
      </c>
      <c r="AG506" t="str">
        <f t="shared" si="23"/>
        <v>High Loneliness</v>
      </c>
    </row>
    <row r="507" spans="1:33" x14ac:dyDescent="0.3">
      <c r="A507" t="s">
        <v>551</v>
      </c>
      <c r="B507">
        <v>39</v>
      </c>
      <c r="C507" t="s">
        <v>1</v>
      </c>
      <c r="D507" t="s">
        <v>2</v>
      </c>
      <c r="E507" t="s">
        <v>3</v>
      </c>
      <c r="F507" t="s">
        <v>4</v>
      </c>
      <c r="G507" t="s">
        <v>17</v>
      </c>
      <c r="H507" t="s">
        <v>18</v>
      </c>
      <c r="I507" t="s">
        <v>24</v>
      </c>
      <c r="J507" t="s">
        <v>8</v>
      </c>
      <c r="K507" t="s">
        <v>9</v>
      </c>
      <c r="L507">
        <v>0</v>
      </c>
      <c r="M507">
        <v>4.8600000000000003</v>
      </c>
      <c r="N507">
        <v>1.18</v>
      </c>
      <c r="O507">
        <v>4.59</v>
      </c>
      <c r="P507">
        <v>6</v>
      </c>
      <c r="Q507">
        <v>3.2</v>
      </c>
      <c r="R507">
        <v>1.5</v>
      </c>
      <c r="S507">
        <v>9.9</v>
      </c>
      <c r="T507" t="s">
        <v>10</v>
      </c>
      <c r="U507">
        <v>8.4</v>
      </c>
      <c r="V507">
        <v>9.9</v>
      </c>
      <c r="W507">
        <v>6.5</v>
      </c>
      <c r="X507">
        <v>1</v>
      </c>
      <c r="Y507">
        <v>2.2999999999999998</v>
      </c>
      <c r="Z507">
        <v>2.1</v>
      </c>
      <c r="AA507">
        <v>8.6999999999999993</v>
      </c>
      <c r="AB507" t="s">
        <v>11</v>
      </c>
      <c r="AC507" t="s">
        <v>10</v>
      </c>
      <c r="AD507" t="s">
        <v>12</v>
      </c>
      <c r="AE507" t="str">
        <f t="shared" si="21"/>
        <v>35-44</v>
      </c>
      <c r="AF507" t="str">
        <f t="shared" si="22"/>
        <v>Very Low Usage</v>
      </c>
      <c r="AG507" t="str">
        <f t="shared" si="23"/>
        <v>Moderate Loneliness</v>
      </c>
    </row>
    <row r="508" spans="1:33" x14ac:dyDescent="0.3">
      <c r="A508" t="s">
        <v>552</v>
      </c>
      <c r="B508">
        <v>38</v>
      </c>
      <c r="C508" t="s">
        <v>32</v>
      </c>
      <c r="D508" t="s">
        <v>14</v>
      </c>
      <c r="E508" t="s">
        <v>37</v>
      </c>
      <c r="F508" t="s">
        <v>16</v>
      </c>
      <c r="G508" t="s">
        <v>5</v>
      </c>
      <c r="H508" t="s">
        <v>28</v>
      </c>
      <c r="I508" t="s">
        <v>29</v>
      </c>
      <c r="J508" t="s">
        <v>48</v>
      </c>
      <c r="K508" t="s">
        <v>53</v>
      </c>
      <c r="L508">
        <v>1.38</v>
      </c>
      <c r="M508">
        <v>3.41</v>
      </c>
      <c r="N508">
        <v>1.37</v>
      </c>
      <c r="O508">
        <v>5.74</v>
      </c>
      <c r="P508">
        <v>5</v>
      </c>
      <c r="Q508">
        <v>6.1</v>
      </c>
      <c r="R508">
        <v>5.4</v>
      </c>
      <c r="S508">
        <v>5.4</v>
      </c>
      <c r="T508" t="s">
        <v>10</v>
      </c>
      <c r="U508">
        <v>9</v>
      </c>
      <c r="V508">
        <v>8.3000000000000007</v>
      </c>
      <c r="W508">
        <v>4.7</v>
      </c>
      <c r="X508">
        <v>1.1000000000000001</v>
      </c>
      <c r="Y508">
        <v>1.5</v>
      </c>
      <c r="Z508">
        <v>3.2</v>
      </c>
      <c r="AA508">
        <v>5.3</v>
      </c>
      <c r="AB508" t="s">
        <v>11</v>
      </c>
      <c r="AC508" t="s">
        <v>10</v>
      </c>
      <c r="AD508" t="s">
        <v>22</v>
      </c>
      <c r="AE508" t="str">
        <f t="shared" si="21"/>
        <v>35-44</v>
      </c>
      <c r="AF508" t="str">
        <f t="shared" si="22"/>
        <v>Low Usage</v>
      </c>
      <c r="AG508" t="str">
        <f t="shared" si="23"/>
        <v>High Loneliness</v>
      </c>
    </row>
    <row r="509" spans="1:33" x14ac:dyDescent="0.3">
      <c r="A509" t="s">
        <v>553</v>
      </c>
      <c r="B509">
        <v>27</v>
      </c>
      <c r="C509" t="s">
        <v>32</v>
      </c>
      <c r="D509" t="s">
        <v>58</v>
      </c>
      <c r="E509" t="s">
        <v>15</v>
      </c>
      <c r="F509" t="s">
        <v>4</v>
      </c>
      <c r="G509" t="s">
        <v>5</v>
      </c>
      <c r="H509" t="s">
        <v>33</v>
      </c>
      <c r="I509" t="s">
        <v>35</v>
      </c>
      <c r="J509" t="s">
        <v>20</v>
      </c>
      <c r="K509" t="s">
        <v>1079</v>
      </c>
      <c r="L509">
        <v>0.31</v>
      </c>
      <c r="M509">
        <v>5.39</v>
      </c>
      <c r="N509">
        <v>1.06</v>
      </c>
      <c r="O509">
        <v>4.87</v>
      </c>
      <c r="P509">
        <v>7</v>
      </c>
      <c r="Q509">
        <v>1.6</v>
      </c>
      <c r="R509">
        <v>1</v>
      </c>
      <c r="S509">
        <v>8.1999999999999993</v>
      </c>
      <c r="T509" t="s">
        <v>10</v>
      </c>
      <c r="U509">
        <v>6.9</v>
      </c>
      <c r="V509">
        <v>7.8</v>
      </c>
      <c r="W509">
        <v>2.8</v>
      </c>
      <c r="X509">
        <v>3.6</v>
      </c>
      <c r="Y509">
        <v>2.5</v>
      </c>
      <c r="Z509">
        <v>3.4</v>
      </c>
      <c r="AA509">
        <v>8.8000000000000007</v>
      </c>
      <c r="AB509" t="s">
        <v>11</v>
      </c>
      <c r="AC509" t="s">
        <v>10</v>
      </c>
      <c r="AD509" t="s">
        <v>12</v>
      </c>
      <c r="AE509" t="str">
        <f t="shared" si="21"/>
        <v>25-34</v>
      </c>
      <c r="AF509" t="str">
        <f t="shared" si="22"/>
        <v>Very Low Usage</v>
      </c>
      <c r="AG509" t="str">
        <f t="shared" si="23"/>
        <v>Low Loneliness</v>
      </c>
    </row>
    <row r="510" spans="1:33" x14ac:dyDescent="0.3">
      <c r="A510" t="s">
        <v>554</v>
      </c>
      <c r="B510">
        <v>42</v>
      </c>
      <c r="C510" t="s">
        <v>32</v>
      </c>
      <c r="D510" t="s">
        <v>47</v>
      </c>
      <c r="E510" t="s">
        <v>15</v>
      </c>
      <c r="F510" t="s">
        <v>4</v>
      </c>
      <c r="G510" t="s">
        <v>5</v>
      </c>
      <c r="H510" t="s">
        <v>33</v>
      </c>
      <c r="I510" t="s">
        <v>19</v>
      </c>
      <c r="J510" t="s">
        <v>8</v>
      </c>
      <c r="K510" t="s">
        <v>53</v>
      </c>
      <c r="L510">
        <v>0</v>
      </c>
      <c r="M510">
        <v>4.41</v>
      </c>
      <c r="N510">
        <v>3.22</v>
      </c>
      <c r="O510">
        <v>5.43</v>
      </c>
      <c r="P510">
        <v>5</v>
      </c>
      <c r="Q510">
        <v>2.8</v>
      </c>
      <c r="R510">
        <v>1</v>
      </c>
      <c r="S510">
        <v>9.4</v>
      </c>
      <c r="T510" t="s">
        <v>10</v>
      </c>
      <c r="U510">
        <v>7.3</v>
      </c>
      <c r="V510">
        <v>6.4</v>
      </c>
      <c r="W510">
        <v>6.4</v>
      </c>
      <c r="X510">
        <v>4.3</v>
      </c>
      <c r="Y510">
        <v>1.3</v>
      </c>
      <c r="Z510">
        <v>4.9000000000000004</v>
      </c>
      <c r="AA510">
        <v>6.3</v>
      </c>
      <c r="AB510" t="s">
        <v>11</v>
      </c>
      <c r="AC510" t="s">
        <v>10</v>
      </c>
      <c r="AD510" t="s">
        <v>12</v>
      </c>
      <c r="AE510" t="str">
        <f t="shared" si="21"/>
        <v>35-44</v>
      </c>
      <c r="AF510" t="str">
        <f t="shared" si="22"/>
        <v>Very Low Usage</v>
      </c>
      <c r="AG510" t="str">
        <f t="shared" si="23"/>
        <v>Low Loneliness</v>
      </c>
    </row>
    <row r="511" spans="1:33" x14ac:dyDescent="0.3">
      <c r="A511" t="s">
        <v>555</v>
      </c>
      <c r="B511">
        <v>40</v>
      </c>
      <c r="C511" t="s">
        <v>1</v>
      </c>
      <c r="D511" t="s">
        <v>14</v>
      </c>
      <c r="E511" t="s">
        <v>37</v>
      </c>
      <c r="F511" t="s">
        <v>4</v>
      </c>
      <c r="G511" t="s">
        <v>5</v>
      </c>
      <c r="H511" t="s">
        <v>28</v>
      </c>
      <c r="I511" t="s">
        <v>24</v>
      </c>
      <c r="J511" t="s">
        <v>48</v>
      </c>
      <c r="K511" t="s">
        <v>1079</v>
      </c>
      <c r="L511">
        <v>0</v>
      </c>
      <c r="M511">
        <v>2.2599999999999998</v>
      </c>
      <c r="N511">
        <v>1.73</v>
      </c>
      <c r="O511">
        <v>3.52</v>
      </c>
      <c r="P511">
        <v>3</v>
      </c>
      <c r="Q511">
        <v>3.9</v>
      </c>
      <c r="R511">
        <v>3.2</v>
      </c>
      <c r="S511">
        <v>8.1999999999999993</v>
      </c>
      <c r="T511" t="s">
        <v>10</v>
      </c>
      <c r="U511">
        <v>6.8</v>
      </c>
      <c r="V511">
        <v>7.8</v>
      </c>
      <c r="W511">
        <v>7.5</v>
      </c>
      <c r="X511">
        <v>3.1</v>
      </c>
      <c r="Y511">
        <v>2</v>
      </c>
      <c r="Z511">
        <v>6.4</v>
      </c>
      <c r="AA511">
        <v>7.6</v>
      </c>
      <c r="AB511" t="s">
        <v>21</v>
      </c>
      <c r="AC511" t="s">
        <v>10</v>
      </c>
      <c r="AD511" t="s">
        <v>12</v>
      </c>
      <c r="AE511" t="str">
        <f t="shared" si="21"/>
        <v>35-44</v>
      </c>
      <c r="AF511" t="str">
        <f t="shared" si="22"/>
        <v>Very Low Usage</v>
      </c>
      <c r="AG511" t="str">
        <f t="shared" si="23"/>
        <v>Moderate Loneliness</v>
      </c>
    </row>
    <row r="512" spans="1:33" x14ac:dyDescent="0.3">
      <c r="A512" t="s">
        <v>556</v>
      </c>
      <c r="B512">
        <v>21</v>
      </c>
      <c r="C512" t="s">
        <v>1</v>
      </c>
      <c r="D512" t="s">
        <v>2</v>
      </c>
      <c r="E512" t="s">
        <v>37</v>
      </c>
      <c r="F512" t="s">
        <v>4</v>
      </c>
      <c r="G512" t="s">
        <v>5</v>
      </c>
      <c r="H512" t="s">
        <v>18</v>
      </c>
      <c r="I512" t="s">
        <v>29</v>
      </c>
      <c r="J512" t="s">
        <v>8</v>
      </c>
      <c r="K512" t="s">
        <v>30</v>
      </c>
      <c r="L512">
        <v>2.48</v>
      </c>
      <c r="M512">
        <v>2.08</v>
      </c>
      <c r="N512">
        <v>3.7</v>
      </c>
      <c r="O512">
        <v>9.0299999999999994</v>
      </c>
      <c r="P512">
        <v>3</v>
      </c>
      <c r="Q512">
        <v>7.2</v>
      </c>
      <c r="R512">
        <v>6</v>
      </c>
      <c r="S512">
        <v>4.8</v>
      </c>
      <c r="T512" t="s">
        <v>10</v>
      </c>
      <c r="U512">
        <v>6.1</v>
      </c>
      <c r="V512">
        <v>5.5</v>
      </c>
      <c r="W512">
        <v>5.4</v>
      </c>
      <c r="X512">
        <v>6.2</v>
      </c>
      <c r="Y512">
        <v>5.4</v>
      </c>
      <c r="Z512">
        <v>6.8</v>
      </c>
      <c r="AA512">
        <v>4.5</v>
      </c>
      <c r="AB512" t="s">
        <v>44</v>
      </c>
      <c r="AC512" t="s">
        <v>10</v>
      </c>
      <c r="AD512" t="s">
        <v>22</v>
      </c>
      <c r="AE512" t="str">
        <f t="shared" si="21"/>
        <v>20-24</v>
      </c>
      <c r="AF512" t="str">
        <f t="shared" si="22"/>
        <v>Low Usage</v>
      </c>
      <c r="AG512" t="str">
        <f t="shared" si="23"/>
        <v>High Loneliness</v>
      </c>
    </row>
    <row r="513" spans="1:33" x14ac:dyDescent="0.3">
      <c r="A513" t="s">
        <v>557</v>
      </c>
      <c r="B513">
        <v>39</v>
      </c>
      <c r="C513" t="s">
        <v>32</v>
      </c>
      <c r="D513" t="s">
        <v>2</v>
      </c>
      <c r="E513" t="s">
        <v>37</v>
      </c>
      <c r="F513" t="s">
        <v>16</v>
      </c>
      <c r="G513" t="s">
        <v>17</v>
      </c>
      <c r="H513" t="s">
        <v>33</v>
      </c>
      <c r="I513" t="s">
        <v>29</v>
      </c>
      <c r="J513" t="s">
        <v>51</v>
      </c>
      <c r="K513" t="s">
        <v>9</v>
      </c>
      <c r="L513">
        <v>1.85</v>
      </c>
      <c r="M513">
        <v>4.38</v>
      </c>
      <c r="N513">
        <v>1.93</v>
      </c>
      <c r="O513">
        <v>4.88</v>
      </c>
      <c r="P513">
        <v>5</v>
      </c>
      <c r="Q513">
        <v>3.4</v>
      </c>
      <c r="R513">
        <v>2.7</v>
      </c>
      <c r="S513">
        <v>7.7</v>
      </c>
      <c r="T513" t="s">
        <v>10</v>
      </c>
      <c r="U513">
        <v>7.5</v>
      </c>
      <c r="V513">
        <v>6.4</v>
      </c>
      <c r="W513">
        <v>2.8</v>
      </c>
      <c r="X513">
        <v>1.9</v>
      </c>
      <c r="Y513">
        <v>2.9</v>
      </c>
      <c r="Z513">
        <v>3.2</v>
      </c>
      <c r="AA513">
        <v>7.5</v>
      </c>
      <c r="AB513" t="s">
        <v>21</v>
      </c>
      <c r="AC513" t="s">
        <v>10</v>
      </c>
      <c r="AD513" t="s">
        <v>12</v>
      </c>
      <c r="AE513" t="str">
        <f t="shared" si="21"/>
        <v>35-44</v>
      </c>
      <c r="AF513" t="str">
        <f t="shared" si="22"/>
        <v>Low Usage</v>
      </c>
      <c r="AG513" t="str">
        <f t="shared" si="23"/>
        <v>Moderate Loneliness</v>
      </c>
    </row>
    <row r="514" spans="1:33" x14ac:dyDescent="0.3">
      <c r="A514" t="s">
        <v>558</v>
      </c>
      <c r="B514">
        <v>18</v>
      </c>
      <c r="C514" t="s">
        <v>1</v>
      </c>
      <c r="D514" t="s">
        <v>14</v>
      </c>
      <c r="E514" t="s">
        <v>37</v>
      </c>
      <c r="F514" t="s">
        <v>12</v>
      </c>
      <c r="G514" t="s">
        <v>5</v>
      </c>
      <c r="H514" t="s">
        <v>6</v>
      </c>
      <c r="I514" t="s">
        <v>19</v>
      </c>
      <c r="J514" t="s">
        <v>8</v>
      </c>
      <c r="K514" t="s">
        <v>1079</v>
      </c>
      <c r="L514">
        <v>1.27</v>
      </c>
      <c r="M514">
        <v>3.8</v>
      </c>
      <c r="N514">
        <v>1.37</v>
      </c>
      <c r="O514">
        <v>3.66</v>
      </c>
      <c r="P514">
        <v>4</v>
      </c>
      <c r="Q514">
        <v>4.5999999999999996</v>
      </c>
      <c r="R514">
        <v>4.4000000000000004</v>
      </c>
      <c r="S514">
        <v>6.7</v>
      </c>
      <c r="T514" t="s">
        <v>10</v>
      </c>
      <c r="U514">
        <v>7</v>
      </c>
      <c r="V514">
        <v>3.7</v>
      </c>
      <c r="W514">
        <v>3.6</v>
      </c>
      <c r="X514">
        <v>2.6</v>
      </c>
      <c r="Y514">
        <v>2.5</v>
      </c>
      <c r="Z514">
        <v>5.4</v>
      </c>
      <c r="AA514">
        <v>5</v>
      </c>
      <c r="AB514" t="s">
        <v>21</v>
      </c>
      <c r="AC514" t="s">
        <v>10</v>
      </c>
      <c r="AD514" t="s">
        <v>22</v>
      </c>
      <c r="AE514" t="str">
        <f t="shared" si="21"/>
        <v>15-19</v>
      </c>
      <c r="AF514" t="str">
        <f t="shared" si="22"/>
        <v>Low Usage</v>
      </c>
      <c r="AG514" t="str">
        <f t="shared" si="23"/>
        <v>Moderate Loneliness</v>
      </c>
    </row>
    <row r="515" spans="1:33" x14ac:dyDescent="0.3">
      <c r="A515" t="s">
        <v>559</v>
      </c>
      <c r="B515">
        <v>27</v>
      </c>
      <c r="C515" t="s">
        <v>32</v>
      </c>
      <c r="D515" t="s">
        <v>2</v>
      </c>
      <c r="E515" t="s">
        <v>3</v>
      </c>
      <c r="F515" t="s">
        <v>45</v>
      </c>
      <c r="G515" t="s">
        <v>17</v>
      </c>
      <c r="H515" t="s">
        <v>18</v>
      </c>
      <c r="I515" t="s">
        <v>7</v>
      </c>
      <c r="J515" t="s">
        <v>8</v>
      </c>
      <c r="K515" t="s">
        <v>25</v>
      </c>
      <c r="L515">
        <v>1.63</v>
      </c>
      <c r="M515">
        <v>4.01</v>
      </c>
      <c r="N515">
        <v>0.72</v>
      </c>
      <c r="O515">
        <v>3.2</v>
      </c>
      <c r="P515">
        <v>3</v>
      </c>
      <c r="Q515">
        <v>5.4</v>
      </c>
      <c r="R515">
        <v>3.2</v>
      </c>
      <c r="S515">
        <v>4.4000000000000004</v>
      </c>
      <c r="T515" t="s">
        <v>39</v>
      </c>
      <c r="U515">
        <v>7.3</v>
      </c>
      <c r="V515">
        <v>7.1</v>
      </c>
      <c r="W515">
        <v>3.5</v>
      </c>
      <c r="X515">
        <v>4.7</v>
      </c>
      <c r="Y515">
        <v>4.5</v>
      </c>
      <c r="Z515">
        <v>5</v>
      </c>
      <c r="AA515">
        <v>6.1</v>
      </c>
      <c r="AB515" t="s">
        <v>21</v>
      </c>
      <c r="AC515" t="s">
        <v>10</v>
      </c>
      <c r="AD515" t="s">
        <v>22</v>
      </c>
      <c r="AE515" t="str">
        <f t="shared" ref="AE515:AE578" si="24">IF(B515&lt;20,"15-19",IF(B515&lt;25,"20-24",IF(B515&lt;35,"25-34","35-44")))</f>
        <v>25-34</v>
      </c>
      <c r="AF515" t="str">
        <f t="shared" ref="AF515:AF578" si="25">IF(L515&lt;=1,"Very Low Usage",IF(L515&lt;=2.5,"Low Usage",IF(L515&lt;=4,"Moderate Usage","High Usage")))</f>
        <v>Low Usage</v>
      </c>
      <c r="AG515" t="str">
        <f t="shared" ref="AG515:AG578" si="26">IF(Q515&lt;=3,"Low Loneliness",IF(Q515&lt;=6,"Moderate Loneliness","High Loneliness"))</f>
        <v>Moderate Loneliness</v>
      </c>
    </row>
    <row r="516" spans="1:33" x14ac:dyDescent="0.3">
      <c r="A516" t="s">
        <v>560</v>
      </c>
      <c r="B516">
        <v>34</v>
      </c>
      <c r="C516" t="s">
        <v>32</v>
      </c>
      <c r="D516" t="s">
        <v>2</v>
      </c>
      <c r="E516" t="s">
        <v>37</v>
      </c>
      <c r="F516" t="s">
        <v>16</v>
      </c>
      <c r="G516" t="s">
        <v>43</v>
      </c>
      <c r="H516" t="s">
        <v>6</v>
      </c>
      <c r="I516" t="s">
        <v>19</v>
      </c>
      <c r="J516" t="s">
        <v>8</v>
      </c>
      <c r="K516" t="s">
        <v>1079</v>
      </c>
      <c r="L516">
        <v>0</v>
      </c>
      <c r="M516">
        <v>6.86</v>
      </c>
      <c r="N516">
        <v>2.21</v>
      </c>
      <c r="O516">
        <v>5.3</v>
      </c>
      <c r="P516">
        <v>6</v>
      </c>
      <c r="Q516">
        <v>2.9</v>
      </c>
      <c r="R516">
        <v>1.9</v>
      </c>
      <c r="S516">
        <v>8.1999999999999993</v>
      </c>
      <c r="T516" t="s">
        <v>10</v>
      </c>
      <c r="U516">
        <v>9.1</v>
      </c>
      <c r="V516">
        <v>7.2</v>
      </c>
      <c r="W516">
        <v>4.3</v>
      </c>
      <c r="X516">
        <v>3.4</v>
      </c>
      <c r="Y516">
        <v>2.1</v>
      </c>
      <c r="Z516">
        <v>3.5</v>
      </c>
      <c r="AA516">
        <v>8</v>
      </c>
      <c r="AB516" t="s">
        <v>21</v>
      </c>
      <c r="AC516" t="s">
        <v>10</v>
      </c>
      <c r="AD516" t="s">
        <v>12</v>
      </c>
      <c r="AE516" t="str">
        <f t="shared" si="24"/>
        <v>25-34</v>
      </c>
      <c r="AF516" t="str">
        <f t="shared" si="25"/>
        <v>Very Low Usage</v>
      </c>
      <c r="AG516" t="str">
        <f t="shared" si="26"/>
        <v>Low Loneliness</v>
      </c>
    </row>
    <row r="517" spans="1:33" x14ac:dyDescent="0.3">
      <c r="A517" t="s">
        <v>561</v>
      </c>
      <c r="B517">
        <v>15</v>
      </c>
      <c r="C517" t="s">
        <v>27</v>
      </c>
      <c r="D517" t="s">
        <v>14</v>
      </c>
      <c r="E517" t="s">
        <v>37</v>
      </c>
      <c r="F517" t="s">
        <v>16</v>
      </c>
      <c r="G517" t="s">
        <v>17</v>
      </c>
      <c r="H517" t="s">
        <v>18</v>
      </c>
      <c r="I517" t="s">
        <v>35</v>
      </c>
      <c r="J517" t="s">
        <v>38</v>
      </c>
      <c r="K517" t="s">
        <v>53</v>
      </c>
      <c r="L517">
        <v>0.51</v>
      </c>
      <c r="M517">
        <v>4.17</v>
      </c>
      <c r="N517">
        <v>3.86</v>
      </c>
      <c r="O517">
        <v>5.54</v>
      </c>
      <c r="P517">
        <v>6</v>
      </c>
      <c r="Q517">
        <v>4.9000000000000004</v>
      </c>
      <c r="R517">
        <v>4.7</v>
      </c>
      <c r="S517">
        <v>4.0999999999999996</v>
      </c>
      <c r="T517" t="s">
        <v>10</v>
      </c>
      <c r="U517">
        <v>5.9</v>
      </c>
      <c r="V517">
        <v>7.3</v>
      </c>
      <c r="W517">
        <v>4.5</v>
      </c>
      <c r="X517">
        <v>5.9</v>
      </c>
      <c r="Y517">
        <v>5</v>
      </c>
      <c r="Z517">
        <v>4.0999999999999996</v>
      </c>
      <c r="AA517">
        <v>6.2</v>
      </c>
      <c r="AB517" t="s">
        <v>21</v>
      </c>
      <c r="AC517" t="s">
        <v>10</v>
      </c>
      <c r="AD517" t="s">
        <v>12</v>
      </c>
      <c r="AE517" t="str">
        <f t="shared" si="24"/>
        <v>15-19</v>
      </c>
      <c r="AF517" t="str">
        <f t="shared" si="25"/>
        <v>Very Low Usage</v>
      </c>
      <c r="AG517" t="str">
        <f t="shared" si="26"/>
        <v>Moderate Loneliness</v>
      </c>
    </row>
    <row r="518" spans="1:33" x14ac:dyDescent="0.3">
      <c r="A518" t="s">
        <v>562</v>
      </c>
      <c r="B518">
        <v>22</v>
      </c>
      <c r="C518" t="s">
        <v>32</v>
      </c>
      <c r="D518" t="s">
        <v>41</v>
      </c>
      <c r="E518" t="s">
        <v>37</v>
      </c>
      <c r="F518" t="s">
        <v>4</v>
      </c>
      <c r="G518" t="s">
        <v>17</v>
      </c>
      <c r="H518" t="s">
        <v>28</v>
      </c>
      <c r="I518" t="s">
        <v>19</v>
      </c>
      <c r="J518" t="s">
        <v>48</v>
      </c>
      <c r="K518" t="s">
        <v>1079</v>
      </c>
      <c r="L518">
        <v>2.9</v>
      </c>
      <c r="M518">
        <v>3.33</v>
      </c>
      <c r="N518">
        <v>3.68</v>
      </c>
      <c r="O518">
        <v>9.58</v>
      </c>
      <c r="P518">
        <v>1</v>
      </c>
      <c r="Q518">
        <v>5.9</v>
      </c>
      <c r="R518">
        <v>6.7</v>
      </c>
      <c r="S518">
        <v>5.4</v>
      </c>
      <c r="T518" t="s">
        <v>10</v>
      </c>
      <c r="U518">
        <v>5.3</v>
      </c>
      <c r="V518">
        <v>5.0999999999999996</v>
      </c>
      <c r="W518">
        <v>6.2</v>
      </c>
      <c r="X518">
        <v>8.6999999999999993</v>
      </c>
      <c r="Y518">
        <v>7.2</v>
      </c>
      <c r="Z518">
        <v>5.3</v>
      </c>
      <c r="AA518">
        <v>2.2999999999999998</v>
      </c>
      <c r="AB518" t="s">
        <v>21</v>
      </c>
      <c r="AC518" t="s">
        <v>10</v>
      </c>
      <c r="AD518" t="s">
        <v>22</v>
      </c>
      <c r="AE518" t="str">
        <f t="shared" si="24"/>
        <v>20-24</v>
      </c>
      <c r="AF518" t="str">
        <f t="shared" si="25"/>
        <v>Moderate Usage</v>
      </c>
      <c r="AG518" t="str">
        <f t="shared" si="26"/>
        <v>Moderate Loneliness</v>
      </c>
    </row>
    <row r="519" spans="1:33" x14ac:dyDescent="0.3">
      <c r="A519" t="s">
        <v>563</v>
      </c>
      <c r="B519">
        <v>28</v>
      </c>
      <c r="C519" t="s">
        <v>89</v>
      </c>
      <c r="D519" t="s">
        <v>58</v>
      </c>
      <c r="E519" t="s">
        <v>15</v>
      </c>
      <c r="F519" t="s">
        <v>16</v>
      </c>
      <c r="G519" t="s">
        <v>17</v>
      </c>
      <c r="H519" t="s">
        <v>6</v>
      </c>
      <c r="I519" t="s">
        <v>19</v>
      </c>
      <c r="J519" t="s">
        <v>51</v>
      </c>
      <c r="K519" t="s">
        <v>30</v>
      </c>
      <c r="L519">
        <v>2.29</v>
      </c>
      <c r="M519">
        <v>2.21</v>
      </c>
      <c r="N519">
        <v>3.27</v>
      </c>
      <c r="O519">
        <v>7.71</v>
      </c>
      <c r="P519">
        <v>4</v>
      </c>
      <c r="Q519">
        <v>4.0999999999999996</v>
      </c>
      <c r="R519">
        <v>5.7</v>
      </c>
      <c r="S519">
        <v>5.2</v>
      </c>
      <c r="T519" t="s">
        <v>39</v>
      </c>
      <c r="U519">
        <v>4.7</v>
      </c>
      <c r="V519">
        <v>4.9000000000000004</v>
      </c>
      <c r="W519">
        <v>4</v>
      </c>
      <c r="X519">
        <v>4.5</v>
      </c>
      <c r="Y519">
        <v>3.3</v>
      </c>
      <c r="Z519">
        <v>6.4</v>
      </c>
      <c r="AA519">
        <v>6.1</v>
      </c>
      <c r="AB519" t="s">
        <v>21</v>
      </c>
      <c r="AC519" t="s">
        <v>10</v>
      </c>
      <c r="AD519" t="s">
        <v>12</v>
      </c>
      <c r="AE519" t="str">
        <f t="shared" si="24"/>
        <v>25-34</v>
      </c>
      <c r="AF519" t="str">
        <f t="shared" si="25"/>
        <v>Low Usage</v>
      </c>
      <c r="AG519" t="str">
        <f t="shared" si="26"/>
        <v>Moderate Loneliness</v>
      </c>
    </row>
    <row r="520" spans="1:33" x14ac:dyDescent="0.3">
      <c r="A520" t="s">
        <v>564</v>
      </c>
      <c r="B520">
        <v>30</v>
      </c>
      <c r="C520" t="s">
        <v>1</v>
      </c>
      <c r="D520" t="s">
        <v>2</v>
      </c>
      <c r="E520" t="s">
        <v>59</v>
      </c>
      <c r="F520" t="s">
        <v>12</v>
      </c>
      <c r="G520" t="s">
        <v>5</v>
      </c>
      <c r="H520" t="s">
        <v>18</v>
      </c>
      <c r="I520" t="s">
        <v>29</v>
      </c>
      <c r="J520" t="s">
        <v>20</v>
      </c>
      <c r="K520" t="s">
        <v>9</v>
      </c>
      <c r="L520">
        <v>2.66</v>
      </c>
      <c r="M520">
        <v>3.37</v>
      </c>
      <c r="N520">
        <v>2.14</v>
      </c>
      <c r="O520">
        <v>7.9</v>
      </c>
      <c r="P520">
        <v>5</v>
      </c>
      <c r="Q520">
        <v>7.8</v>
      </c>
      <c r="R520">
        <v>4.4000000000000004</v>
      </c>
      <c r="S520">
        <v>4.8</v>
      </c>
      <c r="T520" t="s">
        <v>10</v>
      </c>
      <c r="U520">
        <v>5.9</v>
      </c>
      <c r="V520">
        <v>6</v>
      </c>
      <c r="W520">
        <v>2.7</v>
      </c>
      <c r="X520">
        <v>6.7</v>
      </c>
      <c r="Y520">
        <v>6.7</v>
      </c>
      <c r="Z520">
        <v>7</v>
      </c>
      <c r="AA520">
        <v>5.4</v>
      </c>
      <c r="AB520" t="s">
        <v>21</v>
      </c>
      <c r="AC520" t="s">
        <v>10</v>
      </c>
      <c r="AD520" t="s">
        <v>45</v>
      </c>
      <c r="AE520" t="str">
        <f t="shared" si="24"/>
        <v>25-34</v>
      </c>
      <c r="AF520" t="str">
        <f t="shared" si="25"/>
        <v>Moderate Usage</v>
      </c>
      <c r="AG520" t="str">
        <f t="shared" si="26"/>
        <v>High Loneliness</v>
      </c>
    </row>
    <row r="521" spans="1:33" x14ac:dyDescent="0.3">
      <c r="A521" t="s">
        <v>565</v>
      </c>
      <c r="B521">
        <v>28</v>
      </c>
      <c r="C521" t="s">
        <v>32</v>
      </c>
      <c r="D521" t="s">
        <v>2</v>
      </c>
      <c r="E521" t="s">
        <v>37</v>
      </c>
      <c r="F521" t="s">
        <v>16</v>
      </c>
      <c r="G521" t="s">
        <v>17</v>
      </c>
      <c r="H521" t="s">
        <v>18</v>
      </c>
      <c r="I521" t="s">
        <v>7</v>
      </c>
      <c r="J521" t="s">
        <v>8</v>
      </c>
      <c r="K521" t="s">
        <v>25</v>
      </c>
      <c r="L521">
        <v>1.53</v>
      </c>
      <c r="M521">
        <v>2.93</v>
      </c>
      <c r="N521">
        <v>4.79</v>
      </c>
      <c r="O521">
        <v>7.21</v>
      </c>
      <c r="P521">
        <v>1</v>
      </c>
      <c r="Q521">
        <v>10</v>
      </c>
      <c r="R521">
        <v>9.3000000000000007</v>
      </c>
      <c r="S521">
        <v>2.7</v>
      </c>
      <c r="T521" t="s">
        <v>10</v>
      </c>
      <c r="U521">
        <v>5.7</v>
      </c>
      <c r="V521">
        <v>3.2</v>
      </c>
      <c r="W521">
        <v>2.9</v>
      </c>
      <c r="X521">
        <v>7.4</v>
      </c>
      <c r="Y521">
        <v>7.3</v>
      </c>
      <c r="Z521">
        <v>7.2</v>
      </c>
      <c r="AA521">
        <v>1.9</v>
      </c>
      <c r="AB521" t="s">
        <v>44</v>
      </c>
      <c r="AC521" t="s">
        <v>10</v>
      </c>
      <c r="AD521" t="s">
        <v>45</v>
      </c>
      <c r="AE521" t="str">
        <f t="shared" si="24"/>
        <v>25-34</v>
      </c>
      <c r="AF521" t="str">
        <f t="shared" si="25"/>
        <v>Low Usage</v>
      </c>
      <c r="AG521" t="str">
        <f t="shared" si="26"/>
        <v>High Loneliness</v>
      </c>
    </row>
    <row r="522" spans="1:33" x14ac:dyDescent="0.3">
      <c r="A522" t="s">
        <v>566</v>
      </c>
      <c r="B522">
        <v>26</v>
      </c>
      <c r="C522" t="s">
        <v>1</v>
      </c>
      <c r="D522" t="s">
        <v>14</v>
      </c>
      <c r="E522" t="s">
        <v>3</v>
      </c>
      <c r="F522" t="s">
        <v>12</v>
      </c>
      <c r="G522" t="s">
        <v>17</v>
      </c>
      <c r="H522" t="s">
        <v>18</v>
      </c>
      <c r="I522" t="s">
        <v>29</v>
      </c>
      <c r="J522" t="s">
        <v>8</v>
      </c>
      <c r="K522" t="s">
        <v>53</v>
      </c>
      <c r="L522">
        <v>1.7</v>
      </c>
      <c r="M522">
        <v>2.15</v>
      </c>
      <c r="N522">
        <v>3.94</v>
      </c>
      <c r="O522">
        <v>7.01</v>
      </c>
      <c r="P522">
        <v>5</v>
      </c>
      <c r="Q522">
        <v>8.1</v>
      </c>
      <c r="R522">
        <v>4.9000000000000004</v>
      </c>
      <c r="S522">
        <v>5.0999999999999996</v>
      </c>
      <c r="T522" t="s">
        <v>10</v>
      </c>
      <c r="U522">
        <v>6.1</v>
      </c>
      <c r="V522">
        <v>3.9</v>
      </c>
      <c r="W522">
        <v>1.5</v>
      </c>
      <c r="X522">
        <v>5.4</v>
      </c>
      <c r="Y522">
        <v>4.7</v>
      </c>
      <c r="Z522">
        <v>7.2</v>
      </c>
      <c r="AA522">
        <v>4</v>
      </c>
      <c r="AB522" t="s">
        <v>44</v>
      </c>
      <c r="AC522" t="s">
        <v>10</v>
      </c>
      <c r="AD522" t="s">
        <v>22</v>
      </c>
      <c r="AE522" t="str">
        <f t="shared" si="24"/>
        <v>25-34</v>
      </c>
      <c r="AF522" t="str">
        <f t="shared" si="25"/>
        <v>Low Usage</v>
      </c>
      <c r="AG522" t="str">
        <f t="shared" si="26"/>
        <v>High Loneliness</v>
      </c>
    </row>
    <row r="523" spans="1:33" x14ac:dyDescent="0.3">
      <c r="A523" t="s">
        <v>567</v>
      </c>
      <c r="B523">
        <v>33</v>
      </c>
      <c r="C523" t="s">
        <v>32</v>
      </c>
      <c r="D523" t="s">
        <v>2</v>
      </c>
      <c r="E523" t="s">
        <v>3</v>
      </c>
      <c r="F523" t="s">
        <v>45</v>
      </c>
      <c r="G523" t="s">
        <v>5</v>
      </c>
      <c r="H523" t="s">
        <v>6</v>
      </c>
      <c r="I523" t="s">
        <v>35</v>
      </c>
      <c r="J523" t="s">
        <v>20</v>
      </c>
      <c r="K523" t="s">
        <v>53</v>
      </c>
      <c r="L523">
        <v>0</v>
      </c>
      <c r="M523">
        <v>5.18</v>
      </c>
      <c r="N523">
        <v>0</v>
      </c>
      <c r="O523">
        <v>2.4500000000000002</v>
      </c>
      <c r="P523">
        <v>7</v>
      </c>
      <c r="Q523">
        <v>1</v>
      </c>
      <c r="R523">
        <v>1</v>
      </c>
      <c r="S523">
        <v>10</v>
      </c>
      <c r="T523" t="s">
        <v>10</v>
      </c>
      <c r="U523">
        <v>7.3</v>
      </c>
      <c r="V523">
        <v>8</v>
      </c>
      <c r="W523">
        <v>5.2</v>
      </c>
      <c r="X523">
        <v>1</v>
      </c>
      <c r="Y523">
        <v>1</v>
      </c>
      <c r="Z523">
        <v>2.4</v>
      </c>
      <c r="AA523">
        <v>9.1999999999999993</v>
      </c>
      <c r="AB523" t="s">
        <v>11</v>
      </c>
      <c r="AC523" t="s">
        <v>39</v>
      </c>
      <c r="AD523" t="s">
        <v>12</v>
      </c>
      <c r="AE523" t="str">
        <f t="shared" si="24"/>
        <v>25-34</v>
      </c>
      <c r="AF523" t="str">
        <f t="shared" si="25"/>
        <v>Very Low Usage</v>
      </c>
      <c r="AG523" t="str">
        <f t="shared" si="26"/>
        <v>Low Loneliness</v>
      </c>
    </row>
    <row r="524" spans="1:33" x14ac:dyDescent="0.3">
      <c r="A524" t="s">
        <v>568</v>
      </c>
      <c r="B524">
        <v>37</v>
      </c>
      <c r="C524" t="s">
        <v>32</v>
      </c>
      <c r="D524" t="s">
        <v>2</v>
      </c>
      <c r="E524" t="s">
        <v>59</v>
      </c>
      <c r="F524" t="s">
        <v>45</v>
      </c>
      <c r="G524" t="s">
        <v>17</v>
      </c>
      <c r="H524" t="s">
        <v>6</v>
      </c>
      <c r="I524" t="s">
        <v>35</v>
      </c>
      <c r="J524" t="s">
        <v>20</v>
      </c>
      <c r="K524" t="s">
        <v>53</v>
      </c>
      <c r="L524">
        <v>1.6</v>
      </c>
      <c r="M524">
        <v>4.1900000000000004</v>
      </c>
      <c r="N524">
        <v>3.32</v>
      </c>
      <c r="O524">
        <v>6.49</v>
      </c>
      <c r="P524">
        <v>2</v>
      </c>
      <c r="Q524">
        <v>6.9</v>
      </c>
      <c r="R524">
        <v>5</v>
      </c>
      <c r="S524">
        <v>6.4</v>
      </c>
      <c r="T524" t="s">
        <v>10</v>
      </c>
      <c r="U524">
        <v>6.9</v>
      </c>
      <c r="V524">
        <v>6</v>
      </c>
      <c r="W524">
        <v>5.2</v>
      </c>
      <c r="X524">
        <v>4.9000000000000004</v>
      </c>
      <c r="Y524">
        <v>3.2</v>
      </c>
      <c r="Z524">
        <v>4.0999999999999996</v>
      </c>
      <c r="AA524">
        <v>2.7</v>
      </c>
      <c r="AB524" t="s">
        <v>21</v>
      </c>
      <c r="AC524" t="s">
        <v>10</v>
      </c>
      <c r="AD524" t="s">
        <v>12</v>
      </c>
      <c r="AE524" t="str">
        <f t="shared" si="24"/>
        <v>35-44</v>
      </c>
      <c r="AF524" t="str">
        <f t="shared" si="25"/>
        <v>Low Usage</v>
      </c>
      <c r="AG524" t="str">
        <f t="shared" si="26"/>
        <v>High Loneliness</v>
      </c>
    </row>
    <row r="525" spans="1:33" x14ac:dyDescent="0.3">
      <c r="A525" t="s">
        <v>569</v>
      </c>
      <c r="B525">
        <v>29</v>
      </c>
      <c r="C525" t="s">
        <v>32</v>
      </c>
      <c r="D525" t="s">
        <v>14</v>
      </c>
      <c r="E525" t="s">
        <v>37</v>
      </c>
      <c r="F525" t="s">
        <v>4</v>
      </c>
      <c r="G525" t="s">
        <v>43</v>
      </c>
      <c r="H525" t="s">
        <v>18</v>
      </c>
      <c r="I525" t="s">
        <v>35</v>
      </c>
      <c r="J525" t="s">
        <v>48</v>
      </c>
      <c r="K525" t="s">
        <v>9</v>
      </c>
      <c r="L525">
        <v>0.61</v>
      </c>
      <c r="M525">
        <v>4.13</v>
      </c>
      <c r="N525">
        <v>0.12</v>
      </c>
      <c r="O525">
        <v>1</v>
      </c>
      <c r="P525">
        <v>3</v>
      </c>
      <c r="Q525">
        <v>2.8</v>
      </c>
      <c r="R525">
        <v>2.4</v>
      </c>
      <c r="S525">
        <v>8.9</v>
      </c>
      <c r="T525" t="s">
        <v>10</v>
      </c>
      <c r="U525">
        <v>7.1</v>
      </c>
      <c r="V525">
        <v>9.5</v>
      </c>
      <c r="W525">
        <v>5</v>
      </c>
      <c r="X525">
        <v>3.1</v>
      </c>
      <c r="Y525">
        <v>1.2</v>
      </c>
      <c r="Z525">
        <v>3.5</v>
      </c>
      <c r="AA525">
        <v>8</v>
      </c>
      <c r="AB525" t="s">
        <v>21</v>
      </c>
      <c r="AC525" t="s">
        <v>10</v>
      </c>
      <c r="AD525" t="s">
        <v>12</v>
      </c>
      <c r="AE525" t="str">
        <f t="shared" si="24"/>
        <v>25-34</v>
      </c>
      <c r="AF525" t="str">
        <f t="shared" si="25"/>
        <v>Very Low Usage</v>
      </c>
      <c r="AG525" t="str">
        <f t="shared" si="26"/>
        <v>Low Loneliness</v>
      </c>
    </row>
    <row r="526" spans="1:33" x14ac:dyDescent="0.3">
      <c r="A526" t="s">
        <v>570</v>
      </c>
      <c r="B526">
        <v>42</v>
      </c>
      <c r="C526" t="s">
        <v>89</v>
      </c>
      <c r="D526" t="s">
        <v>2</v>
      </c>
      <c r="E526" t="s">
        <v>3</v>
      </c>
      <c r="F526" t="s">
        <v>12</v>
      </c>
      <c r="G526" t="s">
        <v>43</v>
      </c>
      <c r="H526" t="s">
        <v>28</v>
      </c>
      <c r="I526" t="s">
        <v>19</v>
      </c>
      <c r="J526" t="s">
        <v>8</v>
      </c>
      <c r="K526" t="s">
        <v>25</v>
      </c>
      <c r="L526">
        <v>4.71</v>
      </c>
      <c r="M526">
        <v>1.91</v>
      </c>
      <c r="N526">
        <v>5.03</v>
      </c>
      <c r="O526">
        <v>10.37</v>
      </c>
      <c r="P526">
        <v>2</v>
      </c>
      <c r="Q526">
        <v>9.6</v>
      </c>
      <c r="R526">
        <v>9.4</v>
      </c>
      <c r="S526">
        <v>2.4</v>
      </c>
      <c r="T526" t="s">
        <v>39</v>
      </c>
      <c r="U526">
        <v>4.9000000000000004</v>
      </c>
      <c r="V526">
        <v>3.3</v>
      </c>
      <c r="W526">
        <v>5</v>
      </c>
      <c r="X526">
        <v>10</v>
      </c>
      <c r="Y526">
        <v>5.6</v>
      </c>
      <c r="Z526">
        <v>9.9</v>
      </c>
      <c r="AA526">
        <v>2</v>
      </c>
      <c r="AB526" t="s">
        <v>44</v>
      </c>
      <c r="AC526" t="s">
        <v>39</v>
      </c>
      <c r="AD526" t="s">
        <v>45</v>
      </c>
      <c r="AE526" t="str">
        <f t="shared" si="24"/>
        <v>35-44</v>
      </c>
      <c r="AF526" t="str">
        <f t="shared" si="25"/>
        <v>High Usage</v>
      </c>
      <c r="AG526" t="str">
        <f t="shared" si="26"/>
        <v>High Loneliness</v>
      </c>
    </row>
    <row r="527" spans="1:33" x14ac:dyDescent="0.3">
      <c r="A527" t="s">
        <v>571</v>
      </c>
      <c r="B527">
        <v>16</v>
      </c>
      <c r="C527" t="s">
        <v>32</v>
      </c>
      <c r="D527" t="s">
        <v>47</v>
      </c>
      <c r="E527" t="s">
        <v>37</v>
      </c>
      <c r="F527" t="s">
        <v>16</v>
      </c>
      <c r="G527" t="s">
        <v>5</v>
      </c>
      <c r="H527" t="s">
        <v>18</v>
      </c>
      <c r="I527" t="s">
        <v>24</v>
      </c>
      <c r="J527" t="s">
        <v>38</v>
      </c>
      <c r="K527" t="s">
        <v>25</v>
      </c>
      <c r="L527">
        <v>2.2599999999999998</v>
      </c>
      <c r="M527">
        <v>4.0999999999999996</v>
      </c>
      <c r="N527">
        <v>2.33</v>
      </c>
      <c r="O527">
        <v>5.47</v>
      </c>
      <c r="P527">
        <v>4</v>
      </c>
      <c r="Q527">
        <v>5.2</v>
      </c>
      <c r="R527">
        <v>6.2</v>
      </c>
      <c r="S527">
        <v>3</v>
      </c>
      <c r="T527" t="s">
        <v>10</v>
      </c>
      <c r="U527">
        <v>6.9</v>
      </c>
      <c r="V527">
        <v>7.9</v>
      </c>
      <c r="W527">
        <v>3.9</v>
      </c>
      <c r="X527">
        <v>5.6</v>
      </c>
      <c r="Y527">
        <v>4.9000000000000004</v>
      </c>
      <c r="Z527">
        <v>5.2</v>
      </c>
      <c r="AA527">
        <v>5.6</v>
      </c>
      <c r="AB527" t="s">
        <v>44</v>
      </c>
      <c r="AC527" t="s">
        <v>10</v>
      </c>
      <c r="AD527" t="s">
        <v>22</v>
      </c>
      <c r="AE527" t="str">
        <f t="shared" si="24"/>
        <v>15-19</v>
      </c>
      <c r="AF527" t="str">
        <f t="shared" si="25"/>
        <v>Low Usage</v>
      </c>
      <c r="AG527" t="str">
        <f t="shared" si="26"/>
        <v>Moderate Loneliness</v>
      </c>
    </row>
    <row r="528" spans="1:33" x14ac:dyDescent="0.3">
      <c r="A528" t="s">
        <v>572</v>
      </c>
      <c r="B528">
        <v>16</v>
      </c>
      <c r="C528" t="s">
        <v>1</v>
      </c>
      <c r="D528" t="s">
        <v>2</v>
      </c>
      <c r="E528" t="s">
        <v>37</v>
      </c>
      <c r="F528" t="s">
        <v>4</v>
      </c>
      <c r="G528" t="s">
        <v>17</v>
      </c>
      <c r="H528" t="s">
        <v>18</v>
      </c>
      <c r="I528" t="s">
        <v>24</v>
      </c>
      <c r="J528" t="s">
        <v>8</v>
      </c>
      <c r="K528" t="s">
        <v>1079</v>
      </c>
      <c r="L528">
        <v>1.86</v>
      </c>
      <c r="M528">
        <v>6.69</v>
      </c>
      <c r="N528">
        <v>0.68</v>
      </c>
      <c r="O528">
        <v>3.49</v>
      </c>
      <c r="P528">
        <v>7</v>
      </c>
      <c r="Q528">
        <v>5.2</v>
      </c>
      <c r="R528">
        <v>6.3</v>
      </c>
      <c r="S528">
        <v>8.9</v>
      </c>
      <c r="T528" t="s">
        <v>10</v>
      </c>
      <c r="U528">
        <v>6.9</v>
      </c>
      <c r="V528">
        <v>9.3000000000000007</v>
      </c>
      <c r="W528">
        <v>2.8</v>
      </c>
      <c r="X528">
        <v>5.4</v>
      </c>
      <c r="Y528">
        <v>1</v>
      </c>
      <c r="Z528">
        <v>3.2</v>
      </c>
      <c r="AA528">
        <v>5.9</v>
      </c>
      <c r="AB528" t="s">
        <v>11</v>
      </c>
      <c r="AC528" t="s">
        <v>10</v>
      </c>
      <c r="AD528" t="s">
        <v>12</v>
      </c>
      <c r="AE528" t="str">
        <f t="shared" si="24"/>
        <v>15-19</v>
      </c>
      <c r="AF528" t="str">
        <f t="shared" si="25"/>
        <v>Low Usage</v>
      </c>
      <c r="AG528" t="str">
        <f t="shared" si="26"/>
        <v>Moderate Loneliness</v>
      </c>
    </row>
    <row r="529" spans="1:33" x14ac:dyDescent="0.3">
      <c r="A529" t="s">
        <v>573</v>
      </c>
      <c r="B529">
        <v>37</v>
      </c>
      <c r="C529" t="s">
        <v>1</v>
      </c>
      <c r="D529" t="s">
        <v>14</v>
      </c>
      <c r="E529" t="s">
        <v>37</v>
      </c>
      <c r="F529" t="s">
        <v>16</v>
      </c>
      <c r="G529" t="s">
        <v>5</v>
      </c>
      <c r="H529" t="s">
        <v>28</v>
      </c>
      <c r="I529" t="s">
        <v>29</v>
      </c>
      <c r="J529" t="s">
        <v>38</v>
      </c>
      <c r="K529" t="s">
        <v>1079</v>
      </c>
      <c r="L529">
        <v>1.68</v>
      </c>
      <c r="M529">
        <v>3.16</v>
      </c>
      <c r="N529">
        <v>3.47</v>
      </c>
      <c r="O529">
        <v>7.83</v>
      </c>
      <c r="P529">
        <v>4</v>
      </c>
      <c r="Q529">
        <v>7.6</v>
      </c>
      <c r="R529">
        <v>6.6</v>
      </c>
      <c r="S529">
        <v>3</v>
      </c>
      <c r="T529" t="s">
        <v>39</v>
      </c>
      <c r="U529">
        <v>7.6</v>
      </c>
      <c r="V529">
        <v>6.1</v>
      </c>
      <c r="W529">
        <v>0.9</v>
      </c>
      <c r="X529">
        <v>4.5999999999999996</v>
      </c>
      <c r="Y529">
        <v>4.0999999999999996</v>
      </c>
      <c r="Z529">
        <v>6.8</v>
      </c>
      <c r="AA529">
        <v>7.3</v>
      </c>
      <c r="AB529" t="s">
        <v>44</v>
      </c>
      <c r="AC529" t="s">
        <v>10</v>
      </c>
      <c r="AD529" t="s">
        <v>45</v>
      </c>
      <c r="AE529" t="str">
        <f t="shared" si="24"/>
        <v>35-44</v>
      </c>
      <c r="AF529" t="str">
        <f t="shared" si="25"/>
        <v>Low Usage</v>
      </c>
      <c r="AG529" t="str">
        <f t="shared" si="26"/>
        <v>High Loneliness</v>
      </c>
    </row>
    <row r="530" spans="1:33" x14ac:dyDescent="0.3">
      <c r="A530" t="s">
        <v>574</v>
      </c>
      <c r="B530">
        <v>36</v>
      </c>
      <c r="C530" t="s">
        <v>32</v>
      </c>
      <c r="D530" t="s">
        <v>47</v>
      </c>
      <c r="E530" t="s">
        <v>37</v>
      </c>
      <c r="F530" t="s">
        <v>12</v>
      </c>
      <c r="G530" t="s">
        <v>17</v>
      </c>
      <c r="H530" t="s">
        <v>33</v>
      </c>
      <c r="I530" t="s">
        <v>24</v>
      </c>
      <c r="J530" t="s">
        <v>8</v>
      </c>
      <c r="K530" t="s">
        <v>1079</v>
      </c>
      <c r="L530">
        <v>0.48</v>
      </c>
      <c r="M530">
        <v>5.67</v>
      </c>
      <c r="N530">
        <v>0.82</v>
      </c>
      <c r="O530">
        <v>3.64</v>
      </c>
      <c r="P530">
        <v>4</v>
      </c>
      <c r="Q530">
        <v>7.7</v>
      </c>
      <c r="R530">
        <v>5.5</v>
      </c>
      <c r="S530">
        <v>5.3</v>
      </c>
      <c r="T530" t="s">
        <v>39</v>
      </c>
      <c r="U530">
        <v>6.8</v>
      </c>
      <c r="V530">
        <v>8.1999999999999993</v>
      </c>
      <c r="W530">
        <v>5.4</v>
      </c>
      <c r="X530">
        <v>1.3</v>
      </c>
      <c r="Y530">
        <v>5</v>
      </c>
      <c r="Z530">
        <v>4.8</v>
      </c>
      <c r="AA530">
        <v>4.0999999999999996</v>
      </c>
      <c r="AB530" t="s">
        <v>11</v>
      </c>
      <c r="AC530" t="s">
        <v>10</v>
      </c>
      <c r="AD530" t="s">
        <v>12</v>
      </c>
      <c r="AE530" t="str">
        <f t="shared" si="24"/>
        <v>35-44</v>
      </c>
      <c r="AF530" t="str">
        <f t="shared" si="25"/>
        <v>Very Low Usage</v>
      </c>
      <c r="AG530" t="str">
        <f t="shared" si="26"/>
        <v>High Loneliness</v>
      </c>
    </row>
    <row r="531" spans="1:33" x14ac:dyDescent="0.3">
      <c r="A531" t="s">
        <v>575</v>
      </c>
      <c r="B531">
        <v>33</v>
      </c>
      <c r="C531" t="s">
        <v>1</v>
      </c>
      <c r="D531" t="s">
        <v>14</v>
      </c>
      <c r="E531" t="s">
        <v>3</v>
      </c>
      <c r="F531" t="s">
        <v>12</v>
      </c>
      <c r="G531" t="s">
        <v>5</v>
      </c>
      <c r="H531" t="s">
        <v>18</v>
      </c>
      <c r="I531" t="s">
        <v>29</v>
      </c>
      <c r="J531" t="s">
        <v>20</v>
      </c>
      <c r="K531" t="s">
        <v>53</v>
      </c>
      <c r="L531">
        <v>0.43</v>
      </c>
      <c r="M531">
        <v>3.93</v>
      </c>
      <c r="N531">
        <v>1.1200000000000001</v>
      </c>
      <c r="O531">
        <v>3.72</v>
      </c>
      <c r="P531">
        <v>7</v>
      </c>
      <c r="Q531">
        <v>1</v>
      </c>
      <c r="R531">
        <v>1.8</v>
      </c>
      <c r="S531">
        <v>8.8000000000000007</v>
      </c>
      <c r="T531" t="s">
        <v>10</v>
      </c>
      <c r="U531">
        <v>7.9</v>
      </c>
      <c r="V531">
        <v>10</v>
      </c>
      <c r="W531">
        <v>4.5</v>
      </c>
      <c r="X531">
        <v>1</v>
      </c>
      <c r="Y531">
        <v>2.2000000000000002</v>
      </c>
      <c r="Z531">
        <v>2.8</v>
      </c>
      <c r="AA531">
        <v>8.6999999999999993</v>
      </c>
      <c r="AB531" t="s">
        <v>21</v>
      </c>
      <c r="AC531" t="s">
        <v>10</v>
      </c>
      <c r="AD531" t="s">
        <v>12</v>
      </c>
      <c r="AE531" t="str">
        <f t="shared" si="24"/>
        <v>25-34</v>
      </c>
      <c r="AF531" t="str">
        <f t="shared" si="25"/>
        <v>Very Low Usage</v>
      </c>
      <c r="AG531" t="str">
        <f t="shared" si="26"/>
        <v>Low Loneliness</v>
      </c>
    </row>
    <row r="532" spans="1:33" x14ac:dyDescent="0.3">
      <c r="A532" t="s">
        <v>576</v>
      </c>
      <c r="B532">
        <v>39</v>
      </c>
      <c r="C532" t="s">
        <v>1</v>
      </c>
      <c r="D532" t="s">
        <v>14</v>
      </c>
      <c r="E532" t="s">
        <v>59</v>
      </c>
      <c r="F532" t="s">
        <v>45</v>
      </c>
      <c r="G532" t="s">
        <v>17</v>
      </c>
      <c r="H532" t="s">
        <v>28</v>
      </c>
      <c r="I532" t="s">
        <v>19</v>
      </c>
      <c r="J532" t="s">
        <v>8</v>
      </c>
      <c r="K532" t="s">
        <v>1079</v>
      </c>
      <c r="L532">
        <v>2.97</v>
      </c>
      <c r="M532">
        <v>3.2</v>
      </c>
      <c r="N532">
        <v>2.23</v>
      </c>
      <c r="O532">
        <v>9.2100000000000009</v>
      </c>
      <c r="P532">
        <v>3</v>
      </c>
      <c r="Q532">
        <v>8.8000000000000007</v>
      </c>
      <c r="R532">
        <v>7.2</v>
      </c>
      <c r="S532">
        <v>4.3</v>
      </c>
      <c r="T532" t="s">
        <v>39</v>
      </c>
      <c r="U532">
        <v>6.6</v>
      </c>
      <c r="V532">
        <v>6.4</v>
      </c>
      <c r="W532">
        <v>1.3</v>
      </c>
      <c r="X532">
        <v>5.2</v>
      </c>
      <c r="Y532">
        <v>4.4000000000000004</v>
      </c>
      <c r="Z532">
        <v>6.4</v>
      </c>
      <c r="AA532">
        <v>5.8</v>
      </c>
      <c r="AB532" t="s">
        <v>21</v>
      </c>
      <c r="AC532" t="s">
        <v>10</v>
      </c>
      <c r="AD532" t="s">
        <v>45</v>
      </c>
      <c r="AE532" t="str">
        <f t="shared" si="24"/>
        <v>35-44</v>
      </c>
      <c r="AF532" t="str">
        <f t="shared" si="25"/>
        <v>Moderate Usage</v>
      </c>
      <c r="AG532" t="str">
        <f t="shared" si="26"/>
        <v>High Loneliness</v>
      </c>
    </row>
    <row r="533" spans="1:33" x14ac:dyDescent="0.3">
      <c r="A533" t="s">
        <v>577</v>
      </c>
      <c r="B533">
        <v>40</v>
      </c>
      <c r="C533" t="s">
        <v>1</v>
      </c>
      <c r="D533" t="s">
        <v>14</v>
      </c>
      <c r="E533" t="s">
        <v>37</v>
      </c>
      <c r="F533" t="s">
        <v>16</v>
      </c>
      <c r="G533" t="s">
        <v>43</v>
      </c>
      <c r="H533" t="s">
        <v>28</v>
      </c>
      <c r="I533" t="s">
        <v>29</v>
      </c>
      <c r="J533" t="s">
        <v>20</v>
      </c>
      <c r="K533" t="s">
        <v>53</v>
      </c>
      <c r="L533">
        <v>0.38</v>
      </c>
      <c r="M533">
        <v>4.1100000000000003</v>
      </c>
      <c r="N533">
        <v>0.75</v>
      </c>
      <c r="O533">
        <v>4.3</v>
      </c>
      <c r="P533">
        <v>4</v>
      </c>
      <c r="Q533">
        <v>4.7</v>
      </c>
      <c r="R533">
        <v>3.5</v>
      </c>
      <c r="S533">
        <v>5.2</v>
      </c>
      <c r="T533" t="s">
        <v>10</v>
      </c>
      <c r="U533">
        <v>5.5</v>
      </c>
      <c r="V533">
        <v>5</v>
      </c>
      <c r="W533">
        <v>3.7</v>
      </c>
      <c r="X533">
        <v>1.9</v>
      </c>
      <c r="Y533">
        <v>3.9</v>
      </c>
      <c r="Z533">
        <v>3.4</v>
      </c>
      <c r="AA533">
        <v>5.4</v>
      </c>
      <c r="AB533" t="s">
        <v>21</v>
      </c>
      <c r="AC533" t="s">
        <v>10</v>
      </c>
      <c r="AD533" t="s">
        <v>12</v>
      </c>
      <c r="AE533" t="str">
        <f t="shared" si="24"/>
        <v>35-44</v>
      </c>
      <c r="AF533" t="str">
        <f t="shared" si="25"/>
        <v>Very Low Usage</v>
      </c>
      <c r="AG533" t="str">
        <f t="shared" si="26"/>
        <v>Moderate Loneliness</v>
      </c>
    </row>
    <row r="534" spans="1:33" x14ac:dyDescent="0.3">
      <c r="A534" t="s">
        <v>578</v>
      </c>
      <c r="B534">
        <v>44</v>
      </c>
      <c r="C534" t="s">
        <v>1</v>
      </c>
      <c r="D534" t="s">
        <v>14</v>
      </c>
      <c r="E534" t="s">
        <v>15</v>
      </c>
      <c r="F534" t="s">
        <v>16</v>
      </c>
      <c r="G534" t="s">
        <v>17</v>
      </c>
      <c r="H534" t="s">
        <v>28</v>
      </c>
      <c r="I534" t="s">
        <v>29</v>
      </c>
      <c r="J534" t="s">
        <v>20</v>
      </c>
      <c r="K534" t="s">
        <v>53</v>
      </c>
      <c r="L534">
        <v>3.7</v>
      </c>
      <c r="M534">
        <v>1.9</v>
      </c>
      <c r="N534">
        <v>3.98</v>
      </c>
      <c r="O534">
        <v>10.48</v>
      </c>
      <c r="P534">
        <v>1</v>
      </c>
      <c r="Q534">
        <v>8.1999999999999993</v>
      </c>
      <c r="R534">
        <v>8.3000000000000007</v>
      </c>
      <c r="S534">
        <v>1.5</v>
      </c>
      <c r="T534" t="s">
        <v>39</v>
      </c>
      <c r="U534">
        <v>7.1</v>
      </c>
      <c r="V534">
        <v>3.7</v>
      </c>
      <c r="W534">
        <v>3.8</v>
      </c>
      <c r="X534">
        <v>8.9</v>
      </c>
      <c r="Y534">
        <v>6.6</v>
      </c>
      <c r="Z534">
        <v>6.6</v>
      </c>
      <c r="AA534">
        <v>3.4</v>
      </c>
      <c r="AB534" t="s">
        <v>44</v>
      </c>
      <c r="AC534" t="s">
        <v>39</v>
      </c>
      <c r="AD534" t="s">
        <v>45</v>
      </c>
      <c r="AE534" t="str">
        <f t="shared" si="24"/>
        <v>35-44</v>
      </c>
      <c r="AF534" t="str">
        <f t="shared" si="25"/>
        <v>Moderate Usage</v>
      </c>
      <c r="AG534" t="str">
        <f t="shared" si="26"/>
        <v>High Loneliness</v>
      </c>
    </row>
    <row r="535" spans="1:33" x14ac:dyDescent="0.3">
      <c r="A535" t="s">
        <v>579</v>
      </c>
      <c r="B535">
        <v>43</v>
      </c>
      <c r="C535" t="s">
        <v>1</v>
      </c>
      <c r="D535" t="s">
        <v>47</v>
      </c>
      <c r="E535" t="s">
        <v>15</v>
      </c>
      <c r="F535" t="s">
        <v>4</v>
      </c>
      <c r="G535" t="s">
        <v>5</v>
      </c>
      <c r="H535" t="s">
        <v>6</v>
      </c>
      <c r="I535" t="s">
        <v>19</v>
      </c>
      <c r="J535" t="s">
        <v>20</v>
      </c>
      <c r="K535" t="s">
        <v>9</v>
      </c>
      <c r="L535">
        <v>2.0099999999999998</v>
      </c>
      <c r="M535">
        <v>4.79</v>
      </c>
      <c r="N535">
        <v>2.2000000000000002</v>
      </c>
      <c r="O535">
        <v>4.71</v>
      </c>
      <c r="P535">
        <v>2</v>
      </c>
      <c r="Q535">
        <v>5.0999999999999996</v>
      </c>
      <c r="R535">
        <v>5.2</v>
      </c>
      <c r="S535">
        <v>6.2</v>
      </c>
      <c r="T535" t="s">
        <v>10</v>
      </c>
      <c r="U535">
        <v>7.8</v>
      </c>
      <c r="V535">
        <v>5.9</v>
      </c>
      <c r="W535">
        <v>3.6</v>
      </c>
      <c r="X535">
        <v>2.6</v>
      </c>
      <c r="Y535">
        <v>3.1</v>
      </c>
      <c r="Z535">
        <v>2.8</v>
      </c>
      <c r="AA535">
        <v>7</v>
      </c>
      <c r="AB535" t="s">
        <v>44</v>
      </c>
      <c r="AC535" t="s">
        <v>39</v>
      </c>
      <c r="AD535" t="s">
        <v>22</v>
      </c>
      <c r="AE535" t="str">
        <f t="shared" si="24"/>
        <v>35-44</v>
      </c>
      <c r="AF535" t="str">
        <f t="shared" si="25"/>
        <v>Low Usage</v>
      </c>
      <c r="AG535" t="str">
        <f t="shared" si="26"/>
        <v>Moderate Loneliness</v>
      </c>
    </row>
    <row r="536" spans="1:33" x14ac:dyDescent="0.3">
      <c r="A536" t="s">
        <v>580</v>
      </c>
      <c r="B536">
        <v>36</v>
      </c>
      <c r="C536" t="s">
        <v>1</v>
      </c>
      <c r="D536" t="s">
        <v>2</v>
      </c>
      <c r="E536" t="s">
        <v>37</v>
      </c>
      <c r="F536" t="s">
        <v>16</v>
      </c>
      <c r="G536" t="s">
        <v>5</v>
      </c>
      <c r="H536" t="s">
        <v>28</v>
      </c>
      <c r="I536" t="s">
        <v>19</v>
      </c>
      <c r="J536" t="s">
        <v>20</v>
      </c>
      <c r="K536" t="s">
        <v>25</v>
      </c>
      <c r="L536">
        <v>3.47</v>
      </c>
      <c r="M536">
        <v>2.2000000000000002</v>
      </c>
      <c r="N536">
        <v>5.4</v>
      </c>
      <c r="O536">
        <v>10.92</v>
      </c>
      <c r="P536">
        <v>1</v>
      </c>
      <c r="Q536">
        <v>10</v>
      </c>
      <c r="R536">
        <v>9.6</v>
      </c>
      <c r="S536">
        <v>2.1</v>
      </c>
      <c r="T536" t="s">
        <v>39</v>
      </c>
      <c r="U536">
        <v>5.3</v>
      </c>
      <c r="V536">
        <v>5.3</v>
      </c>
      <c r="W536">
        <v>1</v>
      </c>
      <c r="X536">
        <v>8.1</v>
      </c>
      <c r="Y536">
        <v>7.2</v>
      </c>
      <c r="Z536">
        <v>6.1</v>
      </c>
      <c r="AA536">
        <v>1.5</v>
      </c>
      <c r="AB536" t="s">
        <v>44</v>
      </c>
      <c r="AC536" t="s">
        <v>39</v>
      </c>
      <c r="AD536" t="s">
        <v>45</v>
      </c>
      <c r="AE536" t="str">
        <f t="shared" si="24"/>
        <v>35-44</v>
      </c>
      <c r="AF536" t="str">
        <f t="shared" si="25"/>
        <v>Moderate Usage</v>
      </c>
      <c r="AG536" t="str">
        <f t="shared" si="26"/>
        <v>High Loneliness</v>
      </c>
    </row>
    <row r="537" spans="1:33" x14ac:dyDescent="0.3">
      <c r="A537" t="s">
        <v>581</v>
      </c>
      <c r="B537">
        <v>40</v>
      </c>
      <c r="C537" t="s">
        <v>1</v>
      </c>
      <c r="D537" t="s">
        <v>14</v>
      </c>
      <c r="E537" t="s">
        <v>37</v>
      </c>
      <c r="F537" t="s">
        <v>4</v>
      </c>
      <c r="G537" t="s">
        <v>5</v>
      </c>
      <c r="H537" t="s">
        <v>28</v>
      </c>
      <c r="I537" t="s">
        <v>24</v>
      </c>
      <c r="J537" t="s">
        <v>48</v>
      </c>
      <c r="K537" t="s">
        <v>1079</v>
      </c>
      <c r="L537">
        <v>1.47</v>
      </c>
      <c r="M537">
        <v>1.51</v>
      </c>
      <c r="N537">
        <v>1.64</v>
      </c>
      <c r="O537">
        <v>5.41</v>
      </c>
      <c r="P537">
        <v>3</v>
      </c>
      <c r="Q537">
        <v>5.8</v>
      </c>
      <c r="R537">
        <v>3.7</v>
      </c>
      <c r="S537">
        <v>6.9</v>
      </c>
      <c r="T537" t="s">
        <v>10</v>
      </c>
      <c r="U537">
        <v>5.7</v>
      </c>
      <c r="V537">
        <v>5.4</v>
      </c>
      <c r="W537">
        <v>5.3</v>
      </c>
      <c r="X537">
        <v>7.8</v>
      </c>
      <c r="Y537">
        <v>4.0999999999999996</v>
      </c>
      <c r="Z537">
        <v>6.5</v>
      </c>
      <c r="AA537">
        <v>4.4000000000000004</v>
      </c>
      <c r="AB537" t="s">
        <v>21</v>
      </c>
      <c r="AC537" t="s">
        <v>10</v>
      </c>
      <c r="AD537" t="s">
        <v>22</v>
      </c>
      <c r="AE537" t="str">
        <f t="shared" si="24"/>
        <v>35-44</v>
      </c>
      <c r="AF537" t="str">
        <f t="shared" si="25"/>
        <v>Low Usage</v>
      </c>
      <c r="AG537" t="str">
        <f t="shared" si="26"/>
        <v>Moderate Loneliness</v>
      </c>
    </row>
    <row r="538" spans="1:33" x14ac:dyDescent="0.3">
      <c r="A538" t="s">
        <v>582</v>
      </c>
      <c r="B538">
        <v>40</v>
      </c>
      <c r="C538" t="s">
        <v>1</v>
      </c>
      <c r="D538" t="s">
        <v>58</v>
      </c>
      <c r="E538" t="s">
        <v>37</v>
      </c>
      <c r="F538" t="s">
        <v>16</v>
      </c>
      <c r="G538" t="s">
        <v>17</v>
      </c>
      <c r="H538" t="s">
        <v>18</v>
      </c>
      <c r="I538" t="s">
        <v>29</v>
      </c>
      <c r="J538" t="s">
        <v>48</v>
      </c>
      <c r="K538" t="s">
        <v>1079</v>
      </c>
      <c r="L538">
        <v>2.41</v>
      </c>
      <c r="M538">
        <v>1.34</v>
      </c>
      <c r="N538">
        <v>4.8499999999999996</v>
      </c>
      <c r="O538">
        <v>8.85</v>
      </c>
      <c r="P538">
        <v>0</v>
      </c>
      <c r="Q538">
        <v>7</v>
      </c>
      <c r="R538">
        <v>4.5999999999999996</v>
      </c>
      <c r="S538">
        <v>3.3</v>
      </c>
      <c r="T538" t="s">
        <v>10</v>
      </c>
      <c r="U538">
        <v>5.4</v>
      </c>
      <c r="V538">
        <v>6.8</v>
      </c>
      <c r="W538">
        <v>4.4000000000000004</v>
      </c>
      <c r="X538">
        <v>5.0999999999999996</v>
      </c>
      <c r="Y538">
        <v>5.9</v>
      </c>
      <c r="Z538">
        <v>8.1</v>
      </c>
      <c r="AA538">
        <v>4.4000000000000004</v>
      </c>
      <c r="AB538" t="s">
        <v>44</v>
      </c>
      <c r="AC538" t="s">
        <v>10</v>
      </c>
      <c r="AD538" t="s">
        <v>45</v>
      </c>
      <c r="AE538" t="str">
        <f t="shared" si="24"/>
        <v>35-44</v>
      </c>
      <c r="AF538" t="str">
        <f t="shared" si="25"/>
        <v>Low Usage</v>
      </c>
      <c r="AG538" t="str">
        <f t="shared" si="26"/>
        <v>High Loneliness</v>
      </c>
    </row>
    <row r="539" spans="1:33" x14ac:dyDescent="0.3">
      <c r="A539" t="s">
        <v>583</v>
      </c>
      <c r="B539">
        <v>36</v>
      </c>
      <c r="C539" t="s">
        <v>89</v>
      </c>
      <c r="D539" t="s">
        <v>58</v>
      </c>
      <c r="E539" t="s">
        <v>37</v>
      </c>
      <c r="F539" t="s">
        <v>16</v>
      </c>
      <c r="G539" t="s">
        <v>66</v>
      </c>
      <c r="H539" t="s">
        <v>28</v>
      </c>
      <c r="I539" t="s">
        <v>19</v>
      </c>
      <c r="J539" t="s">
        <v>51</v>
      </c>
      <c r="K539" t="s">
        <v>1079</v>
      </c>
      <c r="L539">
        <v>1.0900000000000001</v>
      </c>
      <c r="M539">
        <v>5.26</v>
      </c>
      <c r="N539">
        <v>0.87</v>
      </c>
      <c r="O539">
        <v>5.67</v>
      </c>
      <c r="P539">
        <v>4</v>
      </c>
      <c r="Q539">
        <v>1.4</v>
      </c>
      <c r="R539">
        <v>4.9000000000000004</v>
      </c>
      <c r="S539">
        <v>5.6</v>
      </c>
      <c r="T539" t="s">
        <v>10</v>
      </c>
      <c r="U539">
        <v>6.1</v>
      </c>
      <c r="V539">
        <v>7.5</v>
      </c>
      <c r="W539">
        <v>7.1</v>
      </c>
      <c r="X539">
        <v>3.2</v>
      </c>
      <c r="Y539">
        <v>3.1</v>
      </c>
      <c r="Z539">
        <v>3.4</v>
      </c>
      <c r="AA539">
        <v>7.5</v>
      </c>
      <c r="AB539" t="s">
        <v>11</v>
      </c>
      <c r="AC539" t="s">
        <v>10</v>
      </c>
      <c r="AD539" t="s">
        <v>12</v>
      </c>
      <c r="AE539" t="str">
        <f t="shared" si="24"/>
        <v>35-44</v>
      </c>
      <c r="AF539" t="str">
        <f t="shared" si="25"/>
        <v>Low Usage</v>
      </c>
      <c r="AG539" t="str">
        <f t="shared" si="26"/>
        <v>Low Loneliness</v>
      </c>
    </row>
    <row r="540" spans="1:33" x14ac:dyDescent="0.3">
      <c r="A540" t="s">
        <v>584</v>
      </c>
      <c r="B540">
        <v>31</v>
      </c>
      <c r="C540" t="s">
        <v>1</v>
      </c>
      <c r="D540" t="s">
        <v>58</v>
      </c>
      <c r="E540" t="s">
        <v>15</v>
      </c>
      <c r="F540" t="s">
        <v>4</v>
      </c>
      <c r="G540" t="s">
        <v>5</v>
      </c>
      <c r="H540" t="s">
        <v>28</v>
      </c>
      <c r="I540" t="s">
        <v>29</v>
      </c>
      <c r="J540" t="s">
        <v>8</v>
      </c>
      <c r="K540" t="s">
        <v>25</v>
      </c>
      <c r="L540">
        <v>2.12</v>
      </c>
      <c r="M540">
        <v>1.97</v>
      </c>
      <c r="N540">
        <v>3.77</v>
      </c>
      <c r="O540">
        <v>7.94</v>
      </c>
      <c r="P540">
        <v>5</v>
      </c>
      <c r="Q540">
        <v>5.6</v>
      </c>
      <c r="R540">
        <v>4.4000000000000004</v>
      </c>
      <c r="S540">
        <v>7.5</v>
      </c>
      <c r="T540" t="s">
        <v>10</v>
      </c>
      <c r="U540">
        <v>5.2</v>
      </c>
      <c r="V540">
        <v>5.8</v>
      </c>
      <c r="W540">
        <v>5.6</v>
      </c>
      <c r="X540">
        <v>6.8</v>
      </c>
      <c r="Y540">
        <v>6.1</v>
      </c>
      <c r="Z540">
        <v>4</v>
      </c>
      <c r="AA540">
        <v>4.3</v>
      </c>
      <c r="AB540" t="s">
        <v>21</v>
      </c>
      <c r="AC540" t="s">
        <v>10</v>
      </c>
      <c r="AD540" t="s">
        <v>12</v>
      </c>
      <c r="AE540" t="str">
        <f t="shared" si="24"/>
        <v>25-34</v>
      </c>
      <c r="AF540" t="str">
        <f t="shared" si="25"/>
        <v>Low Usage</v>
      </c>
      <c r="AG540" t="str">
        <f t="shared" si="26"/>
        <v>Moderate Loneliness</v>
      </c>
    </row>
    <row r="541" spans="1:33" x14ac:dyDescent="0.3">
      <c r="A541" t="s">
        <v>585</v>
      </c>
      <c r="B541">
        <v>34</v>
      </c>
      <c r="C541" t="s">
        <v>1</v>
      </c>
      <c r="D541" t="s">
        <v>14</v>
      </c>
      <c r="E541" t="s">
        <v>59</v>
      </c>
      <c r="F541" t="s">
        <v>4</v>
      </c>
      <c r="G541" t="s">
        <v>5</v>
      </c>
      <c r="H541" t="s">
        <v>28</v>
      </c>
      <c r="I541" t="s">
        <v>24</v>
      </c>
      <c r="J541" t="s">
        <v>20</v>
      </c>
      <c r="K541" t="s">
        <v>25</v>
      </c>
      <c r="L541">
        <v>0.23</v>
      </c>
      <c r="M541">
        <v>6.65</v>
      </c>
      <c r="N541">
        <v>1.88</v>
      </c>
      <c r="O541">
        <v>2.88</v>
      </c>
      <c r="P541">
        <v>9</v>
      </c>
      <c r="Q541">
        <v>1.5</v>
      </c>
      <c r="R541">
        <v>1</v>
      </c>
      <c r="S541">
        <v>10</v>
      </c>
      <c r="T541" t="s">
        <v>10</v>
      </c>
      <c r="U541">
        <v>6.9</v>
      </c>
      <c r="V541">
        <v>9.1999999999999993</v>
      </c>
      <c r="W541">
        <v>7.7</v>
      </c>
      <c r="X541">
        <v>1</v>
      </c>
      <c r="Y541">
        <v>2</v>
      </c>
      <c r="Z541">
        <v>3.4</v>
      </c>
      <c r="AA541">
        <v>10</v>
      </c>
      <c r="AB541" t="s">
        <v>11</v>
      </c>
      <c r="AC541" t="s">
        <v>10</v>
      </c>
      <c r="AD541" t="s">
        <v>12</v>
      </c>
      <c r="AE541" t="str">
        <f t="shared" si="24"/>
        <v>25-34</v>
      </c>
      <c r="AF541" t="str">
        <f t="shared" si="25"/>
        <v>Very Low Usage</v>
      </c>
      <c r="AG541" t="str">
        <f t="shared" si="26"/>
        <v>Low Loneliness</v>
      </c>
    </row>
    <row r="542" spans="1:33" x14ac:dyDescent="0.3">
      <c r="A542" t="s">
        <v>586</v>
      </c>
      <c r="B542">
        <v>24</v>
      </c>
      <c r="C542" t="s">
        <v>32</v>
      </c>
      <c r="D542" t="s">
        <v>2</v>
      </c>
      <c r="E542" t="s">
        <v>3</v>
      </c>
      <c r="F542" t="s">
        <v>4</v>
      </c>
      <c r="G542" t="s">
        <v>17</v>
      </c>
      <c r="H542" t="s">
        <v>18</v>
      </c>
      <c r="I542" t="s">
        <v>24</v>
      </c>
      <c r="J542" t="s">
        <v>20</v>
      </c>
      <c r="K542" t="s">
        <v>25</v>
      </c>
      <c r="L542">
        <v>1.1100000000000001</v>
      </c>
      <c r="M542">
        <v>4.26</v>
      </c>
      <c r="N542">
        <v>2.69</v>
      </c>
      <c r="O542">
        <v>4.8099999999999996</v>
      </c>
      <c r="P542">
        <v>3</v>
      </c>
      <c r="Q542">
        <v>3.8</v>
      </c>
      <c r="R542">
        <v>2.1</v>
      </c>
      <c r="S542">
        <v>9.8000000000000007</v>
      </c>
      <c r="T542" t="s">
        <v>10</v>
      </c>
      <c r="U542">
        <v>4.7</v>
      </c>
      <c r="V542">
        <v>6.5</v>
      </c>
      <c r="W542">
        <v>3</v>
      </c>
      <c r="X542">
        <v>4.5999999999999996</v>
      </c>
      <c r="Y542">
        <v>3</v>
      </c>
      <c r="Z542">
        <v>6.2</v>
      </c>
      <c r="AA542">
        <v>6.8</v>
      </c>
      <c r="AB542" t="s">
        <v>11</v>
      </c>
      <c r="AC542" t="s">
        <v>10</v>
      </c>
      <c r="AD542" t="s">
        <v>12</v>
      </c>
      <c r="AE542" t="str">
        <f t="shared" si="24"/>
        <v>20-24</v>
      </c>
      <c r="AF542" t="str">
        <f t="shared" si="25"/>
        <v>Low Usage</v>
      </c>
      <c r="AG542" t="str">
        <f t="shared" si="26"/>
        <v>Moderate Loneliness</v>
      </c>
    </row>
    <row r="543" spans="1:33" x14ac:dyDescent="0.3">
      <c r="A543" t="s">
        <v>587</v>
      </c>
      <c r="B543">
        <v>20</v>
      </c>
      <c r="C543" t="s">
        <v>1</v>
      </c>
      <c r="D543" t="s">
        <v>41</v>
      </c>
      <c r="E543" t="s">
        <v>3</v>
      </c>
      <c r="F543" t="s">
        <v>16</v>
      </c>
      <c r="G543" t="s">
        <v>5</v>
      </c>
      <c r="H543" t="s">
        <v>18</v>
      </c>
      <c r="I543" t="s">
        <v>19</v>
      </c>
      <c r="J543" t="s">
        <v>8</v>
      </c>
      <c r="K543" t="s">
        <v>25</v>
      </c>
      <c r="L543">
        <v>0</v>
      </c>
      <c r="M543">
        <v>5.46</v>
      </c>
      <c r="N543">
        <v>0.22</v>
      </c>
      <c r="O543">
        <v>4.51</v>
      </c>
      <c r="P543">
        <v>5</v>
      </c>
      <c r="Q543">
        <v>1</v>
      </c>
      <c r="R543">
        <v>3.1</v>
      </c>
      <c r="S543">
        <v>6.5</v>
      </c>
      <c r="T543" t="s">
        <v>10</v>
      </c>
      <c r="U543">
        <v>7.7</v>
      </c>
      <c r="V543">
        <v>9.5</v>
      </c>
      <c r="W543">
        <v>6.8</v>
      </c>
      <c r="X543">
        <v>2.2999999999999998</v>
      </c>
      <c r="Y543">
        <v>1</v>
      </c>
      <c r="Z543">
        <v>3.3</v>
      </c>
      <c r="AA543">
        <v>9.8000000000000007</v>
      </c>
      <c r="AB543" t="s">
        <v>11</v>
      </c>
      <c r="AC543" t="s">
        <v>10</v>
      </c>
      <c r="AD543" t="s">
        <v>12</v>
      </c>
      <c r="AE543" t="str">
        <f t="shared" si="24"/>
        <v>20-24</v>
      </c>
      <c r="AF543" t="str">
        <f t="shared" si="25"/>
        <v>Very Low Usage</v>
      </c>
      <c r="AG543" t="str">
        <f t="shared" si="26"/>
        <v>Low Loneliness</v>
      </c>
    </row>
    <row r="544" spans="1:33" x14ac:dyDescent="0.3">
      <c r="A544" t="s">
        <v>588</v>
      </c>
      <c r="B544">
        <v>29</v>
      </c>
      <c r="C544" t="s">
        <v>27</v>
      </c>
      <c r="D544" t="s">
        <v>47</v>
      </c>
      <c r="E544" t="s">
        <v>59</v>
      </c>
      <c r="F544" t="s">
        <v>12</v>
      </c>
      <c r="G544" t="s">
        <v>17</v>
      </c>
      <c r="H544" t="s">
        <v>28</v>
      </c>
      <c r="I544" t="s">
        <v>24</v>
      </c>
      <c r="J544" t="s">
        <v>20</v>
      </c>
      <c r="K544" t="s">
        <v>53</v>
      </c>
      <c r="L544">
        <v>2.08</v>
      </c>
      <c r="M544">
        <v>5.18</v>
      </c>
      <c r="N544">
        <v>0</v>
      </c>
      <c r="O544">
        <v>3.66</v>
      </c>
      <c r="P544">
        <v>5</v>
      </c>
      <c r="Q544">
        <v>1</v>
      </c>
      <c r="R544">
        <v>2.8</v>
      </c>
      <c r="S544">
        <v>8.6</v>
      </c>
      <c r="T544" t="s">
        <v>10</v>
      </c>
      <c r="U544">
        <v>7.7</v>
      </c>
      <c r="V544">
        <v>8.5</v>
      </c>
      <c r="W544">
        <v>7.2</v>
      </c>
      <c r="X544">
        <v>2.4</v>
      </c>
      <c r="Y544">
        <v>2.6</v>
      </c>
      <c r="Z544">
        <v>1.3</v>
      </c>
      <c r="AA544">
        <v>9</v>
      </c>
      <c r="AB544" t="s">
        <v>21</v>
      </c>
      <c r="AC544" t="s">
        <v>10</v>
      </c>
      <c r="AD544" t="s">
        <v>12</v>
      </c>
      <c r="AE544" t="str">
        <f t="shared" si="24"/>
        <v>25-34</v>
      </c>
      <c r="AF544" t="str">
        <f t="shared" si="25"/>
        <v>Low Usage</v>
      </c>
      <c r="AG544" t="str">
        <f t="shared" si="26"/>
        <v>Low Loneliness</v>
      </c>
    </row>
    <row r="545" spans="1:33" x14ac:dyDescent="0.3">
      <c r="A545" t="s">
        <v>589</v>
      </c>
      <c r="B545">
        <v>36</v>
      </c>
      <c r="C545" t="s">
        <v>32</v>
      </c>
      <c r="D545" t="s">
        <v>14</v>
      </c>
      <c r="E545" t="s">
        <v>15</v>
      </c>
      <c r="F545" t="s">
        <v>16</v>
      </c>
      <c r="G545" t="s">
        <v>17</v>
      </c>
      <c r="H545" t="s">
        <v>18</v>
      </c>
      <c r="I545" t="s">
        <v>29</v>
      </c>
      <c r="J545" t="s">
        <v>8</v>
      </c>
      <c r="K545" t="s">
        <v>1079</v>
      </c>
      <c r="L545">
        <v>0.48</v>
      </c>
      <c r="M545">
        <v>5.49</v>
      </c>
      <c r="N545">
        <v>0</v>
      </c>
      <c r="O545">
        <v>1</v>
      </c>
      <c r="P545">
        <v>4</v>
      </c>
      <c r="Q545">
        <v>2.2999999999999998</v>
      </c>
      <c r="R545">
        <v>1.4</v>
      </c>
      <c r="S545">
        <v>8.4</v>
      </c>
      <c r="T545" t="s">
        <v>10</v>
      </c>
      <c r="U545">
        <v>8.8000000000000007</v>
      </c>
      <c r="V545">
        <v>7.5</v>
      </c>
      <c r="W545">
        <v>7.9</v>
      </c>
      <c r="X545">
        <v>2.2000000000000002</v>
      </c>
      <c r="Y545">
        <v>1.9</v>
      </c>
      <c r="Z545">
        <v>4.0999999999999996</v>
      </c>
      <c r="AA545">
        <v>5.8</v>
      </c>
      <c r="AB545" t="s">
        <v>11</v>
      </c>
      <c r="AC545" t="s">
        <v>10</v>
      </c>
      <c r="AD545" t="s">
        <v>12</v>
      </c>
      <c r="AE545" t="str">
        <f t="shared" si="24"/>
        <v>35-44</v>
      </c>
      <c r="AF545" t="str">
        <f t="shared" si="25"/>
        <v>Very Low Usage</v>
      </c>
      <c r="AG545" t="str">
        <f t="shared" si="26"/>
        <v>Low Loneliness</v>
      </c>
    </row>
    <row r="546" spans="1:33" x14ac:dyDescent="0.3">
      <c r="A546" t="s">
        <v>590</v>
      </c>
      <c r="B546">
        <v>25</v>
      </c>
      <c r="C546" t="s">
        <v>1</v>
      </c>
      <c r="D546" t="s">
        <v>14</v>
      </c>
      <c r="E546" t="s">
        <v>15</v>
      </c>
      <c r="F546" t="s">
        <v>12</v>
      </c>
      <c r="G546" t="s">
        <v>17</v>
      </c>
      <c r="H546" t="s">
        <v>6</v>
      </c>
      <c r="I546" t="s">
        <v>24</v>
      </c>
      <c r="J546" t="s">
        <v>8</v>
      </c>
      <c r="K546" t="s">
        <v>1079</v>
      </c>
      <c r="L546">
        <v>3.03</v>
      </c>
      <c r="M546">
        <v>2.1</v>
      </c>
      <c r="N546">
        <v>5.01</v>
      </c>
      <c r="O546">
        <v>9.44</v>
      </c>
      <c r="P546">
        <v>5</v>
      </c>
      <c r="Q546">
        <v>8.1999999999999993</v>
      </c>
      <c r="R546">
        <v>5.2</v>
      </c>
      <c r="S546">
        <v>4.7</v>
      </c>
      <c r="T546" t="s">
        <v>10</v>
      </c>
      <c r="U546">
        <v>7.4</v>
      </c>
      <c r="V546">
        <v>4.8</v>
      </c>
      <c r="W546">
        <v>3.5</v>
      </c>
      <c r="X546">
        <v>4.9000000000000004</v>
      </c>
      <c r="Y546">
        <v>6.2</v>
      </c>
      <c r="Z546">
        <v>6.8</v>
      </c>
      <c r="AA546">
        <v>4.5999999999999996</v>
      </c>
      <c r="AB546" t="s">
        <v>44</v>
      </c>
      <c r="AC546" t="s">
        <v>10</v>
      </c>
      <c r="AD546" t="s">
        <v>22</v>
      </c>
      <c r="AE546" t="str">
        <f t="shared" si="24"/>
        <v>25-34</v>
      </c>
      <c r="AF546" t="str">
        <f t="shared" si="25"/>
        <v>Moderate Usage</v>
      </c>
      <c r="AG546" t="str">
        <f t="shared" si="26"/>
        <v>High Loneliness</v>
      </c>
    </row>
    <row r="547" spans="1:33" x14ac:dyDescent="0.3">
      <c r="A547" t="s">
        <v>591</v>
      </c>
      <c r="B547">
        <v>42</v>
      </c>
      <c r="C547" t="s">
        <v>1</v>
      </c>
      <c r="D547" t="s">
        <v>2</v>
      </c>
      <c r="E547" t="s">
        <v>3</v>
      </c>
      <c r="F547" t="s">
        <v>16</v>
      </c>
      <c r="G547" t="s">
        <v>43</v>
      </c>
      <c r="H547" t="s">
        <v>28</v>
      </c>
      <c r="I547" t="s">
        <v>19</v>
      </c>
      <c r="J547" t="s">
        <v>8</v>
      </c>
      <c r="K547" t="s">
        <v>1079</v>
      </c>
      <c r="L547">
        <v>1.73</v>
      </c>
      <c r="M547">
        <v>4.2</v>
      </c>
      <c r="N547">
        <v>2.06</v>
      </c>
      <c r="O547">
        <v>3.96</v>
      </c>
      <c r="P547">
        <v>7</v>
      </c>
      <c r="Q547">
        <v>2.9</v>
      </c>
      <c r="R547">
        <v>4.2</v>
      </c>
      <c r="S547">
        <v>5.8</v>
      </c>
      <c r="T547" t="s">
        <v>10</v>
      </c>
      <c r="U547">
        <v>6.4</v>
      </c>
      <c r="V547">
        <v>9</v>
      </c>
      <c r="W547">
        <v>3.4</v>
      </c>
      <c r="X547">
        <v>2.9</v>
      </c>
      <c r="Y547">
        <v>4.8</v>
      </c>
      <c r="Z547">
        <v>5.8</v>
      </c>
      <c r="AA547">
        <v>6.3</v>
      </c>
      <c r="AB547" t="s">
        <v>21</v>
      </c>
      <c r="AC547" t="s">
        <v>10</v>
      </c>
      <c r="AD547" t="s">
        <v>12</v>
      </c>
      <c r="AE547" t="str">
        <f t="shared" si="24"/>
        <v>35-44</v>
      </c>
      <c r="AF547" t="str">
        <f t="shared" si="25"/>
        <v>Low Usage</v>
      </c>
      <c r="AG547" t="str">
        <f t="shared" si="26"/>
        <v>Low Loneliness</v>
      </c>
    </row>
    <row r="548" spans="1:33" x14ac:dyDescent="0.3">
      <c r="A548" t="s">
        <v>592</v>
      </c>
      <c r="B548">
        <v>19</v>
      </c>
      <c r="C548" t="s">
        <v>32</v>
      </c>
      <c r="D548" t="s">
        <v>58</v>
      </c>
      <c r="E548" t="s">
        <v>37</v>
      </c>
      <c r="F548" t="s">
        <v>16</v>
      </c>
      <c r="G548" t="s">
        <v>17</v>
      </c>
      <c r="H548" t="s">
        <v>28</v>
      </c>
      <c r="I548" t="s">
        <v>19</v>
      </c>
      <c r="J548" t="s">
        <v>8</v>
      </c>
      <c r="K548" t="s">
        <v>25</v>
      </c>
      <c r="L548">
        <v>1.69</v>
      </c>
      <c r="M548">
        <v>2.83</v>
      </c>
      <c r="N548">
        <v>1.43</v>
      </c>
      <c r="O548">
        <v>6.03</v>
      </c>
      <c r="P548">
        <v>1</v>
      </c>
      <c r="Q548">
        <v>6</v>
      </c>
      <c r="R548">
        <v>5.6</v>
      </c>
      <c r="S548">
        <v>7.6</v>
      </c>
      <c r="T548" t="s">
        <v>10</v>
      </c>
      <c r="U548">
        <v>6.8</v>
      </c>
      <c r="V548">
        <v>8.8000000000000007</v>
      </c>
      <c r="W548">
        <v>2.6</v>
      </c>
      <c r="X548">
        <v>5.3</v>
      </c>
      <c r="Y548">
        <v>5.3</v>
      </c>
      <c r="Z548">
        <v>5.2</v>
      </c>
      <c r="AA548">
        <v>5.6</v>
      </c>
      <c r="AB548" t="s">
        <v>21</v>
      </c>
      <c r="AC548" t="s">
        <v>10</v>
      </c>
      <c r="AD548" t="s">
        <v>22</v>
      </c>
      <c r="AE548" t="str">
        <f t="shared" si="24"/>
        <v>15-19</v>
      </c>
      <c r="AF548" t="str">
        <f t="shared" si="25"/>
        <v>Low Usage</v>
      </c>
      <c r="AG548" t="str">
        <f t="shared" si="26"/>
        <v>Moderate Loneliness</v>
      </c>
    </row>
    <row r="549" spans="1:33" x14ac:dyDescent="0.3">
      <c r="A549" t="s">
        <v>593</v>
      </c>
      <c r="B549">
        <v>15</v>
      </c>
      <c r="C549" t="s">
        <v>27</v>
      </c>
      <c r="D549" t="s">
        <v>2</v>
      </c>
      <c r="E549" t="s">
        <v>15</v>
      </c>
      <c r="F549" t="s">
        <v>12</v>
      </c>
      <c r="G549" t="s">
        <v>17</v>
      </c>
      <c r="H549" t="s">
        <v>28</v>
      </c>
      <c r="I549" t="s">
        <v>24</v>
      </c>
      <c r="J549" t="s">
        <v>48</v>
      </c>
      <c r="K549" t="s">
        <v>1079</v>
      </c>
      <c r="L549">
        <v>1.0900000000000001</v>
      </c>
      <c r="M549">
        <v>4.3600000000000003</v>
      </c>
      <c r="N549">
        <v>1.18</v>
      </c>
      <c r="O549">
        <v>2.3199999999999998</v>
      </c>
      <c r="P549">
        <v>3</v>
      </c>
      <c r="Q549">
        <v>5.7</v>
      </c>
      <c r="R549">
        <v>3.7</v>
      </c>
      <c r="S549">
        <v>7</v>
      </c>
      <c r="T549" t="s">
        <v>10</v>
      </c>
      <c r="U549">
        <v>8.1</v>
      </c>
      <c r="V549">
        <v>6.2</v>
      </c>
      <c r="W549">
        <v>5.7</v>
      </c>
      <c r="X549">
        <v>3.4</v>
      </c>
      <c r="Y549">
        <v>3.7</v>
      </c>
      <c r="Z549">
        <v>3.8</v>
      </c>
      <c r="AA549">
        <v>6.6</v>
      </c>
      <c r="AB549" t="s">
        <v>21</v>
      </c>
      <c r="AC549" t="s">
        <v>10</v>
      </c>
      <c r="AD549" t="s">
        <v>12</v>
      </c>
      <c r="AE549" t="str">
        <f t="shared" si="24"/>
        <v>15-19</v>
      </c>
      <c r="AF549" t="str">
        <f t="shared" si="25"/>
        <v>Low Usage</v>
      </c>
      <c r="AG549" t="str">
        <f t="shared" si="26"/>
        <v>Moderate Loneliness</v>
      </c>
    </row>
    <row r="550" spans="1:33" x14ac:dyDescent="0.3">
      <c r="A550" t="s">
        <v>594</v>
      </c>
      <c r="B550">
        <v>22</v>
      </c>
      <c r="C550" t="s">
        <v>32</v>
      </c>
      <c r="D550" t="s">
        <v>2</v>
      </c>
      <c r="E550" t="s">
        <v>15</v>
      </c>
      <c r="F550" t="s">
        <v>12</v>
      </c>
      <c r="G550" t="s">
        <v>5</v>
      </c>
      <c r="H550" t="s">
        <v>18</v>
      </c>
      <c r="I550" t="s">
        <v>29</v>
      </c>
      <c r="J550" t="s">
        <v>48</v>
      </c>
      <c r="K550" t="s">
        <v>53</v>
      </c>
      <c r="L550">
        <v>0.66</v>
      </c>
      <c r="M550">
        <v>3.46</v>
      </c>
      <c r="N550">
        <v>3.75</v>
      </c>
      <c r="O550">
        <v>5.01</v>
      </c>
      <c r="P550">
        <v>0</v>
      </c>
      <c r="Q550">
        <v>10</v>
      </c>
      <c r="R550">
        <v>6.2</v>
      </c>
      <c r="S550">
        <v>1.6</v>
      </c>
      <c r="T550" t="s">
        <v>39</v>
      </c>
      <c r="U550">
        <v>5.8</v>
      </c>
      <c r="V550">
        <v>5.6</v>
      </c>
      <c r="W550">
        <v>1.7</v>
      </c>
      <c r="X550">
        <v>8.1</v>
      </c>
      <c r="Y550">
        <v>4.9000000000000004</v>
      </c>
      <c r="Z550">
        <v>6.4</v>
      </c>
      <c r="AA550">
        <v>1.4</v>
      </c>
      <c r="AB550" t="s">
        <v>44</v>
      </c>
      <c r="AC550" t="s">
        <v>39</v>
      </c>
      <c r="AD550" t="s">
        <v>45</v>
      </c>
      <c r="AE550" t="str">
        <f t="shared" si="24"/>
        <v>20-24</v>
      </c>
      <c r="AF550" t="str">
        <f t="shared" si="25"/>
        <v>Very Low Usage</v>
      </c>
      <c r="AG550" t="str">
        <f t="shared" si="26"/>
        <v>High Loneliness</v>
      </c>
    </row>
    <row r="551" spans="1:33" x14ac:dyDescent="0.3">
      <c r="A551" t="s">
        <v>595</v>
      </c>
      <c r="B551">
        <v>35</v>
      </c>
      <c r="C551" t="s">
        <v>32</v>
      </c>
      <c r="D551" t="s">
        <v>14</v>
      </c>
      <c r="E551" t="s">
        <v>37</v>
      </c>
      <c r="F551" t="s">
        <v>12</v>
      </c>
      <c r="G551" t="s">
        <v>43</v>
      </c>
      <c r="H551" t="s">
        <v>33</v>
      </c>
      <c r="I551" t="s">
        <v>24</v>
      </c>
      <c r="J551" t="s">
        <v>38</v>
      </c>
      <c r="K551" t="s">
        <v>1079</v>
      </c>
      <c r="L551">
        <v>0.65</v>
      </c>
      <c r="M551">
        <v>4.16</v>
      </c>
      <c r="N551">
        <v>2.11</v>
      </c>
      <c r="O551">
        <v>4.7699999999999996</v>
      </c>
      <c r="P551">
        <v>4</v>
      </c>
      <c r="Q551">
        <v>6.3</v>
      </c>
      <c r="R551">
        <v>5.9</v>
      </c>
      <c r="S551">
        <v>4.9000000000000004</v>
      </c>
      <c r="T551" t="s">
        <v>10</v>
      </c>
      <c r="U551">
        <v>7.2</v>
      </c>
      <c r="V551">
        <v>5.5</v>
      </c>
      <c r="W551">
        <v>4.2</v>
      </c>
      <c r="X551">
        <v>6.4</v>
      </c>
      <c r="Y551">
        <v>3.8</v>
      </c>
      <c r="Z551">
        <v>6.4</v>
      </c>
      <c r="AA551">
        <v>6.1</v>
      </c>
      <c r="AB551" t="s">
        <v>21</v>
      </c>
      <c r="AC551" t="s">
        <v>10</v>
      </c>
      <c r="AD551" t="s">
        <v>22</v>
      </c>
      <c r="AE551" t="str">
        <f t="shared" si="24"/>
        <v>35-44</v>
      </c>
      <c r="AF551" t="str">
        <f t="shared" si="25"/>
        <v>Very Low Usage</v>
      </c>
      <c r="AG551" t="str">
        <f t="shared" si="26"/>
        <v>High Loneliness</v>
      </c>
    </row>
    <row r="552" spans="1:33" x14ac:dyDescent="0.3">
      <c r="A552" t="s">
        <v>596</v>
      </c>
      <c r="B552">
        <v>42</v>
      </c>
      <c r="C552" t="s">
        <v>1</v>
      </c>
      <c r="D552" t="s">
        <v>2</v>
      </c>
      <c r="E552" t="s">
        <v>3</v>
      </c>
      <c r="F552" t="s">
        <v>16</v>
      </c>
      <c r="G552" t="s">
        <v>17</v>
      </c>
      <c r="H552" t="s">
        <v>28</v>
      </c>
      <c r="I552" t="s">
        <v>24</v>
      </c>
      <c r="J552" t="s">
        <v>48</v>
      </c>
      <c r="K552" t="s">
        <v>9</v>
      </c>
      <c r="L552">
        <v>2.09</v>
      </c>
      <c r="M552">
        <v>4.33</v>
      </c>
      <c r="N552">
        <v>0.83</v>
      </c>
      <c r="O552">
        <v>6.03</v>
      </c>
      <c r="P552">
        <v>3</v>
      </c>
      <c r="Q552">
        <v>6.7</v>
      </c>
      <c r="R552">
        <v>5.0999999999999996</v>
      </c>
      <c r="S552">
        <v>4</v>
      </c>
      <c r="T552" t="s">
        <v>10</v>
      </c>
      <c r="U552">
        <v>6.3</v>
      </c>
      <c r="V552">
        <v>5.7</v>
      </c>
      <c r="W552">
        <v>2.4</v>
      </c>
      <c r="X552">
        <v>3.6</v>
      </c>
      <c r="Y552">
        <v>3.9</v>
      </c>
      <c r="Z552">
        <v>5.9</v>
      </c>
      <c r="AA552">
        <v>5.2</v>
      </c>
      <c r="AB552" t="s">
        <v>21</v>
      </c>
      <c r="AC552" t="s">
        <v>10</v>
      </c>
      <c r="AD552" t="s">
        <v>22</v>
      </c>
      <c r="AE552" t="str">
        <f t="shared" si="24"/>
        <v>35-44</v>
      </c>
      <c r="AF552" t="str">
        <f t="shared" si="25"/>
        <v>Low Usage</v>
      </c>
      <c r="AG552" t="str">
        <f t="shared" si="26"/>
        <v>High Loneliness</v>
      </c>
    </row>
    <row r="553" spans="1:33" x14ac:dyDescent="0.3">
      <c r="A553" t="s">
        <v>597</v>
      </c>
      <c r="B553">
        <v>26</v>
      </c>
      <c r="C553" t="s">
        <v>89</v>
      </c>
      <c r="D553" t="s">
        <v>47</v>
      </c>
      <c r="E553" t="s">
        <v>37</v>
      </c>
      <c r="F553" t="s">
        <v>16</v>
      </c>
      <c r="G553" t="s">
        <v>5</v>
      </c>
      <c r="H553" t="s">
        <v>33</v>
      </c>
      <c r="I553" t="s">
        <v>29</v>
      </c>
      <c r="J553" t="s">
        <v>8</v>
      </c>
      <c r="K553" t="s">
        <v>53</v>
      </c>
      <c r="L553">
        <v>0</v>
      </c>
      <c r="M553">
        <v>3.93</v>
      </c>
      <c r="N553">
        <v>2.79</v>
      </c>
      <c r="O553">
        <v>4.72</v>
      </c>
      <c r="P553">
        <v>5</v>
      </c>
      <c r="Q553">
        <v>4.2</v>
      </c>
      <c r="R553">
        <v>2.9</v>
      </c>
      <c r="S553">
        <v>7</v>
      </c>
      <c r="T553" t="s">
        <v>10</v>
      </c>
      <c r="U553">
        <v>7.4</v>
      </c>
      <c r="V553">
        <v>6.2</v>
      </c>
      <c r="W553">
        <v>4.4000000000000004</v>
      </c>
      <c r="X553">
        <v>4.2</v>
      </c>
      <c r="Y553">
        <v>3.7</v>
      </c>
      <c r="Z553">
        <v>2.5</v>
      </c>
      <c r="AA553">
        <v>4.5</v>
      </c>
      <c r="AB553" t="s">
        <v>21</v>
      </c>
      <c r="AC553" t="s">
        <v>10</v>
      </c>
      <c r="AD553" t="s">
        <v>12</v>
      </c>
      <c r="AE553" t="str">
        <f t="shared" si="24"/>
        <v>25-34</v>
      </c>
      <c r="AF553" t="str">
        <f t="shared" si="25"/>
        <v>Very Low Usage</v>
      </c>
      <c r="AG553" t="str">
        <f t="shared" si="26"/>
        <v>Moderate Loneliness</v>
      </c>
    </row>
    <row r="554" spans="1:33" x14ac:dyDescent="0.3">
      <c r="A554" t="s">
        <v>598</v>
      </c>
      <c r="B554">
        <v>26</v>
      </c>
      <c r="C554" t="s">
        <v>1</v>
      </c>
      <c r="D554" t="s">
        <v>14</v>
      </c>
      <c r="E554" t="s">
        <v>37</v>
      </c>
      <c r="F554" t="s">
        <v>12</v>
      </c>
      <c r="G554" t="s">
        <v>17</v>
      </c>
      <c r="H554" t="s">
        <v>28</v>
      </c>
      <c r="I554" t="s">
        <v>29</v>
      </c>
      <c r="J554" t="s">
        <v>51</v>
      </c>
      <c r="K554" t="s">
        <v>30</v>
      </c>
      <c r="L554">
        <v>3.05</v>
      </c>
      <c r="M554">
        <v>2.67</v>
      </c>
      <c r="N554">
        <v>3.98</v>
      </c>
      <c r="O554">
        <v>7.78</v>
      </c>
      <c r="P554">
        <v>3</v>
      </c>
      <c r="Q554">
        <v>7.5</v>
      </c>
      <c r="R554">
        <v>8</v>
      </c>
      <c r="S554">
        <v>4.9000000000000004</v>
      </c>
      <c r="T554" t="s">
        <v>39</v>
      </c>
      <c r="U554">
        <v>6.3</v>
      </c>
      <c r="V554">
        <v>5.7</v>
      </c>
      <c r="W554">
        <v>3.3</v>
      </c>
      <c r="X554">
        <v>9.3000000000000007</v>
      </c>
      <c r="Y554">
        <v>8.1999999999999993</v>
      </c>
      <c r="Z554">
        <v>9</v>
      </c>
      <c r="AA554">
        <v>4.3</v>
      </c>
      <c r="AB554" t="s">
        <v>44</v>
      </c>
      <c r="AC554" t="s">
        <v>10</v>
      </c>
      <c r="AD554" t="s">
        <v>45</v>
      </c>
      <c r="AE554" t="str">
        <f t="shared" si="24"/>
        <v>25-34</v>
      </c>
      <c r="AF554" t="str">
        <f t="shared" si="25"/>
        <v>Moderate Usage</v>
      </c>
      <c r="AG554" t="str">
        <f t="shared" si="26"/>
        <v>High Loneliness</v>
      </c>
    </row>
    <row r="555" spans="1:33" x14ac:dyDescent="0.3">
      <c r="A555" t="s">
        <v>599</v>
      </c>
      <c r="B555">
        <v>19</v>
      </c>
      <c r="C555" t="s">
        <v>27</v>
      </c>
      <c r="D555" t="s">
        <v>47</v>
      </c>
      <c r="E555" t="s">
        <v>37</v>
      </c>
      <c r="F555" t="s">
        <v>16</v>
      </c>
      <c r="G555" t="s">
        <v>17</v>
      </c>
      <c r="H555" t="s">
        <v>18</v>
      </c>
      <c r="I555" t="s">
        <v>29</v>
      </c>
      <c r="J555" t="s">
        <v>51</v>
      </c>
      <c r="K555" t="s">
        <v>1079</v>
      </c>
      <c r="L555">
        <v>3.62</v>
      </c>
      <c r="M555">
        <v>2.42</v>
      </c>
      <c r="N555">
        <v>5.56</v>
      </c>
      <c r="O555">
        <v>11.37</v>
      </c>
      <c r="P555">
        <v>3</v>
      </c>
      <c r="Q555">
        <v>8.6999999999999993</v>
      </c>
      <c r="R555">
        <v>4.9000000000000004</v>
      </c>
      <c r="S555">
        <v>3.1</v>
      </c>
      <c r="T555" t="s">
        <v>39</v>
      </c>
      <c r="U555">
        <v>5.8</v>
      </c>
      <c r="V555">
        <v>4.9000000000000004</v>
      </c>
      <c r="W555">
        <v>2.9</v>
      </c>
      <c r="X555">
        <v>5.9</v>
      </c>
      <c r="Y555">
        <v>8.4</v>
      </c>
      <c r="Z555">
        <v>8.5</v>
      </c>
      <c r="AA555">
        <v>2.2999999999999998</v>
      </c>
      <c r="AB555" t="s">
        <v>44</v>
      </c>
      <c r="AC555" t="s">
        <v>39</v>
      </c>
      <c r="AD555" t="s">
        <v>45</v>
      </c>
      <c r="AE555" t="str">
        <f t="shared" si="24"/>
        <v>15-19</v>
      </c>
      <c r="AF555" t="str">
        <f t="shared" si="25"/>
        <v>Moderate Usage</v>
      </c>
      <c r="AG555" t="str">
        <f t="shared" si="26"/>
        <v>High Loneliness</v>
      </c>
    </row>
    <row r="556" spans="1:33" x14ac:dyDescent="0.3">
      <c r="A556" t="s">
        <v>600</v>
      </c>
      <c r="B556">
        <v>21</v>
      </c>
      <c r="C556" t="s">
        <v>32</v>
      </c>
      <c r="D556" t="s">
        <v>41</v>
      </c>
      <c r="E556" t="s">
        <v>59</v>
      </c>
      <c r="F556" t="s">
        <v>4</v>
      </c>
      <c r="G556" t="s">
        <v>17</v>
      </c>
      <c r="H556" t="s">
        <v>33</v>
      </c>
      <c r="I556" t="s">
        <v>35</v>
      </c>
      <c r="J556" t="s">
        <v>20</v>
      </c>
      <c r="K556" t="s">
        <v>53</v>
      </c>
      <c r="L556">
        <v>2.12</v>
      </c>
      <c r="M556">
        <v>3.74</v>
      </c>
      <c r="N556">
        <v>3.6</v>
      </c>
      <c r="O556">
        <v>7.25</v>
      </c>
      <c r="P556">
        <v>2</v>
      </c>
      <c r="Q556">
        <v>6.4</v>
      </c>
      <c r="R556">
        <v>5</v>
      </c>
      <c r="S556">
        <v>5.7</v>
      </c>
      <c r="T556" t="s">
        <v>10</v>
      </c>
      <c r="U556">
        <v>8</v>
      </c>
      <c r="V556">
        <v>7.4</v>
      </c>
      <c r="W556">
        <v>5.2</v>
      </c>
      <c r="X556">
        <v>5.9</v>
      </c>
      <c r="Y556">
        <v>5</v>
      </c>
      <c r="Z556">
        <v>6.9</v>
      </c>
      <c r="AA556">
        <v>5.6</v>
      </c>
      <c r="AB556" t="s">
        <v>21</v>
      </c>
      <c r="AC556" t="s">
        <v>10</v>
      </c>
      <c r="AD556" t="s">
        <v>12</v>
      </c>
      <c r="AE556" t="str">
        <f t="shared" si="24"/>
        <v>20-24</v>
      </c>
      <c r="AF556" t="str">
        <f t="shared" si="25"/>
        <v>Low Usage</v>
      </c>
      <c r="AG556" t="str">
        <f t="shared" si="26"/>
        <v>High Loneliness</v>
      </c>
    </row>
    <row r="557" spans="1:33" x14ac:dyDescent="0.3">
      <c r="A557" t="s">
        <v>601</v>
      </c>
      <c r="B557">
        <v>18</v>
      </c>
      <c r="C557" t="s">
        <v>32</v>
      </c>
      <c r="D557" t="s">
        <v>14</v>
      </c>
      <c r="E557" t="s">
        <v>37</v>
      </c>
      <c r="F557" t="s">
        <v>4</v>
      </c>
      <c r="G557" t="s">
        <v>43</v>
      </c>
      <c r="H557" t="s">
        <v>28</v>
      </c>
      <c r="I557" t="s">
        <v>24</v>
      </c>
      <c r="J557" t="s">
        <v>20</v>
      </c>
      <c r="K557" t="s">
        <v>1079</v>
      </c>
      <c r="L557">
        <v>1.22</v>
      </c>
      <c r="M557">
        <v>3.84</v>
      </c>
      <c r="N557">
        <v>0</v>
      </c>
      <c r="O557">
        <v>4.3499999999999996</v>
      </c>
      <c r="P557">
        <v>5</v>
      </c>
      <c r="Q557">
        <v>3.9</v>
      </c>
      <c r="R557">
        <v>3.6</v>
      </c>
      <c r="S557">
        <v>5.9</v>
      </c>
      <c r="T557" t="s">
        <v>10</v>
      </c>
      <c r="U557">
        <v>6.6</v>
      </c>
      <c r="V557">
        <v>8.6</v>
      </c>
      <c r="W557">
        <v>2.6</v>
      </c>
      <c r="X557">
        <v>4</v>
      </c>
      <c r="Y557">
        <v>1.7</v>
      </c>
      <c r="Z557">
        <v>5.4</v>
      </c>
      <c r="AA557">
        <v>6.8</v>
      </c>
      <c r="AB557" t="s">
        <v>44</v>
      </c>
      <c r="AC557" t="s">
        <v>10</v>
      </c>
      <c r="AD557" t="s">
        <v>12</v>
      </c>
      <c r="AE557" t="str">
        <f t="shared" si="24"/>
        <v>15-19</v>
      </c>
      <c r="AF557" t="str">
        <f t="shared" si="25"/>
        <v>Low Usage</v>
      </c>
      <c r="AG557" t="str">
        <f t="shared" si="26"/>
        <v>Moderate Loneliness</v>
      </c>
    </row>
    <row r="558" spans="1:33" x14ac:dyDescent="0.3">
      <c r="A558" t="s">
        <v>602</v>
      </c>
      <c r="B558">
        <v>20</v>
      </c>
      <c r="C558" t="s">
        <v>32</v>
      </c>
      <c r="D558" t="s">
        <v>2</v>
      </c>
      <c r="E558" t="s">
        <v>15</v>
      </c>
      <c r="F558" t="s">
        <v>45</v>
      </c>
      <c r="G558" t="s">
        <v>17</v>
      </c>
      <c r="H558" t="s">
        <v>18</v>
      </c>
      <c r="I558" t="s">
        <v>29</v>
      </c>
      <c r="J558" t="s">
        <v>38</v>
      </c>
      <c r="K558" t="s">
        <v>25</v>
      </c>
      <c r="L558">
        <v>0.17</v>
      </c>
      <c r="M558">
        <v>5.35</v>
      </c>
      <c r="N558">
        <v>2.2999999999999998</v>
      </c>
      <c r="O558">
        <v>5.32</v>
      </c>
      <c r="P558">
        <v>4</v>
      </c>
      <c r="Q558">
        <v>3</v>
      </c>
      <c r="R558">
        <v>1</v>
      </c>
      <c r="S558">
        <v>10</v>
      </c>
      <c r="T558" t="s">
        <v>10</v>
      </c>
      <c r="U558">
        <v>8.1999999999999993</v>
      </c>
      <c r="V558">
        <v>8.4</v>
      </c>
      <c r="W558">
        <v>5.8</v>
      </c>
      <c r="X558">
        <v>2.4</v>
      </c>
      <c r="Y558">
        <v>2.2999999999999998</v>
      </c>
      <c r="Z558">
        <v>1.1000000000000001</v>
      </c>
      <c r="AA558">
        <v>6.9</v>
      </c>
      <c r="AB558" t="s">
        <v>21</v>
      </c>
      <c r="AC558" t="s">
        <v>10</v>
      </c>
      <c r="AD558" t="s">
        <v>12</v>
      </c>
      <c r="AE558" t="str">
        <f t="shared" si="24"/>
        <v>20-24</v>
      </c>
      <c r="AF558" t="str">
        <f t="shared" si="25"/>
        <v>Very Low Usage</v>
      </c>
      <c r="AG558" t="str">
        <f t="shared" si="26"/>
        <v>Low Loneliness</v>
      </c>
    </row>
    <row r="559" spans="1:33" x14ac:dyDescent="0.3">
      <c r="A559" t="s">
        <v>603</v>
      </c>
      <c r="B559">
        <v>27</v>
      </c>
      <c r="C559" t="s">
        <v>1</v>
      </c>
      <c r="D559" t="s">
        <v>14</v>
      </c>
      <c r="E559" t="s">
        <v>3</v>
      </c>
      <c r="F559" t="s">
        <v>4</v>
      </c>
      <c r="G559" t="s">
        <v>17</v>
      </c>
      <c r="H559" t="s">
        <v>28</v>
      </c>
      <c r="I559" t="s">
        <v>19</v>
      </c>
      <c r="J559" t="s">
        <v>20</v>
      </c>
      <c r="K559" t="s">
        <v>1079</v>
      </c>
      <c r="L559">
        <v>1.66</v>
      </c>
      <c r="M559">
        <v>3.84</v>
      </c>
      <c r="N559">
        <v>2.84</v>
      </c>
      <c r="O559">
        <v>5.96</v>
      </c>
      <c r="P559">
        <v>8</v>
      </c>
      <c r="Q559">
        <v>6.5</v>
      </c>
      <c r="R559">
        <v>1</v>
      </c>
      <c r="S559">
        <v>9.3000000000000007</v>
      </c>
      <c r="T559" t="s">
        <v>10</v>
      </c>
      <c r="U559">
        <v>9.1999999999999993</v>
      </c>
      <c r="V559">
        <v>7.7</v>
      </c>
      <c r="W559">
        <v>4.3</v>
      </c>
      <c r="X559">
        <v>1.9</v>
      </c>
      <c r="Y559">
        <v>2.7</v>
      </c>
      <c r="Z559">
        <v>3.9</v>
      </c>
      <c r="AA559">
        <v>5.6</v>
      </c>
      <c r="AB559" t="s">
        <v>21</v>
      </c>
      <c r="AC559" t="s">
        <v>10</v>
      </c>
      <c r="AD559" t="s">
        <v>12</v>
      </c>
      <c r="AE559" t="str">
        <f t="shared" si="24"/>
        <v>25-34</v>
      </c>
      <c r="AF559" t="str">
        <f t="shared" si="25"/>
        <v>Low Usage</v>
      </c>
      <c r="AG559" t="str">
        <f t="shared" si="26"/>
        <v>High Loneliness</v>
      </c>
    </row>
    <row r="560" spans="1:33" x14ac:dyDescent="0.3">
      <c r="A560" t="s">
        <v>604</v>
      </c>
      <c r="B560">
        <v>34</v>
      </c>
      <c r="C560" t="s">
        <v>1</v>
      </c>
      <c r="D560" t="s">
        <v>47</v>
      </c>
      <c r="E560" t="s">
        <v>15</v>
      </c>
      <c r="F560" t="s">
        <v>4</v>
      </c>
      <c r="G560" t="s">
        <v>17</v>
      </c>
      <c r="H560" t="s">
        <v>33</v>
      </c>
      <c r="I560" t="s">
        <v>24</v>
      </c>
      <c r="J560" t="s">
        <v>38</v>
      </c>
      <c r="K560" t="s">
        <v>25</v>
      </c>
      <c r="L560">
        <v>0</v>
      </c>
      <c r="M560">
        <v>4.6900000000000004</v>
      </c>
      <c r="N560">
        <v>0</v>
      </c>
      <c r="O560">
        <v>2.78</v>
      </c>
      <c r="P560">
        <v>7</v>
      </c>
      <c r="Q560">
        <v>1</v>
      </c>
      <c r="R560">
        <v>1</v>
      </c>
      <c r="S560">
        <v>10</v>
      </c>
      <c r="T560" t="s">
        <v>10</v>
      </c>
      <c r="U560">
        <v>8.8000000000000007</v>
      </c>
      <c r="V560">
        <v>10</v>
      </c>
      <c r="W560">
        <v>5.0999999999999996</v>
      </c>
      <c r="X560">
        <v>2.5</v>
      </c>
      <c r="Y560">
        <v>1</v>
      </c>
      <c r="Z560">
        <v>2</v>
      </c>
      <c r="AA560">
        <v>10</v>
      </c>
      <c r="AB560" t="s">
        <v>11</v>
      </c>
      <c r="AC560" t="s">
        <v>10</v>
      </c>
      <c r="AD560" t="s">
        <v>12</v>
      </c>
      <c r="AE560" t="str">
        <f t="shared" si="24"/>
        <v>25-34</v>
      </c>
      <c r="AF560" t="str">
        <f t="shared" si="25"/>
        <v>Very Low Usage</v>
      </c>
      <c r="AG560" t="str">
        <f t="shared" si="26"/>
        <v>Low Loneliness</v>
      </c>
    </row>
    <row r="561" spans="1:33" x14ac:dyDescent="0.3">
      <c r="A561" t="s">
        <v>605</v>
      </c>
      <c r="B561">
        <v>44</v>
      </c>
      <c r="C561" t="s">
        <v>1</v>
      </c>
      <c r="D561" t="s">
        <v>2</v>
      </c>
      <c r="E561" t="s">
        <v>59</v>
      </c>
      <c r="F561" t="s">
        <v>12</v>
      </c>
      <c r="G561" t="s">
        <v>43</v>
      </c>
      <c r="H561" t="s">
        <v>28</v>
      </c>
      <c r="I561" t="s">
        <v>7</v>
      </c>
      <c r="J561" t="s">
        <v>8</v>
      </c>
      <c r="K561" t="s">
        <v>1079</v>
      </c>
      <c r="L561">
        <v>0.47</v>
      </c>
      <c r="M561">
        <v>4.3</v>
      </c>
      <c r="N561">
        <v>1.1599999999999999</v>
      </c>
      <c r="O561">
        <v>3.9</v>
      </c>
      <c r="P561">
        <v>3</v>
      </c>
      <c r="Q561">
        <v>3.1</v>
      </c>
      <c r="R561">
        <v>2.5</v>
      </c>
      <c r="S561">
        <v>9.9</v>
      </c>
      <c r="T561" t="s">
        <v>10</v>
      </c>
      <c r="U561">
        <v>6.9</v>
      </c>
      <c r="V561">
        <v>7.7</v>
      </c>
      <c r="W561">
        <v>4</v>
      </c>
      <c r="X561">
        <v>1.9</v>
      </c>
      <c r="Y561">
        <v>3.1</v>
      </c>
      <c r="Z561">
        <v>1.8</v>
      </c>
      <c r="AA561">
        <v>7</v>
      </c>
      <c r="AB561" t="s">
        <v>21</v>
      </c>
      <c r="AC561" t="s">
        <v>10</v>
      </c>
      <c r="AD561" t="s">
        <v>12</v>
      </c>
      <c r="AE561" t="str">
        <f t="shared" si="24"/>
        <v>35-44</v>
      </c>
      <c r="AF561" t="str">
        <f t="shared" si="25"/>
        <v>Very Low Usage</v>
      </c>
      <c r="AG561" t="str">
        <f t="shared" si="26"/>
        <v>Moderate Loneliness</v>
      </c>
    </row>
    <row r="562" spans="1:33" x14ac:dyDescent="0.3">
      <c r="A562" t="s">
        <v>606</v>
      </c>
      <c r="B562">
        <v>29</v>
      </c>
      <c r="C562" t="s">
        <v>1</v>
      </c>
      <c r="D562" t="s">
        <v>2</v>
      </c>
      <c r="E562" t="s">
        <v>3</v>
      </c>
      <c r="F562" t="s">
        <v>12</v>
      </c>
      <c r="G562" t="s">
        <v>17</v>
      </c>
      <c r="H562" t="s">
        <v>6</v>
      </c>
      <c r="I562" t="s">
        <v>29</v>
      </c>
      <c r="J562" t="s">
        <v>8</v>
      </c>
      <c r="K562" t="s">
        <v>53</v>
      </c>
      <c r="L562">
        <v>1.86</v>
      </c>
      <c r="M562">
        <v>4.2300000000000004</v>
      </c>
      <c r="N562">
        <v>3.27</v>
      </c>
      <c r="O562">
        <v>8.49</v>
      </c>
      <c r="P562">
        <v>3</v>
      </c>
      <c r="Q562">
        <v>5.7</v>
      </c>
      <c r="R562">
        <v>5.7</v>
      </c>
      <c r="S562">
        <v>4.5999999999999996</v>
      </c>
      <c r="T562" t="s">
        <v>10</v>
      </c>
      <c r="U562">
        <v>7.1</v>
      </c>
      <c r="V562">
        <v>5.9</v>
      </c>
      <c r="W562">
        <v>2.2000000000000002</v>
      </c>
      <c r="X562">
        <v>6</v>
      </c>
      <c r="Y562">
        <v>4.5</v>
      </c>
      <c r="Z562">
        <v>4.2</v>
      </c>
      <c r="AA562">
        <v>4.9000000000000004</v>
      </c>
      <c r="AB562" t="s">
        <v>21</v>
      </c>
      <c r="AC562" t="s">
        <v>10</v>
      </c>
      <c r="AD562" t="s">
        <v>22</v>
      </c>
      <c r="AE562" t="str">
        <f t="shared" si="24"/>
        <v>25-34</v>
      </c>
      <c r="AF562" t="str">
        <f t="shared" si="25"/>
        <v>Low Usage</v>
      </c>
      <c r="AG562" t="str">
        <f t="shared" si="26"/>
        <v>Moderate Loneliness</v>
      </c>
    </row>
    <row r="563" spans="1:33" x14ac:dyDescent="0.3">
      <c r="A563" t="s">
        <v>607</v>
      </c>
      <c r="B563">
        <v>17</v>
      </c>
      <c r="C563" t="s">
        <v>32</v>
      </c>
      <c r="D563" t="s">
        <v>47</v>
      </c>
      <c r="E563" t="s">
        <v>3</v>
      </c>
      <c r="F563" t="s">
        <v>4</v>
      </c>
      <c r="G563" t="s">
        <v>17</v>
      </c>
      <c r="H563" t="s">
        <v>28</v>
      </c>
      <c r="I563" t="s">
        <v>29</v>
      </c>
      <c r="J563" t="s">
        <v>20</v>
      </c>
      <c r="K563" t="s">
        <v>9</v>
      </c>
      <c r="L563">
        <v>1.53</v>
      </c>
      <c r="M563">
        <v>4.29</v>
      </c>
      <c r="N563">
        <v>1.44</v>
      </c>
      <c r="O563">
        <v>5.7</v>
      </c>
      <c r="P563">
        <v>4</v>
      </c>
      <c r="Q563">
        <v>5</v>
      </c>
      <c r="R563">
        <v>6.4</v>
      </c>
      <c r="S563">
        <v>4.3</v>
      </c>
      <c r="T563" t="s">
        <v>39</v>
      </c>
      <c r="U563">
        <v>9.1999999999999993</v>
      </c>
      <c r="V563">
        <v>5.6</v>
      </c>
      <c r="W563">
        <v>4.5999999999999996</v>
      </c>
      <c r="X563">
        <v>4.3</v>
      </c>
      <c r="Y563">
        <v>1.6</v>
      </c>
      <c r="Z563">
        <v>5.8</v>
      </c>
      <c r="AA563">
        <v>6.2</v>
      </c>
      <c r="AB563" t="s">
        <v>21</v>
      </c>
      <c r="AC563" t="s">
        <v>10</v>
      </c>
      <c r="AD563" t="s">
        <v>22</v>
      </c>
      <c r="AE563" t="str">
        <f t="shared" si="24"/>
        <v>15-19</v>
      </c>
      <c r="AF563" t="str">
        <f t="shared" si="25"/>
        <v>Low Usage</v>
      </c>
      <c r="AG563" t="str">
        <f t="shared" si="26"/>
        <v>Moderate Loneliness</v>
      </c>
    </row>
    <row r="564" spans="1:33" x14ac:dyDescent="0.3">
      <c r="A564" t="s">
        <v>608</v>
      </c>
      <c r="B564">
        <v>37</v>
      </c>
      <c r="C564" t="s">
        <v>1</v>
      </c>
      <c r="D564" t="s">
        <v>14</v>
      </c>
      <c r="E564" t="s">
        <v>37</v>
      </c>
      <c r="F564" t="s">
        <v>12</v>
      </c>
      <c r="G564" t="s">
        <v>17</v>
      </c>
      <c r="H564" t="s">
        <v>6</v>
      </c>
      <c r="I564" t="s">
        <v>7</v>
      </c>
      <c r="J564" t="s">
        <v>20</v>
      </c>
      <c r="K564" t="s">
        <v>1079</v>
      </c>
      <c r="L564">
        <v>4.3</v>
      </c>
      <c r="M564">
        <v>0.19</v>
      </c>
      <c r="N564">
        <v>4.58</v>
      </c>
      <c r="O564">
        <v>11.43</v>
      </c>
      <c r="P564">
        <v>2</v>
      </c>
      <c r="Q564">
        <v>10</v>
      </c>
      <c r="R564">
        <v>10</v>
      </c>
      <c r="S564">
        <v>2.4</v>
      </c>
      <c r="T564" t="s">
        <v>39</v>
      </c>
      <c r="U564">
        <v>5.4</v>
      </c>
      <c r="V564">
        <v>3.9</v>
      </c>
      <c r="W564">
        <v>1.8</v>
      </c>
      <c r="X564">
        <v>9.8000000000000007</v>
      </c>
      <c r="Y564">
        <v>7.7</v>
      </c>
      <c r="Z564">
        <v>9.9</v>
      </c>
      <c r="AA564">
        <v>1</v>
      </c>
      <c r="AB564" t="s">
        <v>44</v>
      </c>
      <c r="AC564" t="s">
        <v>39</v>
      </c>
      <c r="AD564" t="s">
        <v>45</v>
      </c>
      <c r="AE564" t="str">
        <f t="shared" si="24"/>
        <v>35-44</v>
      </c>
      <c r="AF564" t="str">
        <f t="shared" si="25"/>
        <v>High Usage</v>
      </c>
      <c r="AG564" t="str">
        <f t="shared" si="26"/>
        <v>High Loneliness</v>
      </c>
    </row>
    <row r="565" spans="1:33" x14ac:dyDescent="0.3">
      <c r="A565" t="s">
        <v>609</v>
      </c>
      <c r="B565">
        <v>22</v>
      </c>
      <c r="C565" t="s">
        <v>1</v>
      </c>
      <c r="D565" t="s">
        <v>58</v>
      </c>
      <c r="E565" t="s">
        <v>3</v>
      </c>
      <c r="F565" t="s">
        <v>16</v>
      </c>
      <c r="G565" t="s">
        <v>17</v>
      </c>
      <c r="H565" t="s">
        <v>28</v>
      </c>
      <c r="I565" t="s">
        <v>29</v>
      </c>
      <c r="J565" t="s">
        <v>51</v>
      </c>
      <c r="K565" t="s">
        <v>30</v>
      </c>
      <c r="L565">
        <v>1.91</v>
      </c>
      <c r="M565">
        <v>4</v>
      </c>
      <c r="N565">
        <v>3.13</v>
      </c>
      <c r="O565">
        <v>8.3699999999999992</v>
      </c>
      <c r="P565">
        <v>7</v>
      </c>
      <c r="Q565">
        <v>4.3</v>
      </c>
      <c r="R565">
        <v>1.9</v>
      </c>
      <c r="S565">
        <v>6.6</v>
      </c>
      <c r="T565" t="s">
        <v>10</v>
      </c>
      <c r="U565">
        <v>8</v>
      </c>
      <c r="V565">
        <v>8.3000000000000007</v>
      </c>
      <c r="W565">
        <v>5.8</v>
      </c>
      <c r="X565">
        <v>2.6</v>
      </c>
      <c r="Y565">
        <v>3.1</v>
      </c>
      <c r="Z565">
        <v>7.2</v>
      </c>
      <c r="AA565">
        <v>6.2</v>
      </c>
      <c r="AB565" t="s">
        <v>21</v>
      </c>
      <c r="AC565" t="s">
        <v>10</v>
      </c>
      <c r="AD565" t="s">
        <v>12</v>
      </c>
      <c r="AE565" t="str">
        <f t="shared" si="24"/>
        <v>20-24</v>
      </c>
      <c r="AF565" t="str">
        <f t="shared" si="25"/>
        <v>Low Usage</v>
      </c>
      <c r="AG565" t="str">
        <f t="shared" si="26"/>
        <v>Moderate Loneliness</v>
      </c>
    </row>
    <row r="566" spans="1:33" x14ac:dyDescent="0.3">
      <c r="A566" t="s">
        <v>610</v>
      </c>
      <c r="B566">
        <v>34</v>
      </c>
      <c r="C566" t="s">
        <v>27</v>
      </c>
      <c r="D566" t="s">
        <v>2</v>
      </c>
      <c r="E566" t="s">
        <v>15</v>
      </c>
      <c r="F566" t="s">
        <v>4</v>
      </c>
      <c r="G566" t="s">
        <v>5</v>
      </c>
      <c r="H566" t="s">
        <v>33</v>
      </c>
      <c r="I566" t="s">
        <v>29</v>
      </c>
      <c r="J566" t="s">
        <v>38</v>
      </c>
      <c r="K566" t="s">
        <v>25</v>
      </c>
      <c r="L566">
        <v>1.37</v>
      </c>
      <c r="M566">
        <v>5.19</v>
      </c>
      <c r="N566">
        <v>2.57</v>
      </c>
      <c r="O566">
        <v>5.96</v>
      </c>
      <c r="P566">
        <v>5</v>
      </c>
      <c r="Q566">
        <v>4.2</v>
      </c>
      <c r="R566">
        <v>3.1</v>
      </c>
      <c r="S566">
        <v>6.1</v>
      </c>
      <c r="T566" t="s">
        <v>10</v>
      </c>
      <c r="U566">
        <v>7.3</v>
      </c>
      <c r="V566">
        <v>8.8000000000000007</v>
      </c>
      <c r="W566">
        <v>5</v>
      </c>
      <c r="X566">
        <v>2.1</v>
      </c>
      <c r="Y566">
        <v>2.9</v>
      </c>
      <c r="Z566">
        <v>3.9</v>
      </c>
      <c r="AA566">
        <v>6.7</v>
      </c>
      <c r="AB566" t="s">
        <v>44</v>
      </c>
      <c r="AC566" t="s">
        <v>10</v>
      </c>
      <c r="AD566" t="s">
        <v>12</v>
      </c>
      <c r="AE566" t="str">
        <f t="shared" si="24"/>
        <v>25-34</v>
      </c>
      <c r="AF566" t="str">
        <f t="shared" si="25"/>
        <v>Low Usage</v>
      </c>
      <c r="AG566" t="str">
        <f t="shared" si="26"/>
        <v>Moderate Loneliness</v>
      </c>
    </row>
    <row r="567" spans="1:33" x14ac:dyDescent="0.3">
      <c r="A567" t="s">
        <v>611</v>
      </c>
      <c r="B567">
        <v>30</v>
      </c>
      <c r="C567" t="s">
        <v>32</v>
      </c>
      <c r="D567" t="s">
        <v>14</v>
      </c>
      <c r="E567" t="s">
        <v>59</v>
      </c>
      <c r="F567" t="s">
        <v>4</v>
      </c>
      <c r="G567" t="s">
        <v>5</v>
      </c>
      <c r="H567" t="s">
        <v>28</v>
      </c>
      <c r="I567" t="s">
        <v>35</v>
      </c>
      <c r="J567" t="s">
        <v>20</v>
      </c>
      <c r="K567" t="s">
        <v>1079</v>
      </c>
      <c r="L567">
        <v>2.58</v>
      </c>
      <c r="M567">
        <v>2.38</v>
      </c>
      <c r="N567">
        <v>2.9</v>
      </c>
      <c r="O567">
        <v>6.7</v>
      </c>
      <c r="P567">
        <v>2</v>
      </c>
      <c r="Q567">
        <v>7</v>
      </c>
      <c r="R567">
        <v>5.5</v>
      </c>
      <c r="S567">
        <v>4</v>
      </c>
      <c r="T567" t="s">
        <v>10</v>
      </c>
      <c r="U567">
        <v>6.5</v>
      </c>
      <c r="V567">
        <v>5.4</v>
      </c>
      <c r="W567">
        <v>3</v>
      </c>
      <c r="X567">
        <v>7</v>
      </c>
      <c r="Y567">
        <v>5</v>
      </c>
      <c r="Z567">
        <v>4.8</v>
      </c>
      <c r="AA567">
        <v>6.1</v>
      </c>
      <c r="AB567" t="s">
        <v>44</v>
      </c>
      <c r="AC567" t="s">
        <v>10</v>
      </c>
      <c r="AD567" t="s">
        <v>45</v>
      </c>
      <c r="AE567" t="str">
        <f t="shared" si="24"/>
        <v>25-34</v>
      </c>
      <c r="AF567" t="str">
        <f t="shared" si="25"/>
        <v>Moderate Usage</v>
      </c>
      <c r="AG567" t="str">
        <f t="shared" si="26"/>
        <v>High Loneliness</v>
      </c>
    </row>
    <row r="568" spans="1:33" x14ac:dyDescent="0.3">
      <c r="A568" t="s">
        <v>612</v>
      </c>
      <c r="B568">
        <v>27</v>
      </c>
      <c r="C568" t="s">
        <v>27</v>
      </c>
      <c r="D568" t="s">
        <v>2</v>
      </c>
      <c r="E568" t="s">
        <v>37</v>
      </c>
      <c r="F568" t="s">
        <v>12</v>
      </c>
      <c r="G568" t="s">
        <v>17</v>
      </c>
      <c r="H568" t="s">
        <v>6</v>
      </c>
      <c r="I568" t="s">
        <v>24</v>
      </c>
      <c r="J568" t="s">
        <v>8</v>
      </c>
      <c r="K568" t="s">
        <v>25</v>
      </c>
      <c r="L568">
        <v>0.05</v>
      </c>
      <c r="M568">
        <v>4.7</v>
      </c>
      <c r="N568">
        <v>1.6</v>
      </c>
      <c r="O568">
        <v>3.85</v>
      </c>
      <c r="P568">
        <v>8</v>
      </c>
      <c r="Q568">
        <v>1.3</v>
      </c>
      <c r="R568">
        <v>1</v>
      </c>
      <c r="S568">
        <v>7.8</v>
      </c>
      <c r="T568" t="s">
        <v>10</v>
      </c>
      <c r="U568">
        <v>8.3000000000000007</v>
      </c>
      <c r="V568">
        <v>8.6999999999999993</v>
      </c>
      <c r="W568">
        <v>6.4</v>
      </c>
      <c r="X568">
        <v>1</v>
      </c>
      <c r="Y568">
        <v>1</v>
      </c>
      <c r="Z568">
        <v>1.5</v>
      </c>
      <c r="AA568">
        <v>8.6</v>
      </c>
      <c r="AB568" t="s">
        <v>11</v>
      </c>
      <c r="AC568" t="s">
        <v>10</v>
      </c>
      <c r="AD568" t="s">
        <v>12</v>
      </c>
      <c r="AE568" t="str">
        <f t="shared" si="24"/>
        <v>25-34</v>
      </c>
      <c r="AF568" t="str">
        <f t="shared" si="25"/>
        <v>Very Low Usage</v>
      </c>
      <c r="AG568" t="str">
        <f t="shared" si="26"/>
        <v>Low Loneliness</v>
      </c>
    </row>
    <row r="569" spans="1:33" x14ac:dyDescent="0.3">
      <c r="A569" t="s">
        <v>613</v>
      </c>
      <c r="B569">
        <v>32</v>
      </c>
      <c r="C569" t="s">
        <v>89</v>
      </c>
      <c r="D569" t="s">
        <v>47</v>
      </c>
      <c r="E569" t="s">
        <v>37</v>
      </c>
      <c r="F569" t="s">
        <v>4</v>
      </c>
      <c r="G569" t="s">
        <v>17</v>
      </c>
      <c r="H569" t="s">
        <v>28</v>
      </c>
      <c r="I569" t="s">
        <v>29</v>
      </c>
      <c r="J569" t="s">
        <v>51</v>
      </c>
      <c r="K569" t="s">
        <v>53</v>
      </c>
      <c r="L569">
        <v>0</v>
      </c>
      <c r="M569">
        <v>7.89</v>
      </c>
      <c r="N569">
        <v>1.32</v>
      </c>
      <c r="O569">
        <v>2.97</v>
      </c>
      <c r="P569">
        <v>7</v>
      </c>
      <c r="Q569">
        <v>1.1000000000000001</v>
      </c>
      <c r="R569">
        <v>2.6</v>
      </c>
      <c r="S569">
        <v>6.7</v>
      </c>
      <c r="T569" t="s">
        <v>10</v>
      </c>
      <c r="U569">
        <v>7.1</v>
      </c>
      <c r="V569">
        <v>8.6</v>
      </c>
      <c r="W569">
        <v>6.8</v>
      </c>
      <c r="X569">
        <v>1.1000000000000001</v>
      </c>
      <c r="Y569">
        <v>1.5</v>
      </c>
      <c r="Z569">
        <v>3.5</v>
      </c>
      <c r="AA569">
        <v>9.8000000000000007</v>
      </c>
      <c r="AB569" t="s">
        <v>21</v>
      </c>
      <c r="AC569" t="s">
        <v>10</v>
      </c>
      <c r="AD569" t="s">
        <v>12</v>
      </c>
      <c r="AE569" t="str">
        <f t="shared" si="24"/>
        <v>25-34</v>
      </c>
      <c r="AF569" t="str">
        <f t="shared" si="25"/>
        <v>Very Low Usage</v>
      </c>
      <c r="AG569" t="str">
        <f t="shared" si="26"/>
        <v>Low Loneliness</v>
      </c>
    </row>
    <row r="570" spans="1:33" x14ac:dyDescent="0.3">
      <c r="A570" t="s">
        <v>614</v>
      </c>
      <c r="B570">
        <v>42</v>
      </c>
      <c r="C570" t="s">
        <v>1</v>
      </c>
      <c r="D570" t="s">
        <v>14</v>
      </c>
      <c r="E570" t="s">
        <v>37</v>
      </c>
      <c r="F570" t="s">
        <v>16</v>
      </c>
      <c r="G570" t="s">
        <v>17</v>
      </c>
      <c r="H570" t="s">
        <v>28</v>
      </c>
      <c r="I570" t="s">
        <v>29</v>
      </c>
      <c r="J570" t="s">
        <v>20</v>
      </c>
      <c r="K570" t="s">
        <v>1079</v>
      </c>
      <c r="L570">
        <v>1.61</v>
      </c>
      <c r="M570">
        <v>3.1</v>
      </c>
      <c r="N570">
        <v>3.43</v>
      </c>
      <c r="O570">
        <v>7.64</v>
      </c>
      <c r="P570">
        <v>3</v>
      </c>
      <c r="Q570">
        <v>5</v>
      </c>
      <c r="R570">
        <v>6.6</v>
      </c>
      <c r="S570">
        <v>4.8</v>
      </c>
      <c r="T570" t="s">
        <v>10</v>
      </c>
      <c r="U570">
        <v>6.9</v>
      </c>
      <c r="V570">
        <v>4.5</v>
      </c>
      <c r="W570">
        <v>0</v>
      </c>
      <c r="X570">
        <v>6.5</v>
      </c>
      <c r="Y570">
        <v>3.7</v>
      </c>
      <c r="Z570">
        <v>5.7</v>
      </c>
      <c r="AA570">
        <v>4.7</v>
      </c>
      <c r="AB570" t="s">
        <v>44</v>
      </c>
      <c r="AC570" t="s">
        <v>39</v>
      </c>
      <c r="AD570" t="s">
        <v>22</v>
      </c>
      <c r="AE570" t="str">
        <f t="shared" si="24"/>
        <v>35-44</v>
      </c>
      <c r="AF570" t="str">
        <f t="shared" si="25"/>
        <v>Low Usage</v>
      </c>
      <c r="AG570" t="str">
        <f t="shared" si="26"/>
        <v>Moderate Loneliness</v>
      </c>
    </row>
    <row r="571" spans="1:33" x14ac:dyDescent="0.3">
      <c r="A571" t="s">
        <v>615</v>
      </c>
      <c r="B571">
        <v>24</v>
      </c>
      <c r="C571" t="s">
        <v>1</v>
      </c>
      <c r="D571" t="s">
        <v>58</v>
      </c>
      <c r="E571" t="s">
        <v>15</v>
      </c>
      <c r="F571" t="s">
        <v>45</v>
      </c>
      <c r="G571" t="s">
        <v>17</v>
      </c>
      <c r="H571" t="s">
        <v>18</v>
      </c>
      <c r="I571" t="s">
        <v>29</v>
      </c>
      <c r="J571" t="s">
        <v>8</v>
      </c>
      <c r="K571" t="s">
        <v>53</v>
      </c>
      <c r="L571">
        <v>1.24</v>
      </c>
      <c r="M571">
        <v>3.05</v>
      </c>
      <c r="N571">
        <v>1.79</v>
      </c>
      <c r="O571">
        <v>5.09</v>
      </c>
      <c r="P571">
        <v>6</v>
      </c>
      <c r="Q571">
        <v>5.0999999999999996</v>
      </c>
      <c r="R571">
        <v>3.2</v>
      </c>
      <c r="S571">
        <v>7</v>
      </c>
      <c r="T571" t="s">
        <v>39</v>
      </c>
      <c r="U571">
        <v>6</v>
      </c>
      <c r="V571">
        <v>6.5</v>
      </c>
      <c r="W571">
        <v>4.0999999999999996</v>
      </c>
      <c r="X571">
        <v>2.2999999999999998</v>
      </c>
      <c r="Y571">
        <v>6.7</v>
      </c>
      <c r="Z571">
        <v>4.8</v>
      </c>
      <c r="AA571">
        <v>5</v>
      </c>
      <c r="AB571" t="s">
        <v>21</v>
      </c>
      <c r="AC571" t="s">
        <v>39</v>
      </c>
      <c r="AD571" t="s">
        <v>12</v>
      </c>
      <c r="AE571" t="str">
        <f t="shared" si="24"/>
        <v>20-24</v>
      </c>
      <c r="AF571" t="str">
        <f t="shared" si="25"/>
        <v>Low Usage</v>
      </c>
      <c r="AG571" t="str">
        <f t="shared" si="26"/>
        <v>Moderate Loneliness</v>
      </c>
    </row>
    <row r="572" spans="1:33" x14ac:dyDescent="0.3">
      <c r="A572" t="s">
        <v>616</v>
      </c>
      <c r="B572">
        <v>44</v>
      </c>
      <c r="C572" t="s">
        <v>32</v>
      </c>
      <c r="D572" t="s">
        <v>58</v>
      </c>
      <c r="E572" t="s">
        <v>3</v>
      </c>
      <c r="F572" t="s">
        <v>12</v>
      </c>
      <c r="G572" t="s">
        <v>17</v>
      </c>
      <c r="H572" t="s">
        <v>28</v>
      </c>
      <c r="I572" t="s">
        <v>29</v>
      </c>
      <c r="J572" t="s">
        <v>20</v>
      </c>
      <c r="K572" t="s">
        <v>25</v>
      </c>
      <c r="L572">
        <v>0.62</v>
      </c>
      <c r="M572">
        <v>4.3600000000000003</v>
      </c>
      <c r="N572">
        <v>2.3199999999999998</v>
      </c>
      <c r="O572">
        <v>5.34</v>
      </c>
      <c r="P572">
        <v>3</v>
      </c>
      <c r="Q572">
        <v>7</v>
      </c>
      <c r="R572">
        <v>4.8</v>
      </c>
      <c r="S572">
        <v>8.1999999999999993</v>
      </c>
      <c r="T572" t="s">
        <v>10</v>
      </c>
      <c r="U572">
        <v>6.8</v>
      </c>
      <c r="V572">
        <v>8.1</v>
      </c>
      <c r="W572">
        <v>4.7</v>
      </c>
      <c r="X572">
        <v>5.6</v>
      </c>
      <c r="Y572">
        <v>2.2000000000000002</v>
      </c>
      <c r="Z572">
        <v>3.9</v>
      </c>
      <c r="AA572">
        <v>5.6</v>
      </c>
      <c r="AB572" t="s">
        <v>11</v>
      </c>
      <c r="AC572" t="s">
        <v>10</v>
      </c>
      <c r="AD572" t="s">
        <v>12</v>
      </c>
      <c r="AE572" t="str">
        <f t="shared" si="24"/>
        <v>35-44</v>
      </c>
      <c r="AF572" t="str">
        <f t="shared" si="25"/>
        <v>Very Low Usage</v>
      </c>
      <c r="AG572" t="str">
        <f t="shared" si="26"/>
        <v>High Loneliness</v>
      </c>
    </row>
    <row r="573" spans="1:33" x14ac:dyDescent="0.3">
      <c r="A573" t="s">
        <v>617</v>
      </c>
      <c r="B573">
        <v>33</v>
      </c>
      <c r="C573" t="s">
        <v>32</v>
      </c>
      <c r="D573" t="s">
        <v>14</v>
      </c>
      <c r="E573" t="s">
        <v>37</v>
      </c>
      <c r="F573" t="s">
        <v>45</v>
      </c>
      <c r="G573" t="s">
        <v>43</v>
      </c>
      <c r="H573" t="s">
        <v>28</v>
      </c>
      <c r="I573" t="s">
        <v>7</v>
      </c>
      <c r="J573" t="s">
        <v>48</v>
      </c>
      <c r="K573" t="s">
        <v>53</v>
      </c>
      <c r="L573">
        <v>1.03</v>
      </c>
      <c r="M573">
        <v>4.95</v>
      </c>
      <c r="N573">
        <v>0.79</v>
      </c>
      <c r="O573">
        <v>2.62</v>
      </c>
      <c r="P573">
        <v>5</v>
      </c>
      <c r="Q573">
        <v>2.6</v>
      </c>
      <c r="R573">
        <v>1.3</v>
      </c>
      <c r="S573">
        <v>9</v>
      </c>
      <c r="T573" t="s">
        <v>10</v>
      </c>
      <c r="U573">
        <v>9.4</v>
      </c>
      <c r="V573">
        <v>6.4</v>
      </c>
      <c r="W573">
        <v>7.8</v>
      </c>
      <c r="X573">
        <v>2.8</v>
      </c>
      <c r="Y573">
        <v>1.5</v>
      </c>
      <c r="Z573">
        <v>4.8</v>
      </c>
      <c r="AA573">
        <v>8.8000000000000007</v>
      </c>
      <c r="AB573" t="s">
        <v>21</v>
      </c>
      <c r="AC573" t="s">
        <v>10</v>
      </c>
      <c r="AD573" t="s">
        <v>12</v>
      </c>
      <c r="AE573" t="str">
        <f t="shared" si="24"/>
        <v>25-34</v>
      </c>
      <c r="AF573" t="str">
        <f t="shared" si="25"/>
        <v>Low Usage</v>
      </c>
      <c r="AG573" t="str">
        <f t="shared" si="26"/>
        <v>Low Loneliness</v>
      </c>
    </row>
    <row r="574" spans="1:33" x14ac:dyDescent="0.3">
      <c r="A574" t="s">
        <v>618</v>
      </c>
      <c r="B574">
        <v>31</v>
      </c>
      <c r="C574" t="s">
        <v>1</v>
      </c>
      <c r="D574" t="s">
        <v>41</v>
      </c>
      <c r="E574" t="s">
        <v>37</v>
      </c>
      <c r="F574" t="s">
        <v>4</v>
      </c>
      <c r="G574" t="s">
        <v>66</v>
      </c>
      <c r="H574" t="s">
        <v>6</v>
      </c>
      <c r="I574" t="s">
        <v>19</v>
      </c>
      <c r="J574" t="s">
        <v>48</v>
      </c>
      <c r="K574" t="s">
        <v>25</v>
      </c>
      <c r="L574">
        <v>1.1399999999999999</v>
      </c>
      <c r="M574">
        <v>2.19</v>
      </c>
      <c r="N574">
        <v>0.8</v>
      </c>
      <c r="O574">
        <v>4.4400000000000004</v>
      </c>
      <c r="P574">
        <v>1</v>
      </c>
      <c r="Q574">
        <v>4.3</v>
      </c>
      <c r="R574">
        <v>1.8</v>
      </c>
      <c r="S574">
        <v>6.3</v>
      </c>
      <c r="T574" t="s">
        <v>39</v>
      </c>
      <c r="U574">
        <v>6.8</v>
      </c>
      <c r="V574">
        <v>5.4</v>
      </c>
      <c r="W574">
        <v>2</v>
      </c>
      <c r="X574">
        <v>5.9</v>
      </c>
      <c r="Y574">
        <v>5</v>
      </c>
      <c r="Z574">
        <v>6.3</v>
      </c>
      <c r="AA574">
        <v>6.5</v>
      </c>
      <c r="AB574" t="s">
        <v>44</v>
      </c>
      <c r="AC574" t="s">
        <v>10</v>
      </c>
      <c r="AD574" t="s">
        <v>12</v>
      </c>
      <c r="AE574" t="str">
        <f t="shared" si="24"/>
        <v>25-34</v>
      </c>
      <c r="AF574" t="str">
        <f t="shared" si="25"/>
        <v>Low Usage</v>
      </c>
      <c r="AG574" t="str">
        <f t="shared" si="26"/>
        <v>Moderate Loneliness</v>
      </c>
    </row>
    <row r="575" spans="1:33" x14ac:dyDescent="0.3">
      <c r="A575" t="s">
        <v>619</v>
      </c>
      <c r="B575">
        <v>38</v>
      </c>
      <c r="C575" t="s">
        <v>32</v>
      </c>
      <c r="D575" t="s">
        <v>14</v>
      </c>
      <c r="E575" t="s">
        <v>37</v>
      </c>
      <c r="F575" t="s">
        <v>4</v>
      </c>
      <c r="G575" t="s">
        <v>66</v>
      </c>
      <c r="H575" t="s">
        <v>6</v>
      </c>
      <c r="I575" t="s">
        <v>24</v>
      </c>
      <c r="J575" t="s">
        <v>20</v>
      </c>
      <c r="K575" t="s">
        <v>9</v>
      </c>
      <c r="L575">
        <v>0.36</v>
      </c>
      <c r="M575">
        <v>4.9800000000000004</v>
      </c>
      <c r="N575">
        <v>1.41</v>
      </c>
      <c r="O575">
        <v>2.48</v>
      </c>
      <c r="P575">
        <v>7</v>
      </c>
      <c r="Q575">
        <v>5.5</v>
      </c>
      <c r="R575">
        <v>1.1000000000000001</v>
      </c>
      <c r="S575">
        <v>9.3000000000000007</v>
      </c>
      <c r="T575" t="s">
        <v>10</v>
      </c>
      <c r="U575">
        <v>6.7</v>
      </c>
      <c r="V575">
        <v>7.5</v>
      </c>
      <c r="W575">
        <v>3.2</v>
      </c>
      <c r="X575">
        <v>3.5</v>
      </c>
      <c r="Y575">
        <v>1.8</v>
      </c>
      <c r="Z575">
        <v>2.6</v>
      </c>
      <c r="AA575">
        <v>6.9</v>
      </c>
      <c r="AB575" t="s">
        <v>44</v>
      </c>
      <c r="AC575" t="s">
        <v>10</v>
      </c>
      <c r="AD575" t="s">
        <v>12</v>
      </c>
      <c r="AE575" t="str">
        <f t="shared" si="24"/>
        <v>35-44</v>
      </c>
      <c r="AF575" t="str">
        <f t="shared" si="25"/>
        <v>Very Low Usage</v>
      </c>
      <c r="AG575" t="str">
        <f t="shared" si="26"/>
        <v>Moderate Loneliness</v>
      </c>
    </row>
    <row r="576" spans="1:33" x14ac:dyDescent="0.3">
      <c r="A576" t="s">
        <v>620</v>
      </c>
      <c r="B576">
        <v>33</v>
      </c>
      <c r="C576" t="s">
        <v>1</v>
      </c>
      <c r="D576" t="s">
        <v>14</v>
      </c>
      <c r="E576" t="s">
        <v>3</v>
      </c>
      <c r="F576" t="s">
        <v>4</v>
      </c>
      <c r="G576" t="s">
        <v>43</v>
      </c>
      <c r="H576" t="s">
        <v>28</v>
      </c>
      <c r="I576" t="s">
        <v>35</v>
      </c>
      <c r="J576" t="s">
        <v>8</v>
      </c>
      <c r="K576" t="s">
        <v>1079</v>
      </c>
      <c r="L576">
        <v>2.35</v>
      </c>
      <c r="M576">
        <v>4.9000000000000004</v>
      </c>
      <c r="N576">
        <v>2.4500000000000002</v>
      </c>
      <c r="O576">
        <v>7.76</v>
      </c>
      <c r="P576">
        <v>3</v>
      </c>
      <c r="Q576">
        <v>5.2</v>
      </c>
      <c r="R576">
        <v>5.2</v>
      </c>
      <c r="S576">
        <v>6.5</v>
      </c>
      <c r="T576" t="s">
        <v>10</v>
      </c>
      <c r="U576">
        <v>7.2</v>
      </c>
      <c r="V576">
        <v>4.8</v>
      </c>
      <c r="W576">
        <v>0.5</v>
      </c>
      <c r="X576">
        <v>5.3</v>
      </c>
      <c r="Y576">
        <v>5.9</v>
      </c>
      <c r="Z576">
        <v>4.5</v>
      </c>
      <c r="AA576">
        <v>6.3</v>
      </c>
      <c r="AB576" t="s">
        <v>44</v>
      </c>
      <c r="AC576" t="s">
        <v>10</v>
      </c>
      <c r="AD576" t="s">
        <v>12</v>
      </c>
      <c r="AE576" t="str">
        <f t="shared" si="24"/>
        <v>25-34</v>
      </c>
      <c r="AF576" t="str">
        <f t="shared" si="25"/>
        <v>Low Usage</v>
      </c>
      <c r="AG576" t="str">
        <f t="shared" si="26"/>
        <v>Moderate Loneliness</v>
      </c>
    </row>
    <row r="577" spans="1:33" x14ac:dyDescent="0.3">
      <c r="A577" t="s">
        <v>621</v>
      </c>
      <c r="B577">
        <v>42</v>
      </c>
      <c r="C577" t="s">
        <v>1</v>
      </c>
      <c r="D577" t="s">
        <v>14</v>
      </c>
      <c r="E577" t="s">
        <v>15</v>
      </c>
      <c r="F577" t="s">
        <v>12</v>
      </c>
      <c r="G577" t="s">
        <v>5</v>
      </c>
      <c r="H577" t="s">
        <v>6</v>
      </c>
      <c r="I577" t="s">
        <v>19</v>
      </c>
      <c r="J577" t="s">
        <v>38</v>
      </c>
      <c r="K577" t="s">
        <v>1079</v>
      </c>
      <c r="L577">
        <v>0</v>
      </c>
      <c r="M577">
        <v>5.04</v>
      </c>
      <c r="N577">
        <v>1.48</v>
      </c>
      <c r="O577">
        <v>4.4400000000000004</v>
      </c>
      <c r="P577">
        <v>8</v>
      </c>
      <c r="Q577">
        <v>3.6</v>
      </c>
      <c r="R577">
        <v>2.6</v>
      </c>
      <c r="S577">
        <v>7.9</v>
      </c>
      <c r="T577" t="s">
        <v>10</v>
      </c>
      <c r="U577">
        <v>7.3</v>
      </c>
      <c r="V577">
        <v>8.8000000000000007</v>
      </c>
      <c r="W577">
        <v>3.3</v>
      </c>
      <c r="X577">
        <v>1</v>
      </c>
      <c r="Y577">
        <v>1.4</v>
      </c>
      <c r="Z577">
        <v>2.2000000000000002</v>
      </c>
      <c r="AA577">
        <v>7</v>
      </c>
      <c r="AB577" t="s">
        <v>11</v>
      </c>
      <c r="AC577" t="s">
        <v>10</v>
      </c>
      <c r="AD577" t="s">
        <v>12</v>
      </c>
      <c r="AE577" t="str">
        <f t="shared" si="24"/>
        <v>35-44</v>
      </c>
      <c r="AF577" t="str">
        <f t="shared" si="25"/>
        <v>Very Low Usage</v>
      </c>
      <c r="AG577" t="str">
        <f t="shared" si="26"/>
        <v>Moderate Loneliness</v>
      </c>
    </row>
    <row r="578" spans="1:33" x14ac:dyDescent="0.3">
      <c r="A578" t="s">
        <v>622</v>
      </c>
      <c r="B578">
        <v>40</v>
      </c>
      <c r="C578" t="s">
        <v>32</v>
      </c>
      <c r="D578" t="s">
        <v>58</v>
      </c>
      <c r="E578" t="s">
        <v>3</v>
      </c>
      <c r="F578" t="s">
        <v>12</v>
      </c>
      <c r="G578" t="s">
        <v>5</v>
      </c>
      <c r="H578" t="s">
        <v>18</v>
      </c>
      <c r="I578" t="s">
        <v>29</v>
      </c>
      <c r="J578" t="s">
        <v>48</v>
      </c>
      <c r="K578" t="s">
        <v>1079</v>
      </c>
      <c r="L578">
        <v>1.59</v>
      </c>
      <c r="M578">
        <v>2.14</v>
      </c>
      <c r="N578">
        <v>3.53</v>
      </c>
      <c r="O578">
        <v>7.47</v>
      </c>
      <c r="P578">
        <v>3</v>
      </c>
      <c r="Q578">
        <v>3.7</v>
      </c>
      <c r="R578">
        <v>6.1</v>
      </c>
      <c r="S578">
        <v>7.6</v>
      </c>
      <c r="T578" t="s">
        <v>10</v>
      </c>
      <c r="U578">
        <v>7.2</v>
      </c>
      <c r="V578">
        <v>6.4</v>
      </c>
      <c r="W578">
        <v>4</v>
      </c>
      <c r="X578">
        <v>5.5</v>
      </c>
      <c r="Y578">
        <v>2.5</v>
      </c>
      <c r="Z578">
        <v>2.5</v>
      </c>
      <c r="AA578">
        <v>6.1</v>
      </c>
      <c r="AB578" t="s">
        <v>21</v>
      </c>
      <c r="AC578" t="s">
        <v>10</v>
      </c>
      <c r="AD578" t="s">
        <v>12</v>
      </c>
      <c r="AE578" t="str">
        <f t="shared" si="24"/>
        <v>35-44</v>
      </c>
      <c r="AF578" t="str">
        <f t="shared" si="25"/>
        <v>Low Usage</v>
      </c>
      <c r="AG578" t="str">
        <f t="shared" si="26"/>
        <v>Moderate Loneliness</v>
      </c>
    </row>
    <row r="579" spans="1:33" x14ac:dyDescent="0.3">
      <c r="A579" t="s">
        <v>623</v>
      </c>
      <c r="B579">
        <v>37</v>
      </c>
      <c r="C579" t="s">
        <v>32</v>
      </c>
      <c r="D579" t="s">
        <v>2</v>
      </c>
      <c r="E579" t="s">
        <v>3</v>
      </c>
      <c r="F579" t="s">
        <v>16</v>
      </c>
      <c r="G579" t="s">
        <v>17</v>
      </c>
      <c r="H579" t="s">
        <v>28</v>
      </c>
      <c r="I579" t="s">
        <v>19</v>
      </c>
      <c r="J579" t="s">
        <v>20</v>
      </c>
      <c r="K579" t="s">
        <v>1079</v>
      </c>
      <c r="L579">
        <v>3.35</v>
      </c>
      <c r="M579">
        <v>2.11</v>
      </c>
      <c r="N579">
        <v>3.87</v>
      </c>
      <c r="O579">
        <v>9.5399999999999991</v>
      </c>
      <c r="P579">
        <v>1</v>
      </c>
      <c r="Q579">
        <v>9.5</v>
      </c>
      <c r="R579">
        <v>9.8000000000000007</v>
      </c>
      <c r="S579">
        <v>3.1</v>
      </c>
      <c r="T579" t="s">
        <v>10</v>
      </c>
      <c r="U579">
        <v>4.5</v>
      </c>
      <c r="V579">
        <v>4.2</v>
      </c>
      <c r="W579">
        <v>0.5</v>
      </c>
      <c r="X579">
        <v>8.9</v>
      </c>
      <c r="Y579">
        <v>9</v>
      </c>
      <c r="Z579">
        <v>7.5</v>
      </c>
      <c r="AA579">
        <v>1.6</v>
      </c>
      <c r="AB579" t="s">
        <v>44</v>
      </c>
      <c r="AC579" t="s">
        <v>39</v>
      </c>
      <c r="AD579" t="s">
        <v>45</v>
      </c>
      <c r="AE579" t="str">
        <f t="shared" ref="AE579:AE642" si="27">IF(B579&lt;20,"15-19",IF(B579&lt;25,"20-24",IF(B579&lt;35,"25-34","35-44")))</f>
        <v>35-44</v>
      </c>
      <c r="AF579" t="str">
        <f t="shared" ref="AF579:AF642" si="28">IF(L579&lt;=1,"Very Low Usage",IF(L579&lt;=2.5,"Low Usage",IF(L579&lt;=4,"Moderate Usage","High Usage")))</f>
        <v>Moderate Usage</v>
      </c>
      <c r="AG579" t="str">
        <f t="shared" ref="AG579:AG642" si="29">IF(Q579&lt;=3,"Low Loneliness",IF(Q579&lt;=6,"Moderate Loneliness","High Loneliness"))</f>
        <v>High Loneliness</v>
      </c>
    </row>
    <row r="580" spans="1:33" x14ac:dyDescent="0.3">
      <c r="A580" t="s">
        <v>624</v>
      </c>
      <c r="B580">
        <v>40</v>
      </c>
      <c r="C580" t="s">
        <v>32</v>
      </c>
      <c r="D580" t="s">
        <v>14</v>
      </c>
      <c r="E580" t="s">
        <v>15</v>
      </c>
      <c r="F580" t="s">
        <v>4</v>
      </c>
      <c r="G580" t="s">
        <v>5</v>
      </c>
      <c r="H580" t="s">
        <v>33</v>
      </c>
      <c r="I580" t="s">
        <v>35</v>
      </c>
      <c r="J580" t="s">
        <v>8</v>
      </c>
      <c r="K580" t="s">
        <v>1079</v>
      </c>
      <c r="L580">
        <v>1.1399999999999999</v>
      </c>
      <c r="M580">
        <v>5.07</v>
      </c>
      <c r="N580">
        <v>1.71</v>
      </c>
      <c r="O580">
        <v>4.63</v>
      </c>
      <c r="P580">
        <v>5</v>
      </c>
      <c r="Q580">
        <v>5.7</v>
      </c>
      <c r="R580">
        <v>5.0999999999999996</v>
      </c>
      <c r="S580">
        <v>6.8</v>
      </c>
      <c r="T580" t="s">
        <v>39</v>
      </c>
      <c r="U580">
        <v>8</v>
      </c>
      <c r="V580">
        <v>6.9</v>
      </c>
      <c r="W580">
        <v>3.4</v>
      </c>
      <c r="X580">
        <v>3.1</v>
      </c>
      <c r="Y580">
        <v>1</v>
      </c>
      <c r="Z580">
        <v>2.2000000000000002</v>
      </c>
      <c r="AA580">
        <v>7.9</v>
      </c>
      <c r="AB580" t="s">
        <v>21</v>
      </c>
      <c r="AC580" t="s">
        <v>10</v>
      </c>
      <c r="AD580" t="s">
        <v>12</v>
      </c>
      <c r="AE580" t="str">
        <f t="shared" si="27"/>
        <v>35-44</v>
      </c>
      <c r="AF580" t="str">
        <f t="shared" si="28"/>
        <v>Low Usage</v>
      </c>
      <c r="AG580" t="str">
        <f t="shared" si="29"/>
        <v>Moderate Loneliness</v>
      </c>
    </row>
    <row r="581" spans="1:33" x14ac:dyDescent="0.3">
      <c r="A581" t="s">
        <v>625</v>
      </c>
      <c r="B581">
        <v>19</v>
      </c>
      <c r="C581" t="s">
        <v>1</v>
      </c>
      <c r="D581" t="s">
        <v>2</v>
      </c>
      <c r="E581" t="s">
        <v>15</v>
      </c>
      <c r="F581" t="s">
        <v>45</v>
      </c>
      <c r="G581" t="s">
        <v>5</v>
      </c>
      <c r="H581" t="s">
        <v>33</v>
      </c>
      <c r="I581" t="s">
        <v>7</v>
      </c>
      <c r="J581" t="s">
        <v>48</v>
      </c>
      <c r="K581" t="s">
        <v>30</v>
      </c>
      <c r="L581">
        <v>1.78</v>
      </c>
      <c r="M581">
        <v>3.56</v>
      </c>
      <c r="N581">
        <v>3.13</v>
      </c>
      <c r="O581">
        <v>6.31</v>
      </c>
      <c r="P581">
        <v>3</v>
      </c>
      <c r="Q581">
        <v>4.9000000000000004</v>
      </c>
      <c r="R581">
        <v>4.9000000000000004</v>
      </c>
      <c r="S581">
        <v>4.7</v>
      </c>
      <c r="T581" t="s">
        <v>39</v>
      </c>
      <c r="U581">
        <v>7.2</v>
      </c>
      <c r="V581">
        <v>7.3</v>
      </c>
      <c r="W581">
        <v>4.2</v>
      </c>
      <c r="X581">
        <v>4.0999999999999996</v>
      </c>
      <c r="Y581">
        <v>4.4000000000000004</v>
      </c>
      <c r="Z581">
        <v>5.9</v>
      </c>
      <c r="AA581">
        <v>6.8</v>
      </c>
      <c r="AB581" t="s">
        <v>11</v>
      </c>
      <c r="AC581" t="s">
        <v>10</v>
      </c>
      <c r="AD581" t="s">
        <v>12</v>
      </c>
      <c r="AE581" t="str">
        <f t="shared" si="27"/>
        <v>15-19</v>
      </c>
      <c r="AF581" t="str">
        <f t="shared" si="28"/>
        <v>Low Usage</v>
      </c>
      <c r="AG581" t="str">
        <f t="shared" si="29"/>
        <v>Moderate Loneliness</v>
      </c>
    </row>
    <row r="582" spans="1:33" x14ac:dyDescent="0.3">
      <c r="A582" t="s">
        <v>626</v>
      </c>
      <c r="B582">
        <v>40</v>
      </c>
      <c r="C582" t="s">
        <v>32</v>
      </c>
      <c r="D582" t="s">
        <v>2</v>
      </c>
      <c r="E582" t="s">
        <v>3</v>
      </c>
      <c r="F582" t="s">
        <v>4</v>
      </c>
      <c r="G582" t="s">
        <v>5</v>
      </c>
      <c r="H582" t="s">
        <v>6</v>
      </c>
      <c r="I582" t="s">
        <v>29</v>
      </c>
      <c r="J582" t="s">
        <v>8</v>
      </c>
      <c r="K582" t="s">
        <v>9</v>
      </c>
      <c r="L582">
        <v>1.2</v>
      </c>
      <c r="M582">
        <v>3.64</v>
      </c>
      <c r="N582">
        <v>1.54</v>
      </c>
      <c r="O582">
        <v>4.7300000000000004</v>
      </c>
      <c r="P582">
        <v>5</v>
      </c>
      <c r="Q582">
        <v>4.7</v>
      </c>
      <c r="R582">
        <v>5.0999999999999996</v>
      </c>
      <c r="S582">
        <v>4.0999999999999996</v>
      </c>
      <c r="T582" t="s">
        <v>10</v>
      </c>
      <c r="U582">
        <v>6.2</v>
      </c>
      <c r="V582">
        <v>7</v>
      </c>
      <c r="W582">
        <v>5.0999999999999996</v>
      </c>
      <c r="X582">
        <v>4.5</v>
      </c>
      <c r="Y582">
        <v>5.0999999999999996</v>
      </c>
      <c r="Z582">
        <v>5.9</v>
      </c>
      <c r="AA582">
        <v>5.6</v>
      </c>
      <c r="AB582" t="s">
        <v>21</v>
      </c>
      <c r="AC582" t="s">
        <v>10</v>
      </c>
      <c r="AD582" t="s">
        <v>22</v>
      </c>
      <c r="AE582" t="str">
        <f t="shared" si="27"/>
        <v>35-44</v>
      </c>
      <c r="AF582" t="str">
        <f t="shared" si="28"/>
        <v>Low Usage</v>
      </c>
      <c r="AG582" t="str">
        <f t="shared" si="29"/>
        <v>Moderate Loneliness</v>
      </c>
    </row>
    <row r="583" spans="1:33" x14ac:dyDescent="0.3">
      <c r="A583" t="s">
        <v>627</v>
      </c>
      <c r="B583">
        <v>35</v>
      </c>
      <c r="C583" t="s">
        <v>1</v>
      </c>
      <c r="D583" t="s">
        <v>14</v>
      </c>
      <c r="E583" t="s">
        <v>3</v>
      </c>
      <c r="F583" t="s">
        <v>12</v>
      </c>
      <c r="G583" t="s">
        <v>43</v>
      </c>
      <c r="H583" t="s">
        <v>28</v>
      </c>
      <c r="I583" t="s">
        <v>24</v>
      </c>
      <c r="J583" t="s">
        <v>8</v>
      </c>
      <c r="K583" t="s">
        <v>9</v>
      </c>
      <c r="L583">
        <v>1.75</v>
      </c>
      <c r="M583">
        <v>6.07</v>
      </c>
      <c r="N583">
        <v>2.83</v>
      </c>
      <c r="O583">
        <v>8.56</v>
      </c>
      <c r="P583">
        <v>6</v>
      </c>
      <c r="Q583">
        <v>3.6</v>
      </c>
      <c r="R583">
        <v>6.2</v>
      </c>
      <c r="S583">
        <v>6.7</v>
      </c>
      <c r="T583" t="s">
        <v>10</v>
      </c>
      <c r="U583">
        <v>7.2</v>
      </c>
      <c r="V583">
        <v>3.2</v>
      </c>
      <c r="W583">
        <v>3.8</v>
      </c>
      <c r="X583">
        <v>5.0999999999999996</v>
      </c>
      <c r="Y583">
        <v>1.6</v>
      </c>
      <c r="Z583">
        <v>4.9000000000000004</v>
      </c>
      <c r="AA583">
        <v>5</v>
      </c>
      <c r="AB583" t="s">
        <v>44</v>
      </c>
      <c r="AC583" t="s">
        <v>10</v>
      </c>
      <c r="AD583" t="s">
        <v>12</v>
      </c>
      <c r="AE583" t="str">
        <f t="shared" si="27"/>
        <v>35-44</v>
      </c>
      <c r="AF583" t="str">
        <f t="shared" si="28"/>
        <v>Low Usage</v>
      </c>
      <c r="AG583" t="str">
        <f t="shared" si="29"/>
        <v>Moderate Loneliness</v>
      </c>
    </row>
    <row r="584" spans="1:33" x14ac:dyDescent="0.3">
      <c r="A584" t="s">
        <v>628</v>
      </c>
      <c r="B584">
        <v>44</v>
      </c>
      <c r="C584" t="s">
        <v>1</v>
      </c>
      <c r="D584" t="s">
        <v>58</v>
      </c>
      <c r="E584" t="s">
        <v>3</v>
      </c>
      <c r="F584" t="s">
        <v>16</v>
      </c>
      <c r="G584" t="s">
        <v>17</v>
      </c>
      <c r="H584" t="s">
        <v>33</v>
      </c>
      <c r="I584" t="s">
        <v>24</v>
      </c>
      <c r="J584" t="s">
        <v>20</v>
      </c>
      <c r="K584" t="s">
        <v>25</v>
      </c>
      <c r="L584">
        <v>2.46</v>
      </c>
      <c r="M584">
        <v>2.83</v>
      </c>
      <c r="N584">
        <v>2.56</v>
      </c>
      <c r="O584">
        <v>7.25</v>
      </c>
      <c r="P584">
        <v>6</v>
      </c>
      <c r="Q584">
        <v>7</v>
      </c>
      <c r="R584">
        <v>6.2</v>
      </c>
      <c r="S584">
        <v>5.7</v>
      </c>
      <c r="T584" t="s">
        <v>10</v>
      </c>
      <c r="U584">
        <v>8.4</v>
      </c>
      <c r="V584">
        <v>3.9</v>
      </c>
      <c r="W584">
        <v>3.5</v>
      </c>
      <c r="X584">
        <v>6.2</v>
      </c>
      <c r="Y584">
        <v>4.5</v>
      </c>
      <c r="Z584">
        <v>6</v>
      </c>
      <c r="AA584">
        <v>5.0999999999999996</v>
      </c>
      <c r="AB584" t="s">
        <v>21</v>
      </c>
      <c r="AC584" t="s">
        <v>10</v>
      </c>
      <c r="AD584" t="s">
        <v>22</v>
      </c>
      <c r="AE584" t="str">
        <f t="shared" si="27"/>
        <v>35-44</v>
      </c>
      <c r="AF584" t="str">
        <f t="shared" si="28"/>
        <v>Low Usage</v>
      </c>
      <c r="AG584" t="str">
        <f t="shared" si="29"/>
        <v>High Loneliness</v>
      </c>
    </row>
    <row r="585" spans="1:33" x14ac:dyDescent="0.3">
      <c r="A585" t="s">
        <v>629</v>
      </c>
      <c r="B585">
        <v>37</v>
      </c>
      <c r="C585" t="s">
        <v>32</v>
      </c>
      <c r="D585" t="s">
        <v>47</v>
      </c>
      <c r="E585" t="s">
        <v>37</v>
      </c>
      <c r="F585" t="s">
        <v>4</v>
      </c>
      <c r="G585" t="s">
        <v>17</v>
      </c>
      <c r="H585" t="s">
        <v>28</v>
      </c>
      <c r="I585" t="s">
        <v>35</v>
      </c>
      <c r="J585" t="s">
        <v>8</v>
      </c>
      <c r="K585" t="s">
        <v>9</v>
      </c>
      <c r="L585">
        <v>1.61</v>
      </c>
      <c r="M585">
        <v>2.6</v>
      </c>
      <c r="N585">
        <v>2.5099999999999998</v>
      </c>
      <c r="O585">
        <v>4.78</v>
      </c>
      <c r="P585">
        <v>5</v>
      </c>
      <c r="Q585">
        <v>4.5999999999999996</v>
      </c>
      <c r="R585">
        <v>6.4</v>
      </c>
      <c r="S585">
        <v>6.3</v>
      </c>
      <c r="T585" t="s">
        <v>10</v>
      </c>
      <c r="U585">
        <v>6.1</v>
      </c>
      <c r="V585">
        <v>6.5</v>
      </c>
      <c r="W585">
        <v>4.3</v>
      </c>
      <c r="X585">
        <v>7</v>
      </c>
      <c r="Y585">
        <v>2.6</v>
      </c>
      <c r="Z585">
        <v>6.7</v>
      </c>
      <c r="AA585">
        <v>5.3</v>
      </c>
      <c r="AB585" t="s">
        <v>11</v>
      </c>
      <c r="AC585" t="s">
        <v>39</v>
      </c>
      <c r="AD585" t="s">
        <v>12</v>
      </c>
      <c r="AE585" t="str">
        <f t="shared" si="27"/>
        <v>35-44</v>
      </c>
      <c r="AF585" t="str">
        <f t="shared" si="28"/>
        <v>Low Usage</v>
      </c>
      <c r="AG585" t="str">
        <f t="shared" si="29"/>
        <v>Moderate Loneliness</v>
      </c>
    </row>
    <row r="586" spans="1:33" x14ac:dyDescent="0.3">
      <c r="A586" t="s">
        <v>630</v>
      </c>
      <c r="B586">
        <v>23</v>
      </c>
      <c r="C586" t="s">
        <v>27</v>
      </c>
      <c r="D586" t="s">
        <v>2</v>
      </c>
      <c r="E586" t="s">
        <v>3</v>
      </c>
      <c r="F586" t="s">
        <v>4</v>
      </c>
      <c r="G586" t="s">
        <v>43</v>
      </c>
      <c r="H586" t="s">
        <v>28</v>
      </c>
      <c r="I586" t="s">
        <v>29</v>
      </c>
      <c r="J586" t="s">
        <v>20</v>
      </c>
      <c r="K586" t="s">
        <v>1079</v>
      </c>
      <c r="L586">
        <v>2.57</v>
      </c>
      <c r="M586">
        <v>3.72</v>
      </c>
      <c r="N586">
        <v>3.54</v>
      </c>
      <c r="O586">
        <v>6.4</v>
      </c>
      <c r="P586">
        <v>2</v>
      </c>
      <c r="Q586">
        <v>7</v>
      </c>
      <c r="R586">
        <v>4.3</v>
      </c>
      <c r="S586">
        <v>6.6</v>
      </c>
      <c r="T586" t="s">
        <v>10</v>
      </c>
      <c r="U586">
        <v>7.5</v>
      </c>
      <c r="V586">
        <v>6.4</v>
      </c>
      <c r="W586">
        <v>0.9</v>
      </c>
      <c r="X586">
        <v>3.8</v>
      </c>
      <c r="Y586">
        <v>4.5999999999999996</v>
      </c>
      <c r="Z586">
        <v>6.4</v>
      </c>
      <c r="AA586">
        <v>5.0999999999999996</v>
      </c>
      <c r="AB586" t="s">
        <v>21</v>
      </c>
      <c r="AC586" t="s">
        <v>10</v>
      </c>
      <c r="AD586" t="s">
        <v>22</v>
      </c>
      <c r="AE586" t="str">
        <f t="shared" si="27"/>
        <v>20-24</v>
      </c>
      <c r="AF586" t="str">
        <f t="shared" si="28"/>
        <v>Moderate Usage</v>
      </c>
      <c r="AG586" t="str">
        <f t="shared" si="29"/>
        <v>High Loneliness</v>
      </c>
    </row>
    <row r="587" spans="1:33" x14ac:dyDescent="0.3">
      <c r="A587" t="s">
        <v>631</v>
      </c>
      <c r="B587">
        <v>26</v>
      </c>
      <c r="C587" t="s">
        <v>32</v>
      </c>
      <c r="D587" t="s">
        <v>41</v>
      </c>
      <c r="E587" t="s">
        <v>3</v>
      </c>
      <c r="F587" t="s">
        <v>16</v>
      </c>
      <c r="G587" t="s">
        <v>17</v>
      </c>
      <c r="H587" t="s">
        <v>28</v>
      </c>
      <c r="I587" t="s">
        <v>19</v>
      </c>
      <c r="J587" t="s">
        <v>8</v>
      </c>
      <c r="K587" t="s">
        <v>30</v>
      </c>
      <c r="L587">
        <v>2.36</v>
      </c>
      <c r="M587">
        <v>4.7699999999999996</v>
      </c>
      <c r="N587">
        <v>1.95</v>
      </c>
      <c r="O587">
        <v>4.87</v>
      </c>
      <c r="P587">
        <v>2</v>
      </c>
      <c r="Q587">
        <v>4.8</v>
      </c>
      <c r="R587">
        <v>1.2</v>
      </c>
      <c r="S587">
        <v>5.2</v>
      </c>
      <c r="T587" t="s">
        <v>10</v>
      </c>
      <c r="U587">
        <v>7.5</v>
      </c>
      <c r="V587">
        <v>6.7</v>
      </c>
      <c r="W587">
        <v>4.4000000000000004</v>
      </c>
      <c r="X587">
        <v>5</v>
      </c>
      <c r="Y587">
        <v>6.3</v>
      </c>
      <c r="Z587">
        <v>7.1</v>
      </c>
      <c r="AA587">
        <v>5.9</v>
      </c>
      <c r="AB587" t="s">
        <v>21</v>
      </c>
      <c r="AC587" t="s">
        <v>39</v>
      </c>
      <c r="AD587" t="s">
        <v>22</v>
      </c>
      <c r="AE587" t="str">
        <f t="shared" si="27"/>
        <v>25-34</v>
      </c>
      <c r="AF587" t="str">
        <f t="shared" si="28"/>
        <v>Low Usage</v>
      </c>
      <c r="AG587" t="str">
        <f t="shared" si="29"/>
        <v>Moderate Loneliness</v>
      </c>
    </row>
    <row r="588" spans="1:33" x14ac:dyDescent="0.3">
      <c r="A588" t="s">
        <v>632</v>
      </c>
      <c r="B588">
        <v>35</v>
      </c>
      <c r="C588" t="s">
        <v>32</v>
      </c>
      <c r="D588" t="s">
        <v>14</v>
      </c>
      <c r="E588" t="s">
        <v>37</v>
      </c>
      <c r="F588" t="s">
        <v>45</v>
      </c>
      <c r="G588" t="s">
        <v>5</v>
      </c>
      <c r="H588" t="s">
        <v>6</v>
      </c>
      <c r="I588" t="s">
        <v>7</v>
      </c>
      <c r="J588" t="s">
        <v>48</v>
      </c>
      <c r="K588" t="s">
        <v>9</v>
      </c>
      <c r="L588">
        <v>0.89</v>
      </c>
      <c r="M588">
        <v>4.42</v>
      </c>
      <c r="N588">
        <v>3.39</v>
      </c>
      <c r="O588">
        <v>5.9</v>
      </c>
      <c r="P588">
        <v>6</v>
      </c>
      <c r="Q588">
        <v>5.6</v>
      </c>
      <c r="R588">
        <v>5.5</v>
      </c>
      <c r="S588">
        <v>3.4</v>
      </c>
      <c r="T588" t="s">
        <v>39</v>
      </c>
      <c r="U588">
        <v>7.3</v>
      </c>
      <c r="V588">
        <v>7.9</v>
      </c>
      <c r="W588">
        <v>3.8</v>
      </c>
      <c r="X588">
        <v>4.5999999999999996</v>
      </c>
      <c r="Y588">
        <v>4.5</v>
      </c>
      <c r="Z588">
        <v>5.5</v>
      </c>
      <c r="AA588">
        <v>7.5</v>
      </c>
      <c r="AB588" t="s">
        <v>21</v>
      </c>
      <c r="AC588" t="s">
        <v>10</v>
      </c>
      <c r="AD588" t="s">
        <v>22</v>
      </c>
      <c r="AE588" t="str">
        <f t="shared" si="27"/>
        <v>35-44</v>
      </c>
      <c r="AF588" t="str">
        <f t="shared" si="28"/>
        <v>Very Low Usage</v>
      </c>
      <c r="AG588" t="str">
        <f t="shared" si="29"/>
        <v>Moderate Loneliness</v>
      </c>
    </row>
    <row r="589" spans="1:33" x14ac:dyDescent="0.3">
      <c r="A589" t="s">
        <v>633</v>
      </c>
      <c r="B589">
        <v>15</v>
      </c>
      <c r="C589" t="s">
        <v>32</v>
      </c>
      <c r="D589" t="s">
        <v>41</v>
      </c>
      <c r="E589" t="s">
        <v>15</v>
      </c>
      <c r="F589" t="s">
        <v>16</v>
      </c>
      <c r="G589" t="s">
        <v>43</v>
      </c>
      <c r="H589" t="s">
        <v>33</v>
      </c>
      <c r="I589" t="s">
        <v>19</v>
      </c>
      <c r="J589" t="s">
        <v>8</v>
      </c>
      <c r="K589" t="s">
        <v>1079</v>
      </c>
      <c r="L589">
        <v>2.64</v>
      </c>
      <c r="M589">
        <v>1.77</v>
      </c>
      <c r="N589">
        <v>0.33</v>
      </c>
      <c r="O589">
        <v>6.23</v>
      </c>
      <c r="P589">
        <v>3</v>
      </c>
      <c r="Q589">
        <v>5.5</v>
      </c>
      <c r="R589">
        <v>4.4000000000000004</v>
      </c>
      <c r="S589">
        <v>7.1</v>
      </c>
      <c r="T589" t="s">
        <v>10</v>
      </c>
      <c r="U589">
        <v>8</v>
      </c>
      <c r="V589">
        <v>7.5</v>
      </c>
      <c r="W589">
        <v>4.2</v>
      </c>
      <c r="X589">
        <v>5.4</v>
      </c>
      <c r="Y589">
        <v>3.3</v>
      </c>
      <c r="Z589">
        <v>6.4</v>
      </c>
      <c r="AA589">
        <v>5.9</v>
      </c>
      <c r="AB589" t="s">
        <v>21</v>
      </c>
      <c r="AC589" t="s">
        <v>10</v>
      </c>
      <c r="AD589" t="s">
        <v>22</v>
      </c>
      <c r="AE589" t="str">
        <f t="shared" si="27"/>
        <v>15-19</v>
      </c>
      <c r="AF589" t="str">
        <f t="shared" si="28"/>
        <v>Moderate Usage</v>
      </c>
      <c r="AG589" t="str">
        <f t="shared" si="29"/>
        <v>Moderate Loneliness</v>
      </c>
    </row>
    <row r="590" spans="1:33" x14ac:dyDescent="0.3">
      <c r="A590" t="s">
        <v>634</v>
      </c>
      <c r="B590">
        <v>40</v>
      </c>
      <c r="C590" t="s">
        <v>32</v>
      </c>
      <c r="D590" t="s">
        <v>2</v>
      </c>
      <c r="E590" t="s">
        <v>37</v>
      </c>
      <c r="F590" t="s">
        <v>16</v>
      </c>
      <c r="G590" t="s">
        <v>5</v>
      </c>
      <c r="H590" t="s">
        <v>33</v>
      </c>
      <c r="I590" t="s">
        <v>19</v>
      </c>
      <c r="J590" t="s">
        <v>8</v>
      </c>
      <c r="K590" t="s">
        <v>9</v>
      </c>
      <c r="L590">
        <v>0</v>
      </c>
      <c r="M590">
        <v>5.33</v>
      </c>
      <c r="N590">
        <v>0</v>
      </c>
      <c r="O590">
        <v>1</v>
      </c>
      <c r="P590">
        <v>8</v>
      </c>
      <c r="Q590">
        <v>1.5</v>
      </c>
      <c r="R590">
        <v>1</v>
      </c>
      <c r="S590">
        <v>10</v>
      </c>
      <c r="T590" t="s">
        <v>10</v>
      </c>
      <c r="U590">
        <v>8</v>
      </c>
      <c r="V590">
        <v>10</v>
      </c>
      <c r="W590">
        <v>5.3</v>
      </c>
      <c r="X590">
        <v>2.8</v>
      </c>
      <c r="Y590">
        <v>1</v>
      </c>
      <c r="Z590">
        <v>2</v>
      </c>
      <c r="AA590">
        <v>9.8000000000000007</v>
      </c>
      <c r="AB590" t="s">
        <v>21</v>
      </c>
      <c r="AC590" t="s">
        <v>10</v>
      </c>
      <c r="AD590" t="s">
        <v>12</v>
      </c>
      <c r="AE590" t="str">
        <f t="shared" si="27"/>
        <v>35-44</v>
      </c>
      <c r="AF590" t="str">
        <f t="shared" si="28"/>
        <v>Very Low Usage</v>
      </c>
      <c r="AG590" t="str">
        <f t="shared" si="29"/>
        <v>Low Loneliness</v>
      </c>
    </row>
    <row r="591" spans="1:33" x14ac:dyDescent="0.3">
      <c r="A591" t="s">
        <v>635</v>
      </c>
      <c r="B591">
        <v>40</v>
      </c>
      <c r="C591" t="s">
        <v>1</v>
      </c>
      <c r="D591" t="s">
        <v>2</v>
      </c>
      <c r="E591" t="s">
        <v>15</v>
      </c>
      <c r="F591" t="s">
        <v>16</v>
      </c>
      <c r="G591" t="s">
        <v>5</v>
      </c>
      <c r="H591" t="s">
        <v>18</v>
      </c>
      <c r="I591" t="s">
        <v>29</v>
      </c>
      <c r="J591" t="s">
        <v>8</v>
      </c>
      <c r="K591" t="s">
        <v>1079</v>
      </c>
      <c r="L591">
        <v>6.52</v>
      </c>
      <c r="M591">
        <v>2.2599999999999998</v>
      </c>
      <c r="N591">
        <v>2.81</v>
      </c>
      <c r="O591">
        <v>12.75</v>
      </c>
      <c r="P591">
        <v>0</v>
      </c>
      <c r="Q591">
        <v>10</v>
      </c>
      <c r="R591">
        <v>9.3000000000000007</v>
      </c>
      <c r="S591">
        <v>1.2</v>
      </c>
      <c r="T591" t="s">
        <v>10</v>
      </c>
      <c r="U591">
        <v>5.3</v>
      </c>
      <c r="V591">
        <v>1</v>
      </c>
      <c r="W591">
        <v>0.5</v>
      </c>
      <c r="X591">
        <v>10</v>
      </c>
      <c r="Y591">
        <v>8.1999999999999993</v>
      </c>
      <c r="Z591">
        <v>9.3000000000000007</v>
      </c>
      <c r="AA591">
        <v>3.9</v>
      </c>
      <c r="AB591" t="s">
        <v>44</v>
      </c>
      <c r="AC591" t="s">
        <v>10</v>
      </c>
      <c r="AD591" t="s">
        <v>45</v>
      </c>
      <c r="AE591" t="str">
        <f t="shared" si="27"/>
        <v>35-44</v>
      </c>
      <c r="AF591" t="str">
        <f t="shared" si="28"/>
        <v>High Usage</v>
      </c>
      <c r="AG591" t="str">
        <f t="shared" si="29"/>
        <v>High Loneliness</v>
      </c>
    </row>
    <row r="592" spans="1:33" x14ac:dyDescent="0.3">
      <c r="A592" t="s">
        <v>636</v>
      </c>
      <c r="B592">
        <v>15</v>
      </c>
      <c r="C592" t="s">
        <v>1</v>
      </c>
      <c r="D592" t="s">
        <v>14</v>
      </c>
      <c r="E592" t="s">
        <v>3</v>
      </c>
      <c r="F592" t="s">
        <v>45</v>
      </c>
      <c r="G592" t="s">
        <v>17</v>
      </c>
      <c r="H592" t="s">
        <v>28</v>
      </c>
      <c r="I592" t="s">
        <v>29</v>
      </c>
      <c r="J592" t="s">
        <v>38</v>
      </c>
      <c r="K592" t="s">
        <v>30</v>
      </c>
      <c r="L592">
        <v>2.21</v>
      </c>
      <c r="M592">
        <v>3.53</v>
      </c>
      <c r="N592">
        <v>2.06</v>
      </c>
      <c r="O592">
        <v>6.46</v>
      </c>
      <c r="P592">
        <v>5</v>
      </c>
      <c r="Q592">
        <v>8.5</v>
      </c>
      <c r="R592">
        <v>6.4</v>
      </c>
      <c r="S592">
        <v>2.6</v>
      </c>
      <c r="T592" t="s">
        <v>39</v>
      </c>
      <c r="U592">
        <v>6.6</v>
      </c>
      <c r="V592">
        <v>7.3</v>
      </c>
      <c r="W592">
        <v>3.7</v>
      </c>
      <c r="X592">
        <v>6.7</v>
      </c>
      <c r="Y592">
        <v>5.4</v>
      </c>
      <c r="Z592">
        <v>7.1</v>
      </c>
      <c r="AA592">
        <v>3.6</v>
      </c>
      <c r="AB592" t="s">
        <v>21</v>
      </c>
      <c r="AC592" t="s">
        <v>10</v>
      </c>
      <c r="AD592" t="s">
        <v>45</v>
      </c>
      <c r="AE592" t="str">
        <f t="shared" si="27"/>
        <v>15-19</v>
      </c>
      <c r="AF592" t="str">
        <f t="shared" si="28"/>
        <v>Low Usage</v>
      </c>
      <c r="AG592" t="str">
        <f t="shared" si="29"/>
        <v>High Loneliness</v>
      </c>
    </row>
    <row r="593" spans="1:33" x14ac:dyDescent="0.3">
      <c r="A593" t="s">
        <v>637</v>
      </c>
      <c r="B593">
        <v>29</v>
      </c>
      <c r="C593" t="s">
        <v>1</v>
      </c>
      <c r="D593" t="s">
        <v>58</v>
      </c>
      <c r="E593" t="s">
        <v>59</v>
      </c>
      <c r="F593" t="s">
        <v>4</v>
      </c>
      <c r="G593" t="s">
        <v>17</v>
      </c>
      <c r="H593" t="s">
        <v>28</v>
      </c>
      <c r="I593" t="s">
        <v>29</v>
      </c>
      <c r="J593" t="s">
        <v>51</v>
      </c>
      <c r="K593" t="s">
        <v>25</v>
      </c>
      <c r="L593">
        <v>0.79</v>
      </c>
      <c r="M593">
        <v>3.84</v>
      </c>
      <c r="N593">
        <v>3.38</v>
      </c>
      <c r="O593">
        <v>6.65</v>
      </c>
      <c r="P593">
        <v>6</v>
      </c>
      <c r="Q593">
        <v>1.4</v>
      </c>
      <c r="R593">
        <v>3</v>
      </c>
      <c r="S593">
        <v>8.3000000000000007</v>
      </c>
      <c r="T593" t="s">
        <v>10</v>
      </c>
      <c r="U593">
        <v>6.9</v>
      </c>
      <c r="V593">
        <v>7.5</v>
      </c>
      <c r="W593">
        <v>7.6</v>
      </c>
      <c r="X593">
        <v>4</v>
      </c>
      <c r="Y593">
        <v>2.1</v>
      </c>
      <c r="Z593">
        <v>4</v>
      </c>
      <c r="AA593">
        <v>8.1</v>
      </c>
      <c r="AB593" t="s">
        <v>11</v>
      </c>
      <c r="AC593" t="s">
        <v>10</v>
      </c>
      <c r="AD593" t="s">
        <v>12</v>
      </c>
      <c r="AE593" t="str">
        <f t="shared" si="27"/>
        <v>25-34</v>
      </c>
      <c r="AF593" t="str">
        <f t="shared" si="28"/>
        <v>Very Low Usage</v>
      </c>
      <c r="AG593" t="str">
        <f t="shared" si="29"/>
        <v>Low Loneliness</v>
      </c>
    </row>
    <row r="594" spans="1:33" x14ac:dyDescent="0.3">
      <c r="A594" t="s">
        <v>638</v>
      </c>
      <c r="B594">
        <v>16</v>
      </c>
      <c r="C594" t="s">
        <v>1</v>
      </c>
      <c r="D594" t="s">
        <v>2</v>
      </c>
      <c r="E594" t="s">
        <v>15</v>
      </c>
      <c r="F594" t="s">
        <v>12</v>
      </c>
      <c r="G594" t="s">
        <v>43</v>
      </c>
      <c r="H594" t="s">
        <v>28</v>
      </c>
      <c r="I594" t="s">
        <v>35</v>
      </c>
      <c r="J594" t="s">
        <v>8</v>
      </c>
      <c r="K594" t="s">
        <v>9</v>
      </c>
      <c r="L594">
        <v>2.36</v>
      </c>
      <c r="M594">
        <v>4.99</v>
      </c>
      <c r="N594">
        <v>2.71</v>
      </c>
      <c r="O594">
        <v>7.53</v>
      </c>
      <c r="P594">
        <v>4</v>
      </c>
      <c r="Q594">
        <v>5.3</v>
      </c>
      <c r="R594">
        <v>5.7</v>
      </c>
      <c r="S594">
        <v>4.0999999999999996</v>
      </c>
      <c r="T594" t="s">
        <v>10</v>
      </c>
      <c r="U594">
        <v>7.3</v>
      </c>
      <c r="V594">
        <v>6.1</v>
      </c>
      <c r="W594">
        <v>1.2</v>
      </c>
      <c r="X594">
        <v>6.2</v>
      </c>
      <c r="Y594">
        <v>4.9000000000000004</v>
      </c>
      <c r="Z594">
        <v>4.7</v>
      </c>
      <c r="AA594">
        <v>5.9</v>
      </c>
      <c r="AB594" t="s">
        <v>21</v>
      </c>
      <c r="AC594" t="s">
        <v>10</v>
      </c>
      <c r="AD594" t="s">
        <v>45</v>
      </c>
      <c r="AE594" t="str">
        <f t="shared" si="27"/>
        <v>15-19</v>
      </c>
      <c r="AF594" t="str">
        <f t="shared" si="28"/>
        <v>Low Usage</v>
      </c>
      <c r="AG594" t="str">
        <f t="shared" si="29"/>
        <v>Moderate Loneliness</v>
      </c>
    </row>
    <row r="595" spans="1:33" x14ac:dyDescent="0.3">
      <c r="A595" t="s">
        <v>639</v>
      </c>
      <c r="B595">
        <v>44</v>
      </c>
      <c r="C595" t="s">
        <v>32</v>
      </c>
      <c r="D595" t="s">
        <v>14</v>
      </c>
      <c r="E595" t="s">
        <v>15</v>
      </c>
      <c r="F595" t="s">
        <v>4</v>
      </c>
      <c r="G595" t="s">
        <v>5</v>
      </c>
      <c r="H595" t="s">
        <v>28</v>
      </c>
      <c r="I595" t="s">
        <v>29</v>
      </c>
      <c r="J595" t="s">
        <v>48</v>
      </c>
      <c r="K595" t="s">
        <v>53</v>
      </c>
      <c r="L595">
        <v>0</v>
      </c>
      <c r="M595">
        <v>6.45</v>
      </c>
      <c r="N595">
        <v>0.43</v>
      </c>
      <c r="O595">
        <v>3.02</v>
      </c>
      <c r="P595">
        <v>9</v>
      </c>
      <c r="Q595">
        <v>3</v>
      </c>
      <c r="R595">
        <v>1</v>
      </c>
      <c r="S595">
        <v>6.7</v>
      </c>
      <c r="T595" t="s">
        <v>10</v>
      </c>
      <c r="U595">
        <v>7.6</v>
      </c>
      <c r="V595">
        <v>10</v>
      </c>
      <c r="W595">
        <v>6.5</v>
      </c>
      <c r="X595">
        <v>3.3</v>
      </c>
      <c r="Y595">
        <v>2.1</v>
      </c>
      <c r="Z595">
        <v>1.7</v>
      </c>
      <c r="AA595">
        <v>8.5</v>
      </c>
      <c r="AB595" t="s">
        <v>11</v>
      </c>
      <c r="AC595" t="s">
        <v>10</v>
      </c>
      <c r="AD595" t="s">
        <v>12</v>
      </c>
      <c r="AE595" t="str">
        <f t="shared" si="27"/>
        <v>35-44</v>
      </c>
      <c r="AF595" t="str">
        <f t="shared" si="28"/>
        <v>Very Low Usage</v>
      </c>
      <c r="AG595" t="str">
        <f t="shared" si="29"/>
        <v>Low Loneliness</v>
      </c>
    </row>
    <row r="596" spans="1:33" x14ac:dyDescent="0.3">
      <c r="A596" t="s">
        <v>640</v>
      </c>
      <c r="B596">
        <v>36</v>
      </c>
      <c r="C596" t="s">
        <v>32</v>
      </c>
      <c r="D596" t="s">
        <v>14</v>
      </c>
      <c r="E596" t="s">
        <v>15</v>
      </c>
      <c r="F596" t="s">
        <v>12</v>
      </c>
      <c r="G596" t="s">
        <v>5</v>
      </c>
      <c r="H596" t="s">
        <v>33</v>
      </c>
      <c r="I596" t="s">
        <v>19</v>
      </c>
      <c r="J596" t="s">
        <v>20</v>
      </c>
      <c r="K596" t="s">
        <v>25</v>
      </c>
      <c r="L596">
        <v>0.92</v>
      </c>
      <c r="M596">
        <v>4.25</v>
      </c>
      <c r="N596">
        <v>2.79</v>
      </c>
      <c r="O596">
        <v>5.29</v>
      </c>
      <c r="P596">
        <v>6</v>
      </c>
      <c r="Q596">
        <v>2.8</v>
      </c>
      <c r="R596">
        <v>2.4</v>
      </c>
      <c r="S596">
        <v>7</v>
      </c>
      <c r="T596" t="s">
        <v>10</v>
      </c>
      <c r="U596">
        <v>9</v>
      </c>
      <c r="V596">
        <v>4.9000000000000004</v>
      </c>
      <c r="W596">
        <v>6.4</v>
      </c>
      <c r="X596">
        <v>3.2</v>
      </c>
      <c r="Y596">
        <v>1.9</v>
      </c>
      <c r="Z596">
        <v>4.2</v>
      </c>
      <c r="AA596">
        <v>7</v>
      </c>
      <c r="AB596" t="s">
        <v>21</v>
      </c>
      <c r="AC596" t="s">
        <v>10</v>
      </c>
      <c r="AD596" t="s">
        <v>12</v>
      </c>
      <c r="AE596" t="str">
        <f t="shared" si="27"/>
        <v>35-44</v>
      </c>
      <c r="AF596" t="str">
        <f t="shared" si="28"/>
        <v>Very Low Usage</v>
      </c>
      <c r="AG596" t="str">
        <f t="shared" si="29"/>
        <v>Low Loneliness</v>
      </c>
    </row>
    <row r="597" spans="1:33" x14ac:dyDescent="0.3">
      <c r="A597" t="s">
        <v>641</v>
      </c>
      <c r="B597">
        <v>30</v>
      </c>
      <c r="C597" t="s">
        <v>1</v>
      </c>
      <c r="D597" t="s">
        <v>2</v>
      </c>
      <c r="E597" t="s">
        <v>59</v>
      </c>
      <c r="F597" t="s">
        <v>16</v>
      </c>
      <c r="G597" t="s">
        <v>17</v>
      </c>
      <c r="H597" t="s">
        <v>18</v>
      </c>
      <c r="I597" t="s">
        <v>24</v>
      </c>
      <c r="J597" t="s">
        <v>38</v>
      </c>
      <c r="K597" t="s">
        <v>1079</v>
      </c>
      <c r="L597">
        <v>0.73</v>
      </c>
      <c r="M597">
        <v>6.51</v>
      </c>
      <c r="N597">
        <v>1.94</v>
      </c>
      <c r="O597">
        <v>2.33</v>
      </c>
      <c r="P597">
        <v>7</v>
      </c>
      <c r="Q597">
        <v>1</v>
      </c>
      <c r="R597">
        <v>1.7</v>
      </c>
      <c r="S597">
        <v>9.1999999999999993</v>
      </c>
      <c r="T597" t="s">
        <v>10</v>
      </c>
      <c r="U597">
        <v>7.6</v>
      </c>
      <c r="V597">
        <v>8.9</v>
      </c>
      <c r="W597">
        <v>3.9</v>
      </c>
      <c r="X597">
        <v>1</v>
      </c>
      <c r="Y597">
        <v>1</v>
      </c>
      <c r="Z597">
        <v>1</v>
      </c>
      <c r="AA597">
        <v>7.8</v>
      </c>
      <c r="AB597" t="s">
        <v>11</v>
      </c>
      <c r="AC597" t="s">
        <v>10</v>
      </c>
      <c r="AD597" t="s">
        <v>12</v>
      </c>
      <c r="AE597" t="str">
        <f t="shared" si="27"/>
        <v>25-34</v>
      </c>
      <c r="AF597" t="str">
        <f t="shared" si="28"/>
        <v>Very Low Usage</v>
      </c>
      <c r="AG597" t="str">
        <f t="shared" si="29"/>
        <v>Low Loneliness</v>
      </c>
    </row>
    <row r="598" spans="1:33" x14ac:dyDescent="0.3">
      <c r="A598" t="s">
        <v>642</v>
      </c>
      <c r="B598">
        <v>39</v>
      </c>
      <c r="C598" t="s">
        <v>1</v>
      </c>
      <c r="D598" t="s">
        <v>2</v>
      </c>
      <c r="E598" t="s">
        <v>37</v>
      </c>
      <c r="F598" t="s">
        <v>16</v>
      </c>
      <c r="G598" t="s">
        <v>17</v>
      </c>
      <c r="H598" t="s">
        <v>28</v>
      </c>
      <c r="I598" t="s">
        <v>29</v>
      </c>
      <c r="J598" t="s">
        <v>8</v>
      </c>
      <c r="K598" t="s">
        <v>53</v>
      </c>
      <c r="L598">
        <v>1.18</v>
      </c>
      <c r="M598">
        <v>6.06</v>
      </c>
      <c r="N598">
        <v>1.23</v>
      </c>
      <c r="O598">
        <v>3.82</v>
      </c>
      <c r="P598">
        <v>3</v>
      </c>
      <c r="Q598">
        <v>4</v>
      </c>
      <c r="R598">
        <v>4.5</v>
      </c>
      <c r="S598">
        <v>6</v>
      </c>
      <c r="T598" t="s">
        <v>10</v>
      </c>
      <c r="U598">
        <v>5.8</v>
      </c>
      <c r="V598">
        <v>7.8</v>
      </c>
      <c r="W598">
        <v>3.8</v>
      </c>
      <c r="X598">
        <v>3</v>
      </c>
      <c r="Y598">
        <v>3.3</v>
      </c>
      <c r="Z598">
        <v>4.5</v>
      </c>
      <c r="AA598">
        <v>6.5</v>
      </c>
      <c r="AB598" t="s">
        <v>21</v>
      </c>
      <c r="AC598" t="s">
        <v>10</v>
      </c>
      <c r="AD598" t="s">
        <v>22</v>
      </c>
      <c r="AE598" t="str">
        <f t="shared" si="27"/>
        <v>35-44</v>
      </c>
      <c r="AF598" t="str">
        <f t="shared" si="28"/>
        <v>Low Usage</v>
      </c>
      <c r="AG598" t="str">
        <f t="shared" si="29"/>
        <v>Moderate Loneliness</v>
      </c>
    </row>
    <row r="599" spans="1:33" x14ac:dyDescent="0.3">
      <c r="A599" t="s">
        <v>643</v>
      </c>
      <c r="B599">
        <v>22</v>
      </c>
      <c r="C599" t="s">
        <v>32</v>
      </c>
      <c r="D599" t="s">
        <v>2</v>
      </c>
      <c r="E599" t="s">
        <v>3</v>
      </c>
      <c r="F599" t="s">
        <v>4</v>
      </c>
      <c r="G599" t="s">
        <v>66</v>
      </c>
      <c r="H599" t="s">
        <v>28</v>
      </c>
      <c r="I599" t="s">
        <v>19</v>
      </c>
      <c r="J599" t="s">
        <v>48</v>
      </c>
      <c r="K599" t="s">
        <v>25</v>
      </c>
      <c r="L599">
        <v>0</v>
      </c>
      <c r="M599">
        <v>4.6900000000000004</v>
      </c>
      <c r="N599">
        <v>3.42</v>
      </c>
      <c r="O599">
        <v>4.53</v>
      </c>
      <c r="P599">
        <v>5</v>
      </c>
      <c r="Q599">
        <v>1.4</v>
      </c>
      <c r="R599">
        <v>2</v>
      </c>
      <c r="S599">
        <v>9.6999999999999993</v>
      </c>
      <c r="T599" t="s">
        <v>10</v>
      </c>
      <c r="U599">
        <v>9.1</v>
      </c>
      <c r="V599">
        <v>8.6</v>
      </c>
      <c r="W599">
        <v>6.3</v>
      </c>
      <c r="X599">
        <v>1.1000000000000001</v>
      </c>
      <c r="Y599">
        <v>1</v>
      </c>
      <c r="Z599">
        <v>1.1000000000000001</v>
      </c>
      <c r="AA599">
        <v>6.8</v>
      </c>
      <c r="AB599" t="s">
        <v>11</v>
      </c>
      <c r="AC599" t="s">
        <v>10</v>
      </c>
      <c r="AD599" t="s">
        <v>12</v>
      </c>
      <c r="AE599" t="str">
        <f t="shared" si="27"/>
        <v>20-24</v>
      </c>
      <c r="AF599" t="str">
        <f t="shared" si="28"/>
        <v>Very Low Usage</v>
      </c>
      <c r="AG599" t="str">
        <f t="shared" si="29"/>
        <v>Low Loneliness</v>
      </c>
    </row>
    <row r="600" spans="1:33" x14ac:dyDescent="0.3">
      <c r="A600" t="s">
        <v>644</v>
      </c>
      <c r="B600">
        <v>27</v>
      </c>
      <c r="C600" t="s">
        <v>1</v>
      </c>
      <c r="D600" t="s">
        <v>58</v>
      </c>
      <c r="E600" t="s">
        <v>37</v>
      </c>
      <c r="F600" t="s">
        <v>12</v>
      </c>
      <c r="G600" t="s">
        <v>17</v>
      </c>
      <c r="H600" t="s">
        <v>28</v>
      </c>
      <c r="I600" t="s">
        <v>24</v>
      </c>
      <c r="J600" t="s">
        <v>8</v>
      </c>
      <c r="K600" t="s">
        <v>30</v>
      </c>
      <c r="L600">
        <v>1.08</v>
      </c>
      <c r="M600">
        <v>4.13</v>
      </c>
      <c r="N600">
        <v>3.16</v>
      </c>
      <c r="O600">
        <v>6.56</v>
      </c>
      <c r="P600">
        <v>3</v>
      </c>
      <c r="Q600">
        <v>1</v>
      </c>
      <c r="R600">
        <v>5</v>
      </c>
      <c r="S600">
        <v>4.2</v>
      </c>
      <c r="T600" t="s">
        <v>10</v>
      </c>
      <c r="U600">
        <v>6.1</v>
      </c>
      <c r="V600">
        <v>6.9</v>
      </c>
      <c r="W600">
        <v>6.5</v>
      </c>
      <c r="X600">
        <v>5.2</v>
      </c>
      <c r="Y600">
        <v>3.8</v>
      </c>
      <c r="Z600">
        <v>5</v>
      </c>
      <c r="AA600">
        <v>7.4</v>
      </c>
      <c r="AB600" t="s">
        <v>21</v>
      </c>
      <c r="AC600" t="s">
        <v>39</v>
      </c>
      <c r="AD600" t="s">
        <v>22</v>
      </c>
      <c r="AE600" t="str">
        <f t="shared" si="27"/>
        <v>25-34</v>
      </c>
      <c r="AF600" t="str">
        <f t="shared" si="28"/>
        <v>Low Usage</v>
      </c>
      <c r="AG600" t="str">
        <f t="shared" si="29"/>
        <v>Low Loneliness</v>
      </c>
    </row>
    <row r="601" spans="1:33" x14ac:dyDescent="0.3">
      <c r="A601" t="s">
        <v>645</v>
      </c>
      <c r="B601">
        <v>35</v>
      </c>
      <c r="C601" t="s">
        <v>32</v>
      </c>
      <c r="D601" t="s">
        <v>14</v>
      </c>
      <c r="E601" t="s">
        <v>15</v>
      </c>
      <c r="F601" t="s">
        <v>16</v>
      </c>
      <c r="G601" t="s">
        <v>5</v>
      </c>
      <c r="H601" t="s">
        <v>18</v>
      </c>
      <c r="I601" t="s">
        <v>7</v>
      </c>
      <c r="J601" t="s">
        <v>20</v>
      </c>
      <c r="K601" t="s">
        <v>30</v>
      </c>
      <c r="L601">
        <v>3.64</v>
      </c>
      <c r="M601">
        <v>5.24</v>
      </c>
      <c r="N601">
        <v>3.58</v>
      </c>
      <c r="O601">
        <v>9.44</v>
      </c>
      <c r="P601">
        <v>1</v>
      </c>
      <c r="Q601">
        <v>5.2</v>
      </c>
      <c r="R601">
        <v>7</v>
      </c>
      <c r="S601">
        <v>4.7</v>
      </c>
      <c r="T601" t="s">
        <v>39</v>
      </c>
      <c r="U601">
        <v>5.4</v>
      </c>
      <c r="V601">
        <v>6.1</v>
      </c>
      <c r="W601">
        <v>6.4</v>
      </c>
      <c r="X601">
        <v>5.7</v>
      </c>
      <c r="Y601">
        <v>6.1</v>
      </c>
      <c r="Z601">
        <v>5.2</v>
      </c>
      <c r="AA601">
        <v>6.8</v>
      </c>
      <c r="AB601" t="s">
        <v>21</v>
      </c>
      <c r="AC601" t="s">
        <v>39</v>
      </c>
      <c r="AD601" t="s">
        <v>45</v>
      </c>
      <c r="AE601" t="str">
        <f t="shared" si="27"/>
        <v>35-44</v>
      </c>
      <c r="AF601" t="str">
        <f t="shared" si="28"/>
        <v>Moderate Usage</v>
      </c>
      <c r="AG601" t="str">
        <f t="shared" si="29"/>
        <v>Moderate Loneliness</v>
      </c>
    </row>
    <row r="602" spans="1:33" x14ac:dyDescent="0.3">
      <c r="A602" t="s">
        <v>646</v>
      </c>
      <c r="B602">
        <v>15</v>
      </c>
      <c r="C602" t="s">
        <v>32</v>
      </c>
      <c r="D602" t="s">
        <v>47</v>
      </c>
      <c r="E602" t="s">
        <v>15</v>
      </c>
      <c r="F602" t="s">
        <v>4</v>
      </c>
      <c r="G602" t="s">
        <v>17</v>
      </c>
      <c r="H602" t="s">
        <v>6</v>
      </c>
      <c r="I602" t="s">
        <v>24</v>
      </c>
      <c r="J602" t="s">
        <v>38</v>
      </c>
      <c r="K602" t="s">
        <v>1079</v>
      </c>
      <c r="L602">
        <v>0.04</v>
      </c>
      <c r="M602">
        <v>5.56</v>
      </c>
      <c r="N602">
        <v>2.17</v>
      </c>
      <c r="O602">
        <v>3.94</v>
      </c>
      <c r="P602">
        <v>5</v>
      </c>
      <c r="Q602">
        <v>1</v>
      </c>
      <c r="R602">
        <v>2.5</v>
      </c>
      <c r="S602">
        <v>7</v>
      </c>
      <c r="T602" t="s">
        <v>10</v>
      </c>
      <c r="U602">
        <v>7.9</v>
      </c>
      <c r="V602">
        <v>8.1999999999999993</v>
      </c>
      <c r="W602">
        <v>3.1</v>
      </c>
      <c r="X602">
        <v>3.4</v>
      </c>
      <c r="Y602">
        <v>1</v>
      </c>
      <c r="Z602">
        <v>4.5</v>
      </c>
      <c r="AA602">
        <v>7.2</v>
      </c>
      <c r="AB602" t="s">
        <v>21</v>
      </c>
      <c r="AC602" t="s">
        <v>10</v>
      </c>
      <c r="AD602" t="s">
        <v>12</v>
      </c>
      <c r="AE602" t="str">
        <f t="shared" si="27"/>
        <v>15-19</v>
      </c>
      <c r="AF602" t="str">
        <f t="shared" si="28"/>
        <v>Very Low Usage</v>
      </c>
      <c r="AG602" t="str">
        <f t="shared" si="29"/>
        <v>Low Loneliness</v>
      </c>
    </row>
    <row r="603" spans="1:33" x14ac:dyDescent="0.3">
      <c r="A603" t="s">
        <v>647</v>
      </c>
      <c r="B603">
        <v>30</v>
      </c>
      <c r="C603" t="s">
        <v>32</v>
      </c>
      <c r="D603" t="s">
        <v>14</v>
      </c>
      <c r="E603" t="s">
        <v>37</v>
      </c>
      <c r="F603" t="s">
        <v>16</v>
      </c>
      <c r="G603" t="s">
        <v>5</v>
      </c>
      <c r="H603" t="s">
        <v>33</v>
      </c>
      <c r="I603" t="s">
        <v>24</v>
      </c>
      <c r="J603" t="s">
        <v>20</v>
      </c>
      <c r="K603" t="s">
        <v>1079</v>
      </c>
      <c r="L603">
        <v>2.67</v>
      </c>
      <c r="M603">
        <v>3.07</v>
      </c>
      <c r="N603">
        <v>3.16</v>
      </c>
      <c r="O603">
        <v>9.58</v>
      </c>
      <c r="P603">
        <v>5</v>
      </c>
      <c r="Q603">
        <v>6.7</v>
      </c>
      <c r="R603">
        <v>4</v>
      </c>
      <c r="S603">
        <v>5.4</v>
      </c>
      <c r="T603" t="s">
        <v>10</v>
      </c>
      <c r="U603">
        <v>8.1</v>
      </c>
      <c r="V603">
        <v>6.9</v>
      </c>
      <c r="W603">
        <v>3.4</v>
      </c>
      <c r="X603">
        <v>5.4</v>
      </c>
      <c r="Y603">
        <v>2.1</v>
      </c>
      <c r="Z603">
        <v>5.8</v>
      </c>
      <c r="AA603">
        <v>7</v>
      </c>
      <c r="AB603" t="s">
        <v>21</v>
      </c>
      <c r="AC603" t="s">
        <v>10</v>
      </c>
      <c r="AD603" t="s">
        <v>22</v>
      </c>
      <c r="AE603" t="str">
        <f t="shared" si="27"/>
        <v>25-34</v>
      </c>
      <c r="AF603" t="str">
        <f t="shared" si="28"/>
        <v>Moderate Usage</v>
      </c>
      <c r="AG603" t="str">
        <f t="shared" si="29"/>
        <v>High Loneliness</v>
      </c>
    </row>
    <row r="604" spans="1:33" x14ac:dyDescent="0.3">
      <c r="A604" t="s">
        <v>648</v>
      </c>
      <c r="B604">
        <v>43</v>
      </c>
      <c r="C604" t="s">
        <v>32</v>
      </c>
      <c r="D604" t="s">
        <v>58</v>
      </c>
      <c r="E604" t="s">
        <v>3</v>
      </c>
      <c r="F604" t="s">
        <v>4</v>
      </c>
      <c r="G604" t="s">
        <v>43</v>
      </c>
      <c r="H604" t="s">
        <v>33</v>
      </c>
      <c r="I604" t="s">
        <v>29</v>
      </c>
      <c r="J604" t="s">
        <v>8</v>
      </c>
      <c r="K604" t="s">
        <v>30</v>
      </c>
      <c r="L604">
        <v>0</v>
      </c>
      <c r="M604">
        <v>5.21</v>
      </c>
      <c r="N604">
        <v>1</v>
      </c>
      <c r="O604">
        <v>2.36</v>
      </c>
      <c r="P604">
        <v>7</v>
      </c>
      <c r="Q604">
        <v>4.2</v>
      </c>
      <c r="R604">
        <v>3.5</v>
      </c>
      <c r="S604">
        <v>8.1</v>
      </c>
      <c r="T604" t="s">
        <v>10</v>
      </c>
      <c r="U604">
        <v>8.3000000000000007</v>
      </c>
      <c r="V604">
        <v>9.6</v>
      </c>
      <c r="W604">
        <v>5.4</v>
      </c>
      <c r="X604">
        <v>2.7</v>
      </c>
      <c r="Y604">
        <v>6</v>
      </c>
      <c r="Z604">
        <v>3.6</v>
      </c>
      <c r="AA604">
        <v>7.3</v>
      </c>
      <c r="AB604" t="s">
        <v>21</v>
      </c>
      <c r="AC604" t="s">
        <v>10</v>
      </c>
      <c r="AD604" t="s">
        <v>12</v>
      </c>
      <c r="AE604" t="str">
        <f t="shared" si="27"/>
        <v>35-44</v>
      </c>
      <c r="AF604" t="str">
        <f t="shared" si="28"/>
        <v>Very Low Usage</v>
      </c>
      <c r="AG604" t="str">
        <f t="shared" si="29"/>
        <v>Moderate Loneliness</v>
      </c>
    </row>
    <row r="605" spans="1:33" x14ac:dyDescent="0.3">
      <c r="A605" t="s">
        <v>649</v>
      </c>
      <c r="B605">
        <v>21</v>
      </c>
      <c r="C605" t="s">
        <v>32</v>
      </c>
      <c r="D605" t="s">
        <v>47</v>
      </c>
      <c r="E605" t="s">
        <v>37</v>
      </c>
      <c r="F605" t="s">
        <v>4</v>
      </c>
      <c r="G605" t="s">
        <v>5</v>
      </c>
      <c r="H605" t="s">
        <v>18</v>
      </c>
      <c r="I605" t="s">
        <v>35</v>
      </c>
      <c r="J605" t="s">
        <v>8</v>
      </c>
      <c r="K605" t="s">
        <v>1079</v>
      </c>
      <c r="L605">
        <v>3.1</v>
      </c>
      <c r="M605">
        <v>4.8099999999999996</v>
      </c>
      <c r="N605">
        <v>5.12</v>
      </c>
      <c r="O605">
        <v>8</v>
      </c>
      <c r="P605">
        <v>3</v>
      </c>
      <c r="Q605">
        <v>6.5</v>
      </c>
      <c r="R605">
        <v>4.5</v>
      </c>
      <c r="S605">
        <v>6.4</v>
      </c>
      <c r="T605" t="s">
        <v>10</v>
      </c>
      <c r="U605">
        <v>6.1</v>
      </c>
      <c r="V605">
        <v>6.3</v>
      </c>
      <c r="W605">
        <v>4.2</v>
      </c>
      <c r="X605">
        <v>5.9</v>
      </c>
      <c r="Y605">
        <v>4.3</v>
      </c>
      <c r="Z605">
        <v>5.4</v>
      </c>
      <c r="AA605">
        <v>5</v>
      </c>
      <c r="AB605" t="s">
        <v>21</v>
      </c>
      <c r="AC605" t="s">
        <v>10</v>
      </c>
      <c r="AD605" t="s">
        <v>45</v>
      </c>
      <c r="AE605" t="str">
        <f t="shared" si="27"/>
        <v>20-24</v>
      </c>
      <c r="AF605" t="str">
        <f t="shared" si="28"/>
        <v>Moderate Usage</v>
      </c>
      <c r="AG605" t="str">
        <f t="shared" si="29"/>
        <v>High Loneliness</v>
      </c>
    </row>
    <row r="606" spans="1:33" x14ac:dyDescent="0.3">
      <c r="A606" t="s">
        <v>650</v>
      </c>
      <c r="B606">
        <v>19</v>
      </c>
      <c r="C606" t="s">
        <v>1</v>
      </c>
      <c r="D606" t="s">
        <v>2</v>
      </c>
      <c r="E606" t="s">
        <v>59</v>
      </c>
      <c r="F606" t="s">
        <v>12</v>
      </c>
      <c r="G606" t="s">
        <v>17</v>
      </c>
      <c r="H606" t="s">
        <v>28</v>
      </c>
      <c r="I606" t="s">
        <v>29</v>
      </c>
      <c r="J606" t="s">
        <v>48</v>
      </c>
      <c r="K606" t="s">
        <v>53</v>
      </c>
      <c r="L606">
        <v>1.25</v>
      </c>
      <c r="M606">
        <v>3.74</v>
      </c>
      <c r="N606">
        <v>1.53</v>
      </c>
      <c r="O606">
        <v>4.9000000000000004</v>
      </c>
      <c r="P606">
        <v>9</v>
      </c>
      <c r="Q606">
        <v>3.6</v>
      </c>
      <c r="R606">
        <v>2.9</v>
      </c>
      <c r="S606">
        <v>7.8</v>
      </c>
      <c r="T606" t="s">
        <v>10</v>
      </c>
      <c r="U606">
        <v>7.6</v>
      </c>
      <c r="V606">
        <v>8.9</v>
      </c>
      <c r="W606">
        <v>5.0999999999999996</v>
      </c>
      <c r="X606">
        <v>4.0999999999999996</v>
      </c>
      <c r="Y606">
        <v>4.3</v>
      </c>
      <c r="Z606">
        <v>5.0999999999999996</v>
      </c>
      <c r="AA606">
        <v>6.5</v>
      </c>
      <c r="AB606" t="s">
        <v>21</v>
      </c>
      <c r="AC606" t="s">
        <v>10</v>
      </c>
      <c r="AD606" t="s">
        <v>12</v>
      </c>
      <c r="AE606" t="str">
        <f t="shared" si="27"/>
        <v>15-19</v>
      </c>
      <c r="AF606" t="str">
        <f t="shared" si="28"/>
        <v>Low Usage</v>
      </c>
      <c r="AG606" t="str">
        <f t="shared" si="29"/>
        <v>Moderate Loneliness</v>
      </c>
    </row>
    <row r="607" spans="1:33" x14ac:dyDescent="0.3">
      <c r="A607" t="s">
        <v>651</v>
      </c>
      <c r="B607">
        <v>36</v>
      </c>
      <c r="C607" t="s">
        <v>32</v>
      </c>
      <c r="D607" t="s">
        <v>2</v>
      </c>
      <c r="E607" t="s">
        <v>37</v>
      </c>
      <c r="F607" t="s">
        <v>12</v>
      </c>
      <c r="G607" t="s">
        <v>5</v>
      </c>
      <c r="H607" t="s">
        <v>28</v>
      </c>
      <c r="I607" t="s">
        <v>24</v>
      </c>
      <c r="J607" t="s">
        <v>48</v>
      </c>
      <c r="K607" t="s">
        <v>9</v>
      </c>
      <c r="L607">
        <v>2.34</v>
      </c>
      <c r="M607">
        <v>3.1</v>
      </c>
      <c r="N607">
        <v>4.25</v>
      </c>
      <c r="O607">
        <v>9.7799999999999994</v>
      </c>
      <c r="P607">
        <v>5</v>
      </c>
      <c r="Q607">
        <v>7.4</v>
      </c>
      <c r="R607">
        <v>6.6</v>
      </c>
      <c r="S607">
        <v>5.2</v>
      </c>
      <c r="T607" t="s">
        <v>10</v>
      </c>
      <c r="U607">
        <v>6.2</v>
      </c>
      <c r="V607">
        <v>4</v>
      </c>
      <c r="W607">
        <v>1.6</v>
      </c>
      <c r="X607">
        <v>5.0999999999999996</v>
      </c>
      <c r="Y607">
        <v>5.6</v>
      </c>
      <c r="Z607">
        <v>7.4</v>
      </c>
      <c r="AA607">
        <v>5.5</v>
      </c>
      <c r="AB607" t="s">
        <v>21</v>
      </c>
      <c r="AC607" t="s">
        <v>10</v>
      </c>
      <c r="AD607" t="s">
        <v>45</v>
      </c>
      <c r="AE607" t="str">
        <f t="shared" si="27"/>
        <v>35-44</v>
      </c>
      <c r="AF607" t="str">
        <f t="shared" si="28"/>
        <v>Low Usage</v>
      </c>
      <c r="AG607" t="str">
        <f t="shared" si="29"/>
        <v>High Loneliness</v>
      </c>
    </row>
    <row r="608" spans="1:33" x14ac:dyDescent="0.3">
      <c r="A608" t="s">
        <v>652</v>
      </c>
      <c r="B608">
        <v>43</v>
      </c>
      <c r="C608" t="s">
        <v>32</v>
      </c>
      <c r="D608" t="s">
        <v>14</v>
      </c>
      <c r="E608" t="s">
        <v>37</v>
      </c>
      <c r="F608" t="s">
        <v>16</v>
      </c>
      <c r="G608" t="s">
        <v>43</v>
      </c>
      <c r="H608" t="s">
        <v>6</v>
      </c>
      <c r="I608" t="s">
        <v>29</v>
      </c>
      <c r="J608" t="s">
        <v>8</v>
      </c>
      <c r="K608" t="s">
        <v>1079</v>
      </c>
      <c r="L608">
        <v>0</v>
      </c>
      <c r="M608">
        <v>5.75</v>
      </c>
      <c r="N608">
        <v>0.21</v>
      </c>
      <c r="O608">
        <v>2.5</v>
      </c>
      <c r="P608">
        <v>7</v>
      </c>
      <c r="Q608">
        <v>1</v>
      </c>
      <c r="R608">
        <v>1</v>
      </c>
      <c r="S608">
        <v>9.6</v>
      </c>
      <c r="T608" t="s">
        <v>10</v>
      </c>
      <c r="U608">
        <v>9.8000000000000007</v>
      </c>
      <c r="V608">
        <v>10</v>
      </c>
      <c r="W608">
        <v>4.7</v>
      </c>
      <c r="X608">
        <v>2</v>
      </c>
      <c r="Y608">
        <v>1</v>
      </c>
      <c r="Z608">
        <v>1.8</v>
      </c>
      <c r="AA608">
        <v>8.6999999999999993</v>
      </c>
      <c r="AB608" t="s">
        <v>21</v>
      </c>
      <c r="AC608" t="s">
        <v>10</v>
      </c>
      <c r="AD608" t="s">
        <v>12</v>
      </c>
      <c r="AE608" t="str">
        <f t="shared" si="27"/>
        <v>35-44</v>
      </c>
      <c r="AF608" t="str">
        <f t="shared" si="28"/>
        <v>Very Low Usage</v>
      </c>
      <c r="AG608" t="str">
        <f t="shared" si="29"/>
        <v>Low Loneliness</v>
      </c>
    </row>
    <row r="609" spans="1:33" x14ac:dyDescent="0.3">
      <c r="A609" t="s">
        <v>653</v>
      </c>
      <c r="B609">
        <v>37</v>
      </c>
      <c r="C609" t="s">
        <v>1</v>
      </c>
      <c r="D609" t="s">
        <v>2</v>
      </c>
      <c r="E609" t="s">
        <v>37</v>
      </c>
      <c r="F609" t="s">
        <v>45</v>
      </c>
      <c r="G609" t="s">
        <v>17</v>
      </c>
      <c r="H609" t="s">
        <v>33</v>
      </c>
      <c r="I609" t="s">
        <v>35</v>
      </c>
      <c r="J609" t="s">
        <v>38</v>
      </c>
      <c r="K609" t="s">
        <v>25</v>
      </c>
      <c r="L609">
        <v>0</v>
      </c>
      <c r="M609">
        <v>4.47</v>
      </c>
      <c r="N609">
        <v>0.84</v>
      </c>
      <c r="O609">
        <v>2.4900000000000002</v>
      </c>
      <c r="P609">
        <v>7</v>
      </c>
      <c r="Q609">
        <v>4.3</v>
      </c>
      <c r="R609">
        <v>3.3</v>
      </c>
      <c r="S609">
        <v>8.6</v>
      </c>
      <c r="T609" t="s">
        <v>10</v>
      </c>
      <c r="U609">
        <v>7.3</v>
      </c>
      <c r="V609">
        <v>8.9</v>
      </c>
      <c r="W609">
        <v>2.9</v>
      </c>
      <c r="X609">
        <v>1.8</v>
      </c>
      <c r="Y609">
        <v>2.7</v>
      </c>
      <c r="Z609">
        <v>4.9000000000000004</v>
      </c>
      <c r="AA609">
        <v>8.9</v>
      </c>
      <c r="AB609" t="s">
        <v>11</v>
      </c>
      <c r="AC609" t="s">
        <v>10</v>
      </c>
      <c r="AD609" t="s">
        <v>12</v>
      </c>
      <c r="AE609" t="str">
        <f t="shared" si="27"/>
        <v>35-44</v>
      </c>
      <c r="AF609" t="str">
        <f t="shared" si="28"/>
        <v>Very Low Usage</v>
      </c>
      <c r="AG609" t="str">
        <f t="shared" si="29"/>
        <v>Moderate Loneliness</v>
      </c>
    </row>
    <row r="610" spans="1:33" x14ac:dyDescent="0.3">
      <c r="A610" t="s">
        <v>654</v>
      </c>
      <c r="B610">
        <v>17</v>
      </c>
      <c r="C610" t="s">
        <v>32</v>
      </c>
      <c r="D610" t="s">
        <v>47</v>
      </c>
      <c r="E610" t="s">
        <v>37</v>
      </c>
      <c r="F610" t="s">
        <v>16</v>
      </c>
      <c r="G610" t="s">
        <v>43</v>
      </c>
      <c r="H610" t="s">
        <v>28</v>
      </c>
      <c r="I610" t="s">
        <v>24</v>
      </c>
      <c r="J610" t="s">
        <v>8</v>
      </c>
      <c r="K610" t="s">
        <v>1079</v>
      </c>
      <c r="L610">
        <v>0</v>
      </c>
      <c r="M610">
        <v>5.46</v>
      </c>
      <c r="N610">
        <v>3.29</v>
      </c>
      <c r="O610">
        <v>5.53</v>
      </c>
      <c r="P610">
        <v>5</v>
      </c>
      <c r="Q610">
        <v>2.7</v>
      </c>
      <c r="R610">
        <v>2.5</v>
      </c>
      <c r="S610">
        <v>9.6</v>
      </c>
      <c r="T610" t="s">
        <v>10</v>
      </c>
      <c r="U610">
        <v>7.9</v>
      </c>
      <c r="V610">
        <v>9.8000000000000007</v>
      </c>
      <c r="W610">
        <v>2.2999999999999998</v>
      </c>
      <c r="X610">
        <v>4</v>
      </c>
      <c r="Y610">
        <v>1.8</v>
      </c>
      <c r="Z610">
        <v>2.9</v>
      </c>
      <c r="AA610">
        <v>8.1</v>
      </c>
      <c r="AB610" t="s">
        <v>21</v>
      </c>
      <c r="AC610" t="s">
        <v>10</v>
      </c>
      <c r="AD610" t="s">
        <v>12</v>
      </c>
      <c r="AE610" t="str">
        <f t="shared" si="27"/>
        <v>15-19</v>
      </c>
      <c r="AF610" t="str">
        <f t="shared" si="28"/>
        <v>Very Low Usage</v>
      </c>
      <c r="AG610" t="str">
        <f t="shared" si="29"/>
        <v>Low Loneliness</v>
      </c>
    </row>
    <row r="611" spans="1:33" x14ac:dyDescent="0.3">
      <c r="A611" t="s">
        <v>655</v>
      </c>
      <c r="B611">
        <v>26</v>
      </c>
      <c r="C611" t="s">
        <v>32</v>
      </c>
      <c r="D611" t="s">
        <v>2</v>
      </c>
      <c r="E611" t="s">
        <v>15</v>
      </c>
      <c r="F611" t="s">
        <v>12</v>
      </c>
      <c r="G611" t="s">
        <v>5</v>
      </c>
      <c r="H611" t="s">
        <v>18</v>
      </c>
      <c r="I611" t="s">
        <v>24</v>
      </c>
      <c r="J611" t="s">
        <v>8</v>
      </c>
      <c r="K611" t="s">
        <v>1079</v>
      </c>
      <c r="L611">
        <v>2.62</v>
      </c>
      <c r="M611">
        <v>3.68</v>
      </c>
      <c r="N611">
        <v>2.59</v>
      </c>
      <c r="O611">
        <v>9.0500000000000007</v>
      </c>
      <c r="P611">
        <v>4</v>
      </c>
      <c r="Q611">
        <v>6.5</v>
      </c>
      <c r="R611">
        <v>5.5</v>
      </c>
      <c r="S611">
        <v>8</v>
      </c>
      <c r="T611" t="s">
        <v>10</v>
      </c>
      <c r="U611">
        <v>7</v>
      </c>
      <c r="V611">
        <v>4.7</v>
      </c>
      <c r="W611">
        <v>1.4</v>
      </c>
      <c r="X611">
        <v>5.0999999999999996</v>
      </c>
      <c r="Y611">
        <v>4.2</v>
      </c>
      <c r="Z611">
        <v>5.6</v>
      </c>
      <c r="AA611">
        <v>5.6</v>
      </c>
      <c r="AB611" t="s">
        <v>21</v>
      </c>
      <c r="AC611" t="s">
        <v>10</v>
      </c>
      <c r="AD611" t="s">
        <v>12</v>
      </c>
      <c r="AE611" t="str">
        <f t="shared" si="27"/>
        <v>25-34</v>
      </c>
      <c r="AF611" t="str">
        <f t="shared" si="28"/>
        <v>Moderate Usage</v>
      </c>
      <c r="AG611" t="str">
        <f t="shared" si="29"/>
        <v>High Loneliness</v>
      </c>
    </row>
    <row r="612" spans="1:33" x14ac:dyDescent="0.3">
      <c r="A612" t="s">
        <v>656</v>
      </c>
      <c r="B612">
        <v>40</v>
      </c>
      <c r="C612" t="s">
        <v>32</v>
      </c>
      <c r="D612" t="s">
        <v>14</v>
      </c>
      <c r="E612" t="s">
        <v>15</v>
      </c>
      <c r="F612" t="s">
        <v>4</v>
      </c>
      <c r="G612" t="s">
        <v>43</v>
      </c>
      <c r="H612" t="s">
        <v>18</v>
      </c>
      <c r="I612" t="s">
        <v>29</v>
      </c>
      <c r="J612" t="s">
        <v>38</v>
      </c>
      <c r="K612" t="s">
        <v>1079</v>
      </c>
      <c r="L612">
        <v>2.35</v>
      </c>
      <c r="M612">
        <v>4.03</v>
      </c>
      <c r="N612">
        <v>3.02</v>
      </c>
      <c r="O612">
        <v>6.5</v>
      </c>
      <c r="P612">
        <v>3</v>
      </c>
      <c r="Q612">
        <v>7.3</v>
      </c>
      <c r="R612">
        <v>5.9</v>
      </c>
      <c r="S612">
        <v>6.5</v>
      </c>
      <c r="T612" t="s">
        <v>10</v>
      </c>
      <c r="U612">
        <v>5.6</v>
      </c>
      <c r="V612">
        <v>6.8</v>
      </c>
      <c r="W612">
        <v>5.0999999999999996</v>
      </c>
      <c r="X612">
        <v>5.7</v>
      </c>
      <c r="Y612">
        <v>5.0999999999999996</v>
      </c>
      <c r="Z612">
        <v>5.3</v>
      </c>
      <c r="AA612">
        <v>3.2</v>
      </c>
      <c r="AB612" t="s">
        <v>44</v>
      </c>
      <c r="AC612" t="s">
        <v>10</v>
      </c>
      <c r="AD612" t="s">
        <v>45</v>
      </c>
      <c r="AE612" t="str">
        <f t="shared" si="27"/>
        <v>35-44</v>
      </c>
      <c r="AF612" t="str">
        <f t="shared" si="28"/>
        <v>Low Usage</v>
      </c>
      <c r="AG612" t="str">
        <f t="shared" si="29"/>
        <v>High Loneliness</v>
      </c>
    </row>
    <row r="613" spans="1:33" x14ac:dyDescent="0.3">
      <c r="A613" t="s">
        <v>657</v>
      </c>
      <c r="B613">
        <v>30</v>
      </c>
      <c r="C613" t="s">
        <v>32</v>
      </c>
      <c r="D613" t="s">
        <v>2</v>
      </c>
      <c r="E613" t="s">
        <v>15</v>
      </c>
      <c r="F613" t="s">
        <v>16</v>
      </c>
      <c r="G613" t="s">
        <v>5</v>
      </c>
      <c r="H613" t="s">
        <v>33</v>
      </c>
      <c r="I613" t="s">
        <v>19</v>
      </c>
      <c r="J613" t="s">
        <v>8</v>
      </c>
      <c r="K613" t="s">
        <v>1079</v>
      </c>
      <c r="L613">
        <v>0.97</v>
      </c>
      <c r="M613">
        <v>4.83</v>
      </c>
      <c r="N613">
        <v>3.06</v>
      </c>
      <c r="O613">
        <v>6.07</v>
      </c>
      <c r="P613">
        <v>2</v>
      </c>
      <c r="Q613">
        <v>6.3</v>
      </c>
      <c r="R613">
        <v>7.4</v>
      </c>
      <c r="S613">
        <v>5.4</v>
      </c>
      <c r="T613" t="s">
        <v>10</v>
      </c>
      <c r="U613">
        <v>6.6</v>
      </c>
      <c r="V613">
        <v>4.9000000000000004</v>
      </c>
      <c r="W613">
        <v>4.7</v>
      </c>
      <c r="X613">
        <v>2.9</v>
      </c>
      <c r="Y613">
        <v>5.0999999999999996</v>
      </c>
      <c r="Z613">
        <v>5</v>
      </c>
      <c r="AA613">
        <v>5.5</v>
      </c>
      <c r="AB613" t="s">
        <v>11</v>
      </c>
      <c r="AC613" t="s">
        <v>10</v>
      </c>
      <c r="AD613" t="s">
        <v>12</v>
      </c>
      <c r="AE613" t="str">
        <f t="shared" si="27"/>
        <v>25-34</v>
      </c>
      <c r="AF613" t="str">
        <f t="shared" si="28"/>
        <v>Very Low Usage</v>
      </c>
      <c r="AG613" t="str">
        <f t="shared" si="29"/>
        <v>High Loneliness</v>
      </c>
    </row>
    <row r="614" spans="1:33" x14ac:dyDescent="0.3">
      <c r="A614" t="s">
        <v>658</v>
      </c>
      <c r="B614">
        <v>33</v>
      </c>
      <c r="C614" t="s">
        <v>32</v>
      </c>
      <c r="D614" t="s">
        <v>47</v>
      </c>
      <c r="E614" t="s">
        <v>37</v>
      </c>
      <c r="F614" t="s">
        <v>16</v>
      </c>
      <c r="G614" t="s">
        <v>17</v>
      </c>
      <c r="H614" t="s">
        <v>6</v>
      </c>
      <c r="I614" t="s">
        <v>24</v>
      </c>
      <c r="J614" t="s">
        <v>8</v>
      </c>
      <c r="K614" t="s">
        <v>1079</v>
      </c>
      <c r="L614">
        <v>0.64</v>
      </c>
      <c r="M614">
        <v>3.29</v>
      </c>
      <c r="N614">
        <v>4.59</v>
      </c>
      <c r="O614">
        <v>7.9</v>
      </c>
      <c r="P614">
        <v>6</v>
      </c>
      <c r="Q614">
        <v>4.3</v>
      </c>
      <c r="R614">
        <v>5</v>
      </c>
      <c r="S614">
        <v>8.5</v>
      </c>
      <c r="T614" t="s">
        <v>39</v>
      </c>
      <c r="U614">
        <v>7.2</v>
      </c>
      <c r="V614">
        <v>10</v>
      </c>
      <c r="W614">
        <v>5.4</v>
      </c>
      <c r="X614">
        <v>4.3</v>
      </c>
      <c r="Y614">
        <v>2.1</v>
      </c>
      <c r="Z614">
        <v>3.4</v>
      </c>
      <c r="AA614">
        <v>5.6</v>
      </c>
      <c r="AB614" t="s">
        <v>21</v>
      </c>
      <c r="AC614" t="s">
        <v>10</v>
      </c>
      <c r="AD614" t="s">
        <v>12</v>
      </c>
      <c r="AE614" t="str">
        <f t="shared" si="27"/>
        <v>25-34</v>
      </c>
      <c r="AF614" t="str">
        <f t="shared" si="28"/>
        <v>Very Low Usage</v>
      </c>
      <c r="AG614" t="str">
        <f t="shared" si="29"/>
        <v>Moderate Loneliness</v>
      </c>
    </row>
    <row r="615" spans="1:33" x14ac:dyDescent="0.3">
      <c r="A615" t="s">
        <v>659</v>
      </c>
      <c r="B615">
        <v>19</v>
      </c>
      <c r="C615" t="s">
        <v>32</v>
      </c>
      <c r="D615" t="s">
        <v>14</v>
      </c>
      <c r="E615" t="s">
        <v>37</v>
      </c>
      <c r="F615" t="s">
        <v>12</v>
      </c>
      <c r="G615" t="s">
        <v>17</v>
      </c>
      <c r="H615" t="s">
        <v>18</v>
      </c>
      <c r="I615" t="s">
        <v>24</v>
      </c>
      <c r="J615" t="s">
        <v>20</v>
      </c>
      <c r="K615" t="s">
        <v>1079</v>
      </c>
      <c r="L615">
        <v>0</v>
      </c>
      <c r="M615">
        <v>7.14</v>
      </c>
      <c r="N615">
        <v>1.87</v>
      </c>
      <c r="O615">
        <v>4.13</v>
      </c>
      <c r="P615">
        <v>8</v>
      </c>
      <c r="Q615">
        <v>1</v>
      </c>
      <c r="R615">
        <v>1</v>
      </c>
      <c r="S615">
        <v>10</v>
      </c>
      <c r="T615" t="s">
        <v>10</v>
      </c>
      <c r="U615">
        <v>10</v>
      </c>
      <c r="V615">
        <v>10</v>
      </c>
      <c r="W615">
        <v>7</v>
      </c>
      <c r="X615">
        <v>1</v>
      </c>
      <c r="Y615">
        <v>1</v>
      </c>
      <c r="Z615">
        <v>1.1000000000000001</v>
      </c>
      <c r="AA615">
        <v>10</v>
      </c>
      <c r="AB615" t="s">
        <v>11</v>
      </c>
      <c r="AC615" t="s">
        <v>10</v>
      </c>
      <c r="AD615" t="s">
        <v>12</v>
      </c>
      <c r="AE615" t="str">
        <f t="shared" si="27"/>
        <v>15-19</v>
      </c>
      <c r="AF615" t="str">
        <f t="shared" si="28"/>
        <v>Very Low Usage</v>
      </c>
      <c r="AG615" t="str">
        <f t="shared" si="29"/>
        <v>Low Loneliness</v>
      </c>
    </row>
    <row r="616" spans="1:33" x14ac:dyDescent="0.3">
      <c r="A616" t="s">
        <v>660</v>
      </c>
      <c r="B616">
        <v>36</v>
      </c>
      <c r="C616" t="s">
        <v>32</v>
      </c>
      <c r="D616" t="s">
        <v>14</v>
      </c>
      <c r="E616" t="s">
        <v>3</v>
      </c>
      <c r="F616" t="s">
        <v>12</v>
      </c>
      <c r="G616" t="s">
        <v>17</v>
      </c>
      <c r="H616" t="s">
        <v>18</v>
      </c>
      <c r="I616" t="s">
        <v>29</v>
      </c>
      <c r="J616" t="s">
        <v>51</v>
      </c>
      <c r="K616" t="s">
        <v>1079</v>
      </c>
      <c r="L616">
        <v>0</v>
      </c>
      <c r="M616">
        <v>3.9</v>
      </c>
      <c r="N616">
        <v>3.82</v>
      </c>
      <c r="O616">
        <v>5.57</v>
      </c>
      <c r="P616">
        <v>4</v>
      </c>
      <c r="Q616">
        <v>5</v>
      </c>
      <c r="R616">
        <v>5.5</v>
      </c>
      <c r="S616">
        <v>5.0999999999999996</v>
      </c>
      <c r="T616" t="s">
        <v>10</v>
      </c>
      <c r="U616">
        <v>7.1</v>
      </c>
      <c r="V616">
        <v>5</v>
      </c>
      <c r="W616">
        <v>3.9</v>
      </c>
      <c r="X616">
        <v>4.8</v>
      </c>
      <c r="Y616">
        <v>2.9</v>
      </c>
      <c r="Z616">
        <v>5.5</v>
      </c>
      <c r="AA616">
        <v>8.3000000000000007</v>
      </c>
      <c r="AB616" t="s">
        <v>44</v>
      </c>
      <c r="AC616" t="s">
        <v>10</v>
      </c>
      <c r="AD616" t="s">
        <v>12</v>
      </c>
      <c r="AE616" t="str">
        <f t="shared" si="27"/>
        <v>35-44</v>
      </c>
      <c r="AF616" t="str">
        <f t="shared" si="28"/>
        <v>Very Low Usage</v>
      </c>
      <c r="AG616" t="str">
        <f t="shared" si="29"/>
        <v>Moderate Loneliness</v>
      </c>
    </row>
    <row r="617" spans="1:33" x14ac:dyDescent="0.3">
      <c r="A617" t="s">
        <v>661</v>
      </c>
      <c r="B617">
        <v>39</v>
      </c>
      <c r="C617" t="s">
        <v>32</v>
      </c>
      <c r="D617" t="s">
        <v>2</v>
      </c>
      <c r="E617" t="s">
        <v>15</v>
      </c>
      <c r="F617" t="s">
        <v>16</v>
      </c>
      <c r="G617" t="s">
        <v>43</v>
      </c>
      <c r="H617" t="s">
        <v>28</v>
      </c>
      <c r="I617" t="s">
        <v>35</v>
      </c>
      <c r="J617" t="s">
        <v>8</v>
      </c>
      <c r="K617" t="s">
        <v>53</v>
      </c>
      <c r="L617">
        <v>2.37</v>
      </c>
      <c r="M617">
        <v>3.34</v>
      </c>
      <c r="N617">
        <v>6.14</v>
      </c>
      <c r="O617">
        <v>10.08</v>
      </c>
      <c r="P617">
        <v>3</v>
      </c>
      <c r="Q617">
        <v>7.3</v>
      </c>
      <c r="R617">
        <v>5.7</v>
      </c>
      <c r="S617">
        <v>5.2</v>
      </c>
      <c r="T617" t="s">
        <v>10</v>
      </c>
      <c r="U617">
        <v>6.1</v>
      </c>
      <c r="V617">
        <v>4.7</v>
      </c>
      <c r="W617">
        <v>2.7</v>
      </c>
      <c r="X617">
        <v>6</v>
      </c>
      <c r="Y617">
        <v>4.2</v>
      </c>
      <c r="Z617">
        <v>5.0999999999999996</v>
      </c>
      <c r="AA617">
        <v>2.8</v>
      </c>
      <c r="AB617" t="s">
        <v>44</v>
      </c>
      <c r="AC617" t="s">
        <v>10</v>
      </c>
      <c r="AD617" t="s">
        <v>22</v>
      </c>
      <c r="AE617" t="str">
        <f t="shared" si="27"/>
        <v>35-44</v>
      </c>
      <c r="AF617" t="str">
        <f t="shared" si="28"/>
        <v>Low Usage</v>
      </c>
      <c r="AG617" t="str">
        <f t="shared" si="29"/>
        <v>High Loneliness</v>
      </c>
    </row>
    <row r="618" spans="1:33" x14ac:dyDescent="0.3">
      <c r="A618" t="s">
        <v>662</v>
      </c>
      <c r="B618">
        <v>43</v>
      </c>
      <c r="C618" t="s">
        <v>32</v>
      </c>
      <c r="D618" t="s">
        <v>47</v>
      </c>
      <c r="E618" t="s">
        <v>37</v>
      </c>
      <c r="F618" t="s">
        <v>4</v>
      </c>
      <c r="G618" t="s">
        <v>43</v>
      </c>
      <c r="H618" t="s">
        <v>28</v>
      </c>
      <c r="I618" t="s">
        <v>35</v>
      </c>
      <c r="J618" t="s">
        <v>38</v>
      </c>
      <c r="K618" t="s">
        <v>1079</v>
      </c>
      <c r="L618">
        <v>5.56</v>
      </c>
      <c r="M618">
        <v>1.04</v>
      </c>
      <c r="N618">
        <v>4.24</v>
      </c>
      <c r="O618">
        <v>11.51</v>
      </c>
      <c r="P618">
        <v>0</v>
      </c>
      <c r="Q618">
        <v>10</v>
      </c>
      <c r="R618">
        <v>10</v>
      </c>
      <c r="S618">
        <v>1</v>
      </c>
      <c r="T618" t="s">
        <v>10</v>
      </c>
      <c r="U618">
        <v>5</v>
      </c>
      <c r="V618">
        <v>2.9</v>
      </c>
      <c r="W618">
        <v>0</v>
      </c>
      <c r="X618">
        <v>10</v>
      </c>
      <c r="Y618">
        <v>10</v>
      </c>
      <c r="Z618">
        <v>10</v>
      </c>
      <c r="AA618">
        <v>1</v>
      </c>
      <c r="AB618" t="s">
        <v>44</v>
      </c>
      <c r="AC618" t="s">
        <v>10</v>
      </c>
      <c r="AD618" t="s">
        <v>45</v>
      </c>
      <c r="AE618" t="str">
        <f t="shared" si="27"/>
        <v>35-44</v>
      </c>
      <c r="AF618" t="str">
        <f t="shared" si="28"/>
        <v>High Usage</v>
      </c>
      <c r="AG618" t="str">
        <f t="shared" si="29"/>
        <v>High Loneliness</v>
      </c>
    </row>
    <row r="619" spans="1:33" x14ac:dyDescent="0.3">
      <c r="A619" t="s">
        <v>663</v>
      </c>
      <c r="B619">
        <v>28</v>
      </c>
      <c r="C619" t="s">
        <v>32</v>
      </c>
      <c r="D619" t="s">
        <v>14</v>
      </c>
      <c r="E619" t="s">
        <v>37</v>
      </c>
      <c r="F619" t="s">
        <v>4</v>
      </c>
      <c r="G619" t="s">
        <v>5</v>
      </c>
      <c r="H619" t="s">
        <v>28</v>
      </c>
      <c r="I619" t="s">
        <v>29</v>
      </c>
      <c r="J619" t="s">
        <v>51</v>
      </c>
      <c r="K619" t="s">
        <v>53</v>
      </c>
      <c r="L619">
        <v>0.84</v>
      </c>
      <c r="M619">
        <v>3.49</v>
      </c>
      <c r="N619">
        <v>2.73</v>
      </c>
      <c r="O619">
        <v>6.1</v>
      </c>
      <c r="P619">
        <v>7</v>
      </c>
      <c r="Q619">
        <v>3.5</v>
      </c>
      <c r="R619">
        <v>4.2</v>
      </c>
      <c r="S619">
        <v>7.6</v>
      </c>
      <c r="T619" t="s">
        <v>10</v>
      </c>
      <c r="U619">
        <v>7.2</v>
      </c>
      <c r="V619">
        <v>7.7</v>
      </c>
      <c r="W619">
        <v>5.5</v>
      </c>
      <c r="X619">
        <v>4.5999999999999996</v>
      </c>
      <c r="Y619">
        <v>2</v>
      </c>
      <c r="Z619">
        <v>6.4</v>
      </c>
      <c r="AA619">
        <v>6</v>
      </c>
      <c r="AB619" t="s">
        <v>44</v>
      </c>
      <c r="AC619" t="s">
        <v>39</v>
      </c>
      <c r="AD619" t="s">
        <v>12</v>
      </c>
      <c r="AE619" t="str">
        <f t="shared" si="27"/>
        <v>25-34</v>
      </c>
      <c r="AF619" t="str">
        <f t="shared" si="28"/>
        <v>Very Low Usage</v>
      </c>
      <c r="AG619" t="str">
        <f t="shared" si="29"/>
        <v>Moderate Loneliness</v>
      </c>
    </row>
    <row r="620" spans="1:33" x14ac:dyDescent="0.3">
      <c r="A620" t="s">
        <v>664</v>
      </c>
      <c r="B620">
        <v>42</v>
      </c>
      <c r="C620" t="s">
        <v>32</v>
      </c>
      <c r="D620" t="s">
        <v>14</v>
      </c>
      <c r="E620" t="s">
        <v>37</v>
      </c>
      <c r="F620" t="s">
        <v>12</v>
      </c>
      <c r="G620" t="s">
        <v>17</v>
      </c>
      <c r="H620" t="s">
        <v>28</v>
      </c>
      <c r="I620" t="s">
        <v>7</v>
      </c>
      <c r="J620" t="s">
        <v>8</v>
      </c>
      <c r="K620" t="s">
        <v>53</v>
      </c>
      <c r="L620">
        <v>0.84</v>
      </c>
      <c r="M620">
        <v>6.19</v>
      </c>
      <c r="N620">
        <v>1.91</v>
      </c>
      <c r="O620">
        <v>5.22</v>
      </c>
      <c r="P620">
        <v>5</v>
      </c>
      <c r="Q620">
        <v>4.3</v>
      </c>
      <c r="R620">
        <v>4.2</v>
      </c>
      <c r="S620">
        <v>9.6</v>
      </c>
      <c r="T620" t="s">
        <v>10</v>
      </c>
      <c r="U620">
        <v>7.4</v>
      </c>
      <c r="V620">
        <v>9.6999999999999993</v>
      </c>
      <c r="W620">
        <v>6.1</v>
      </c>
      <c r="X620">
        <v>3.8</v>
      </c>
      <c r="Y620">
        <v>3.8</v>
      </c>
      <c r="Z620">
        <v>3.1</v>
      </c>
      <c r="AA620">
        <v>6</v>
      </c>
      <c r="AB620" t="s">
        <v>21</v>
      </c>
      <c r="AC620" t="s">
        <v>10</v>
      </c>
      <c r="AD620" t="s">
        <v>12</v>
      </c>
      <c r="AE620" t="str">
        <f t="shared" si="27"/>
        <v>35-44</v>
      </c>
      <c r="AF620" t="str">
        <f t="shared" si="28"/>
        <v>Very Low Usage</v>
      </c>
      <c r="AG620" t="str">
        <f t="shared" si="29"/>
        <v>Moderate Loneliness</v>
      </c>
    </row>
    <row r="621" spans="1:33" x14ac:dyDescent="0.3">
      <c r="A621" t="s">
        <v>665</v>
      </c>
      <c r="B621">
        <v>19</v>
      </c>
      <c r="C621" t="s">
        <v>1</v>
      </c>
      <c r="D621" t="s">
        <v>14</v>
      </c>
      <c r="E621" t="s">
        <v>59</v>
      </c>
      <c r="F621" t="s">
        <v>4</v>
      </c>
      <c r="G621" t="s">
        <v>17</v>
      </c>
      <c r="H621" t="s">
        <v>33</v>
      </c>
      <c r="I621" t="s">
        <v>19</v>
      </c>
      <c r="J621" t="s">
        <v>48</v>
      </c>
      <c r="K621" t="s">
        <v>9</v>
      </c>
      <c r="L621">
        <v>2.2999999999999998</v>
      </c>
      <c r="M621">
        <v>5.53</v>
      </c>
      <c r="N621">
        <v>1.05</v>
      </c>
      <c r="O621">
        <v>7.45</v>
      </c>
      <c r="P621">
        <v>3</v>
      </c>
      <c r="Q621">
        <v>6</v>
      </c>
      <c r="R621">
        <v>6.3</v>
      </c>
      <c r="S621">
        <v>6.4</v>
      </c>
      <c r="T621" t="s">
        <v>39</v>
      </c>
      <c r="U621">
        <v>7.6</v>
      </c>
      <c r="V621">
        <v>5.6</v>
      </c>
      <c r="W621">
        <v>1.9</v>
      </c>
      <c r="X621">
        <v>6.7</v>
      </c>
      <c r="Y621">
        <v>4.2</v>
      </c>
      <c r="Z621">
        <v>4.7</v>
      </c>
      <c r="AA621">
        <v>4.4000000000000004</v>
      </c>
      <c r="AB621" t="s">
        <v>21</v>
      </c>
      <c r="AC621" t="s">
        <v>39</v>
      </c>
      <c r="AD621" t="s">
        <v>22</v>
      </c>
      <c r="AE621" t="str">
        <f t="shared" si="27"/>
        <v>15-19</v>
      </c>
      <c r="AF621" t="str">
        <f t="shared" si="28"/>
        <v>Low Usage</v>
      </c>
      <c r="AG621" t="str">
        <f t="shared" si="29"/>
        <v>Moderate Loneliness</v>
      </c>
    </row>
    <row r="622" spans="1:33" x14ac:dyDescent="0.3">
      <c r="A622" t="s">
        <v>666</v>
      </c>
      <c r="B622">
        <v>29</v>
      </c>
      <c r="C622" t="s">
        <v>32</v>
      </c>
      <c r="D622" t="s">
        <v>14</v>
      </c>
      <c r="E622" t="s">
        <v>3</v>
      </c>
      <c r="F622" t="s">
        <v>16</v>
      </c>
      <c r="G622" t="s">
        <v>43</v>
      </c>
      <c r="H622" t="s">
        <v>33</v>
      </c>
      <c r="I622" t="s">
        <v>19</v>
      </c>
      <c r="J622" t="s">
        <v>20</v>
      </c>
      <c r="K622" t="s">
        <v>30</v>
      </c>
      <c r="L622">
        <v>0.89</v>
      </c>
      <c r="M622">
        <v>4.83</v>
      </c>
      <c r="N622">
        <v>2.71</v>
      </c>
      <c r="O622">
        <v>4.0599999999999996</v>
      </c>
      <c r="P622">
        <v>2</v>
      </c>
      <c r="Q622">
        <v>5.9</v>
      </c>
      <c r="R622">
        <v>4.5999999999999996</v>
      </c>
      <c r="S622">
        <v>8.1</v>
      </c>
      <c r="T622" t="s">
        <v>10</v>
      </c>
      <c r="U622">
        <v>8.1</v>
      </c>
      <c r="V622">
        <v>6.4</v>
      </c>
      <c r="W622">
        <v>2.6</v>
      </c>
      <c r="X622">
        <v>3.1</v>
      </c>
      <c r="Y622">
        <v>4.0999999999999996</v>
      </c>
      <c r="Z622">
        <v>4.5999999999999996</v>
      </c>
      <c r="AA622">
        <v>8.3000000000000007</v>
      </c>
      <c r="AB622" t="s">
        <v>21</v>
      </c>
      <c r="AC622" t="s">
        <v>10</v>
      </c>
      <c r="AD622" t="s">
        <v>12</v>
      </c>
      <c r="AE622" t="str">
        <f t="shared" si="27"/>
        <v>25-34</v>
      </c>
      <c r="AF622" t="str">
        <f t="shared" si="28"/>
        <v>Very Low Usage</v>
      </c>
      <c r="AG622" t="str">
        <f t="shared" si="29"/>
        <v>Moderate Loneliness</v>
      </c>
    </row>
    <row r="623" spans="1:33" x14ac:dyDescent="0.3">
      <c r="A623" t="s">
        <v>667</v>
      </c>
      <c r="B623">
        <v>31</v>
      </c>
      <c r="C623" t="s">
        <v>32</v>
      </c>
      <c r="D623" t="s">
        <v>2</v>
      </c>
      <c r="E623" t="s">
        <v>15</v>
      </c>
      <c r="F623" t="s">
        <v>45</v>
      </c>
      <c r="G623" t="s">
        <v>5</v>
      </c>
      <c r="H623" t="s">
        <v>28</v>
      </c>
      <c r="I623" t="s">
        <v>29</v>
      </c>
      <c r="J623" t="s">
        <v>20</v>
      </c>
      <c r="K623" t="s">
        <v>30</v>
      </c>
      <c r="L623">
        <v>3.74</v>
      </c>
      <c r="M623">
        <v>3.2</v>
      </c>
      <c r="N623">
        <v>3.28</v>
      </c>
      <c r="O623">
        <v>10.79</v>
      </c>
      <c r="P623">
        <v>4</v>
      </c>
      <c r="Q623">
        <v>5.6</v>
      </c>
      <c r="R623">
        <v>10</v>
      </c>
      <c r="S623">
        <v>3</v>
      </c>
      <c r="T623" t="s">
        <v>10</v>
      </c>
      <c r="U623">
        <v>5.2</v>
      </c>
      <c r="V623">
        <v>3.3</v>
      </c>
      <c r="W623">
        <v>3</v>
      </c>
      <c r="X623">
        <v>6.3</v>
      </c>
      <c r="Y623">
        <v>6.7</v>
      </c>
      <c r="Z623">
        <v>8.8000000000000007</v>
      </c>
      <c r="AA623">
        <v>5.7</v>
      </c>
      <c r="AB623" t="s">
        <v>44</v>
      </c>
      <c r="AC623" t="s">
        <v>39</v>
      </c>
      <c r="AD623" t="s">
        <v>45</v>
      </c>
      <c r="AE623" t="str">
        <f t="shared" si="27"/>
        <v>25-34</v>
      </c>
      <c r="AF623" t="str">
        <f t="shared" si="28"/>
        <v>Moderate Usage</v>
      </c>
      <c r="AG623" t="str">
        <f t="shared" si="29"/>
        <v>Moderate Loneliness</v>
      </c>
    </row>
    <row r="624" spans="1:33" x14ac:dyDescent="0.3">
      <c r="A624" t="s">
        <v>668</v>
      </c>
      <c r="B624">
        <v>44</v>
      </c>
      <c r="C624" t="s">
        <v>1</v>
      </c>
      <c r="D624" t="s">
        <v>47</v>
      </c>
      <c r="E624" t="s">
        <v>37</v>
      </c>
      <c r="F624" t="s">
        <v>4</v>
      </c>
      <c r="G624" t="s">
        <v>17</v>
      </c>
      <c r="H624" t="s">
        <v>6</v>
      </c>
      <c r="I624" t="s">
        <v>24</v>
      </c>
      <c r="J624" t="s">
        <v>51</v>
      </c>
      <c r="K624" t="s">
        <v>1079</v>
      </c>
      <c r="L624">
        <v>1.62</v>
      </c>
      <c r="M624">
        <v>5.0199999999999996</v>
      </c>
      <c r="N624">
        <v>3.23</v>
      </c>
      <c r="O624">
        <v>6.64</v>
      </c>
      <c r="P624">
        <v>7</v>
      </c>
      <c r="Q624">
        <v>3.3</v>
      </c>
      <c r="R624">
        <v>2.4</v>
      </c>
      <c r="S624">
        <v>8.1999999999999993</v>
      </c>
      <c r="T624" t="s">
        <v>10</v>
      </c>
      <c r="U624">
        <v>8.5</v>
      </c>
      <c r="V624">
        <v>7.3</v>
      </c>
      <c r="W624">
        <v>5.5</v>
      </c>
      <c r="X624">
        <v>3.4</v>
      </c>
      <c r="Y624">
        <v>1</v>
      </c>
      <c r="Z624">
        <v>3.1</v>
      </c>
      <c r="AA624">
        <v>6.3</v>
      </c>
      <c r="AB624" t="s">
        <v>21</v>
      </c>
      <c r="AC624" t="s">
        <v>10</v>
      </c>
      <c r="AD624" t="s">
        <v>12</v>
      </c>
      <c r="AE624" t="str">
        <f t="shared" si="27"/>
        <v>35-44</v>
      </c>
      <c r="AF624" t="str">
        <f t="shared" si="28"/>
        <v>Low Usage</v>
      </c>
      <c r="AG624" t="str">
        <f t="shared" si="29"/>
        <v>Moderate Loneliness</v>
      </c>
    </row>
    <row r="625" spans="1:33" x14ac:dyDescent="0.3">
      <c r="A625" t="s">
        <v>669</v>
      </c>
      <c r="B625">
        <v>28</v>
      </c>
      <c r="C625" t="s">
        <v>32</v>
      </c>
      <c r="D625" t="s">
        <v>2</v>
      </c>
      <c r="E625" t="s">
        <v>37</v>
      </c>
      <c r="F625" t="s">
        <v>4</v>
      </c>
      <c r="G625" t="s">
        <v>5</v>
      </c>
      <c r="H625" t="s">
        <v>28</v>
      </c>
      <c r="I625" t="s">
        <v>24</v>
      </c>
      <c r="J625" t="s">
        <v>38</v>
      </c>
      <c r="K625" t="s">
        <v>9</v>
      </c>
      <c r="L625">
        <v>0</v>
      </c>
      <c r="M625">
        <v>5.24</v>
      </c>
      <c r="N625">
        <v>1.86</v>
      </c>
      <c r="O625">
        <v>3.77</v>
      </c>
      <c r="P625">
        <v>4</v>
      </c>
      <c r="Q625">
        <v>3.6</v>
      </c>
      <c r="R625">
        <v>5.0999999999999996</v>
      </c>
      <c r="S625">
        <v>7.4</v>
      </c>
      <c r="T625" t="s">
        <v>10</v>
      </c>
      <c r="U625">
        <v>7.9</v>
      </c>
      <c r="V625">
        <v>5.3</v>
      </c>
      <c r="W625">
        <v>5.4</v>
      </c>
      <c r="X625">
        <v>4.8</v>
      </c>
      <c r="Y625">
        <v>3.5</v>
      </c>
      <c r="Z625">
        <v>6.8</v>
      </c>
      <c r="AA625">
        <v>7</v>
      </c>
      <c r="AB625" t="s">
        <v>21</v>
      </c>
      <c r="AC625" t="s">
        <v>39</v>
      </c>
      <c r="AD625" t="s">
        <v>12</v>
      </c>
      <c r="AE625" t="str">
        <f t="shared" si="27"/>
        <v>25-34</v>
      </c>
      <c r="AF625" t="str">
        <f t="shared" si="28"/>
        <v>Very Low Usage</v>
      </c>
      <c r="AG625" t="str">
        <f t="shared" si="29"/>
        <v>Moderate Loneliness</v>
      </c>
    </row>
    <row r="626" spans="1:33" x14ac:dyDescent="0.3">
      <c r="A626" t="s">
        <v>670</v>
      </c>
      <c r="B626">
        <v>44</v>
      </c>
      <c r="C626" t="s">
        <v>1</v>
      </c>
      <c r="D626" t="s">
        <v>2</v>
      </c>
      <c r="E626" t="s">
        <v>3</v>
      </c>
      <c r="F626" t="s">
        <v>12</v>
      </c>
      <c r="G626" t="s">
        <v>17</v>
      </c>
      <c r="H626" t="s">
        <v>28</v>
      </c>
      <c r="I626" t="s">
        <v>19</v>
      </c>
      <c r="J626" t="s">
        <v>8</v>
      </c>
      <c r="K626" t="s">
        <v>30</v>
      </c>
      <c r="L626">
        <v>2.36</v>
      </c>
      <c r="M626">
        <v>0.59</v>
      </c>
      <c r="N626">
        <v>2.92</v>
      </c>
      <c r="O626">
        <v>8.15</v>
      </c>
      <c r="P626">
        <v>1</v>
      </c>
      <c r="Q626">
        <v>6.3</v>
      </c>
      <c r="R626">
        <v>7.7</v>
      </c>
      <c r="S626">
        <v>3.9</v>
      </c>
      <c r="T626" t="s">
        <v>10</v>
      </c>
      <c r="U626">
        <v>6.3</v>
      </c>
      <c r="V626">
        <v>4.0999999999999996</v>
      </c>
      <c r="W626">
        <v>5.0999999999999996</v>
      </c>
      <c r="X626">
        <v>6.9</v>
      </c>
      <c r="Y626">
        <v>6.6</v>
      </c>
      <c r="Z626">
        <v>5.2</v>
      </c>
      <c r="AA626">
        <v>3.2</v>
      </c>
      <c r="AB626" t="s">
        <v>21</v>
      </c>
      <c r="AC626" t="s">
        <v>10</v>
      </c>
      <c r="AD626" t="s">
        <v>45</v>
      </c>
      <c r="AE626" t="str">
        <f t="shared" si="27"/>
        <v>35-44</v>
      </c>
      <c r="AF626" t="str">
        <f t="shared" si="28"/>
        <v>Low Usage</v>
      </c>
      <c r="AG626" t="str">
        <f t="shared" si="29"/>
        <v>High Loneliness</v>
      </c>
    </row>
    <row r="627" spans="1:33" x14ac:dyDescent="0.3">
      <c r="A627" t="s">
        <v>671</v>
      </c>
      <c r="B627">
        <v>34</v>
      </c>
      <c r="C627" t="s">
        <v>1</v>
      </c>
      <c r="D627" t="s">
        <v>14</v>
      </c>
      <c r="E627" t="s">
        <v>37</v>
      </c>
      <c r="F627" t="s">
        <v>4</v>
      </c>
      <c r="G627" t="s">
        <v>17</v>
      </c>
      <c r="H627" t="s">
        <v>28</v>
      </c>
      <c r="I627" t="s">
        <v>24</v>
      </c>
      <c r="J627" t="s">
        <v>20</v>
      </c>
      <c r="K627" t="s">
        <v>25</v>
      </c>
      <c r="L627">
        <v>3.76</v>
      </c>
      <c r="M627">
        <v>3.66</v>
      </c>
      <c r="N627">
        <v>4.34</v>
      </c>
      <c r="O627">
        <v>10.96</v>
      </c>
      <c r="P627">
        <v>6</v>
      </c>
      <c r="Q627">
        <v>6.4</v>
      </c>
      <c r="R627">
        <v>5.8</v>
      </c>
      <c r="S627">
        <v>6.3</v>
      </c>
      <c r="T627" t="s">
        <v>10</v>
      </c>
      <c r="U627">
        <v>5.5</v>
      </c>
      <c r="V627">
        <v>4.5</v>
      </c>
      <c r="W627">
        <v>2</v>
      </c>
      <c r="X627">
        <v>3.6</v>
      </c>
      <c r="Y627">
        <v>3.5</v>
      </c>
      <c r="Z627">
        <v>5.7</v>
      </c>
      <c r="AA627">
        <v>4.5999999999999996</v>
      </c>
      <c r="AB627" t="s">
        <v>44</v>
      </c>
      <c r="AC627" t="s">
        <v>10</v>
      </c>
      <c r="AD627" t="s">
        <v>22</v>
      </c>
      <c r="AE627" t="str">
        <f t="shared" si="27"/>
        <v>25-34</v>
      </c>
      <c r="AF627" t="str">
        <f t="shared" si="28"/>
        <v>Moderate Usage</v>
      </c>
      <c r="AG627" t="str">
        <f t="shared" si="29"/>
        <v>High Loneliness</v>
      </c>
    </row>
    <row r="628" spans="1:33" x14ac:dyDescent="0.3">
      <c r="A628" t="s">
        <v>672</v>
      </c>
      <c r="B628">
        <v>19</v>
      </c>
      <c r="C628" t="s">
        <v>32</v>
      </c>
      <c r="D628" t="s">
        <v>58</v>
      </c>
      <c r="E628" t="s">
        <v>37</v>
      </c>
      <c r="F628" t="s">
        <v>4</v>
      </c>
      <c r="G628" t="s">
        <v>5</v>
      </c>
      <c r="H628" t="s">
        <v>28</v>
      </c>
      <c r="I628" t="s">
        <v>24</v>
      </c>
      <c r="J628" t="s">
        <v>20</v>
      </c>
      <c r="K628" t="s">
        <v>1079</v>
      </c>
      <c r="L628">
        <v>3.15</v>
      </c>
      <c r="M628">
        <v>2.15</v>
      </c>
      <c r="N628">
        <v>3.6</v>
      </c>
      <c r="O628">
        <v>9.9</v>
      </c>
      <c r="P628">
        <v>2</v>
      </c>
      <c r="Q628">
        <v>5.8</v>
      </c>
      <c r="R628">
        <v>7.9</v>
      </c>
      <c r="S628">
        <v>4.3</v>
      </c>
      <c r="T628" t="s">
        <v>10</v>
      </c>
      <c r="U628">
        <v>6.4</v>
      </c>
      <c r="V628">
        <v>5.3</v>
      </c>
      <c r="W628">
        <v>2.5</v>
      </c>
      <c r="X628">
        <v>5.4</v>
      </c>
      <c r="Y628">
        <v>9.1999999999999993</v>
      </c>
      <c r="Z628">
        <v>4.9000000000000004</v>
      </c>
      <c r="AA628">
        <v>1.3</v>
      </c>
      <c r="AB628" t="s">
        <v>44</v>
      </c>
      <c r="AC628" t="s">
        <v>39</v>
      </c>
      <c r="AD628" t="s">
        <v>45</v>
      </c>
      <c r="AE628" t="str">
        <f t="shared" si="27"/>
        <v>15-19</v>
      </c>
      <c r="AF628" t="str">
        <f t="shared" si="28"/>
        <v>Moderate Usage</v>
      </c>
      <c r="AG628" t="str">
        <f t="shared" si="29"/>
        <v>Moderate Loneliness</v>
      </c>
    </row>
    <row r="629" spans="1:33" x14ac:dyDescent="0.3">
      <c r="A629" t="s">
        <v>673</v>
      </c>
      <c r="B629">
        <v>26</v>
      </c>
      <c r="C629" t="s">
        <v>1</v>
      </c>
      <c r="D629" t="s">
        <v>2</v>
      </c>
      <c r="E629" t="s">
        <v>3</v>
      </c>
      <c r="F629" t="s">
        <v>16</v>
      </c>
      <c r="G629" t="s">
        <v>17</v>
      </c>
      <c r="H629" t="s">
        <v>28</v>
      </c>
      <c r="I629" t="s">
        <v>24</v>
      </c>
      <c r="J629" t="s">
        <v>8</v>
      </c>
      <c r="K629" t="s">
        <v>9</v>
      </c>
      <c r="L629">
        <v>0.9</v>
      </c>
      <c r="M629">
        <v>4.63</v>
      </c>
      <c r="N629">
        <v>3.23</v>
      </c>
      <c r="O629">
        <v>7.51</v>
      </c>
      <c r="P629">
        <v>4</v>
      </c>
      <c r="Q629">
        <v>4.2</v>
      </c>
      <c r="R629">
        <v>4</v>
      </c>
      <c r="S629">
        <v>7.8</v>
      </c>
      <c r="T629" t="s">
        <v>10</v>
      </c>
      <c r="U629">
        <v>7</v>
      </c>
      <c r="V629">
        <v>9.1</v>
      </c>
      <c r="W629">
        <v>3</v>
      </c>
      <c r="X629">
        <v>3.4</v>
      </c>
      <c r="Y629">
        <v>4.0999999999999996</v>
      </c>
      <c r="Z629">
        <v>3.1</v>
      </c>
      <c r="AA629">
        <v>9.4</v>
      </c>
      <c r="AB629" t="s">
        <v>21</v>
      </c>
      <c r="AC629" t="s">
        <v>10</v>
      </c>
      <c r="AD629" t="s">
        <v>12</v>
      </c>
      <c r="AE629" t="str">
        <f t="shared" si="27"/>
        <v>25-34</v>
      </c>
      <c r="AF629" t="str">
        <f t="shared" si="28"/>
        <v>Very Low Usage</v>
      </c>
      <c r="AG629" t="str">
        <f t="shared" si="29"/>
        <v>Moderate Loneliness</v>
      </c>
    </row>
    <row r="630" spans="1:33" x14ac:dyDescent="0.3">
      <c r="A630" t="s">
        <v>674</v>
      </c>
      <c r="B630">
        <v>30</v>
      </c>
      <c r="C630" t="s">
        <v>32</v>
      </c>
      <c r="D630" t="s">
        <v>41</v>
      </c>
      <c r="E630" t="s">
        <v>37</v>
      </c>
      <c r="F630" t="s">
        <v>4</v>
      </c>
      <c r="G630" t="s">
        <v>66</v>
      </c>
      <c r="H630" t="s">
        <v>18</v>
      </c>
      <c r="I630" t="s">
        <v>29</v>
      </c>
      <c r="J630" t="s">
        <v>8</v>
      </c>
      <c r="K630" t="s">
        <v>25</v>
      </c>
      <c r="L630">
        <v>2.94</v>
      </c>
      <c r="M630">
        <v>3.7</v>
      </c>
      <c r="N630">
        <v>4.1900000000000004</v>
      </c>
      <c r="O630">
        <v>9.08</v>
      </c>
      <c r="P630">
        <v>2</v>
      </c>
      <c r="Q630">
        <v>7.8</v>
      </c>
      <c r="R630">
        <v>6.7</v>
      </c>
      <c r="S630">
        <v>2.1</v>
      </c>
      <c r="T630" t="s">
        <v>39</v>
      </c>
      <c r="U630">
        <v>6.6</v>
      </c>
      <c r="V630">
        <v>4.5</v>
      </c>
      <c r="W630">
        <v>1.1000000000000001</v>
      </c>
      <c r="X630">
        <v>4.9000000000000004</v>
      </c>
      <c r="Y630">
        <v>7.6</v>
      </c>
      <c r="Z630">
        <v>6.9</v>
      </c>
      <c r="AA630">
        <v>4.9000000000000004</v>
      </c>
      <c r="AB630" t="s">
        <v>44</v>
      </c>
      <c r="AC630" t="s">
        <v>10</v>
      </c>
      <c r="AD630" t="s">
        <v>45</v>
      </c>
      <c r="AE630" t="str">
        <f t="shared" si="27"/>
        <v>25-34</v>
      </c>
      <c r="AF630" t="str">
        <f t="shared" si="28"/>
        <v>Moderate Usage</v>
      </c>
      <c r="AG630" t="str">
        <f t="shared" si="29"/>
        <v>High Loneliness</v>
      </c>
    </row>
    <row r="631" spans="1:33" x14ac:dyDescent="0.3">
      <c r="A631" t="s">
        <v>675</v>
      </c>
      <c r="B631">
        <v>40</v>
      </c>
      <c r="C631" t="s">
        <v>32</v>
      </c>
      <c r="D631" t="s">
        <v>2</v>
      </c>
      <c r="E631" t="s">
        <v>59</v>
      </c>
      <c r="F631" t="s">
        <v>12</v>
      </c>
      <c r="G631" t="s">
        <v>17</v>
      </c>
      <c r="H631" t="s">
        <v>18</v>
      </c>
      <c r="I631" t="s">
        <v>7</v>
      </c>
      <c r="J631" t="s">
        <v>8</v>
      </c>
      <c r="K631" t="s">
        <v>25</v>
      </c>
      <c r="L631">
        <v>0.36</v>
      </c>
      <c r="M631">
        <v>5.85</v>
      </c>
      <c r="N631">
        <v>1.27</v>
      </c>
      <c r="O631">
        <v>5.0199999999999996</v>
      </c>
      <c r="P631">
        <v>7</v>
      </c>
      <c r="Q631">
        <v>1</v>
      </c>
      <c r="R631">
        <v>1</v>
      </c>
      <c r="S631">
        <v>10</v>
      </c>
      <c r="T631" t="s">
        <v>10</v>
      </c>
      <c r="U631">
        <v>8.6999999999999993</v>
      </c>
      <c r="V631">
        <v>8.6999999999999993</v>
      </c>
      <c r="W631">
        <v>5.4</v>
      </c>
      <c r="X631">
        <v>1.5</v>
      </c>
      <c r="Y631">
        <v>1.6</v>
      </c>
      <c r="Z631">
        <v>2.5</v>
      </c>
      <c r="AA631">
        <v>8.4</v>
      </c>
      <c r="AB631" t="s">
        <v>11</v>
      </c>
      <c r="AC631" t="s">
        <v>10</v>
      </c>
      <c r="AD631" t="s">
        <v>12</v>
      </c>
      <c r="AE631" t="str">
        <f t="shared" si="27"/>
        <v>35-44</v>
      </c>
      <c r="AF631" t="str">
        <f t="shared" si="28"/>
        <v>Very Low Usage</v>
      </c>
      <c r="AG631" t="str">
        <f t="shared" si="29"/>
        <v>Low Loneliness</v>
      </c>
    </row>
    <row r="632" spans="1:33" x14ac:dyDescent="0.3">
      <c r="A632" t="s">
        <v>676</v>
      </c>
      <c r="B632">
        <v>40</v>
      </c>
      <c r="C632" t="s">
        <v>32</v>
      </c>
      <c r="D632" t="s">
        <v>14</v>
      </c>
      <c r="E632" t="s">
        <v>3</v>
      </c>
      <c r="F632" t="s">
        <v>12</v>
      </c>
      <c r="G632" t="s">
        <v>17</v>
      </c>
      <c r="H632" t="s">
        <v>6</v>
      </c>
      <c r="I632" t="s">
        <v>19</v>
      </c>
      <c r="J632" t="s">
        <v>48</v>
      </c>
      <c r="K632" t="s">
        <v>53</v>
      </c>
      <c r="L632">
        <v>0</v>
      </c>
      <c r="M632">
        <v>5.43</v>
      </c>
      <c r="N632">
        <v>0.63</v>
      </c>
      <c r="O632">
        <v>2</v>
      </c>
      <c r="P632">
        <v>6</v>
      </c>
      <c r="Q632">
        <v>1.6</v>
      </c>
      <c r="R632">
        <v>1.5</v>
      </c>
      <c r="S632">
        <v>9.8000000000000007</v>
      </c>
      <c r="T632" t="s">
        <v>10</v>
      </c>
      <c r="U632">
        <v>9.3000000000000007</v>
      </c>
      <c r="V632">
        <v>10</v>
      </c>
      <c r="W632">
        <v>8.1</v>
      </c>
      <c r="X632">
        <v>1.2</v>
      </c>
      <c r="Y632">
        <v>1</v>
      </c>
      <c r="Z632">
        <v>3.7</v>
      </c>
      <c r="AA632">
        <v>9.4</v>
      </c>
      <c r="AB632" t="s">
        <v>21</v>
      </c>
      <c r="AC632" t="s">
        <v>39</v>
      </c>
      <c r="AD632" t="s">
        <v>12</v>
      </c>
      <c r="AE632" t="str">
        <f t="shared" si="27"/>
        <v>35-44</v>
      </c>
      <c r="AF632" t="str">
        <f t="shared" si="28"/>
        <v>Very Low Usage</v>
      </c>
      <c r="AG632" t="str">
        <f t="shared" si="29"/>
        <v>Low Loneliness</v>
      </c>
    </row>
    <row r="633" spans="1:33" x14ac:dyDescent="0.3">
      <c r="A633" t="s">
        <v>677</v>
      </c>
      <c r="B633">
        <v>30</v>
      </c>
      <c r="C633" t="s">
        <v>1</v>
      </c>
      <c r="D633" t="s">
        <v>2</v>
      </c>
      <c r="E633" t="s">
        <v>15</v>
      </c>
      <c r="F633" t="s">
        <v>4</v>
      </c>
      <c r="G633" t="s">
        <v>17</v>
      </c>
      <c r="H633" t="s">
        <v>28</v>
      </c>
      <c r="I633" t="s">
        <v>29</v>
      </c>
      <c r="J633" t="s">
        <v>20</v>
      </c>
      <c r="K633" t="s">
        <v>53</v>
      </c>
      <c r="L633">
        <v>3.9</v>
      </c>
      <c r="M633">
        <v>1.19</v>
      </c>
      <c r="N633">
        <v>4.28</v>
      </c>
      <c r="O633">
        <v>9.8800000000000008</v>
      </c>
      <c r="P633">
        <v>0</v>
      </c>
      <c r="Q633">
        <v>6.9</v>
      </c>
      <c r="R633">
        <v>8</v>
      </c>
      <c r="S633">
        <v>3.3</v>
      </c>
      <c r="T633" t="s">
        <v>10</v>
      </c>
      <c r="U633">
        <v>5.0999999999999996</v>
      </c>
      <c r="V633">
        <v>4.2</v>
      </c>
      <c r="W633">
        <v>4.0999999999999996</v>
      </c>
      <c r="X633">
        <v>6</v>
      </c>
      <c r="Y633">
        <v>7.5</v>
      </c>
      <c r="Z633">
        <v>6.3</v>
      </c>
      <c r="AA633">
        <v>3.1</v>
      </c>
      <c r="AB633" t="s">
        <v>21</v>
      </c>
      <c r="AC633" t="s">
        <v>39</v>
      </c>
      <c r="AD633" t="s">
        <v>45</v>
      </c>
      <c r="AE633" t="str">
        <f t="shared" si="27"/>
        <v>25-34</v>
      </c>
      <c r="AF633" t="str">
        <f t="shared" si="28"/>
        <v>Moderate Usage</v>
      </c>
      <c r="AG633" t="str">
        <f t="shared" si="29"/>
        <v>High Loneliness</v>
      </c>
    </row>
    <row r="634" spans="1:33" x14ac:dyDescent="0.3">
      <c r="A634" t="s">
        <v>678</v>
      </c>
      <c r="B634">
        <v>35</v>
      </c>
      <c r="C634" t="s">
        <v>1</v>
      </c>
      <c r="D634" t="s">
        <v>14</v>
      </c>
      <c r="E634" t="s">
        <v>37</v>
      </c>
      <c r="F634" t="s">
        <v>12</v>
      </c>
      <c r="G634" t="s">
        <v>43</v>
      </c>
      <c r="H634" t="s">
        <v>28</v>
      </c>
      <c r="I634" t="s">
        <v>29</v>
      </c>
      <c r="J634" t="s">
        <v>8</v>
      </c>
      <c r="K634" t="s">
        <v>1079</v>
      </c>
      <c r="L634">
        <v>1.29</v>
      </c>
      <c r="M634">
        <v>3.88</v>
      </c>
      <c r="N634">
        <v>2.38</v>
      </c>
      <c r="O634">
        <v>5.48</v>
      </c>
      <c r="P634">
        <v>4</v>
      </c>
      <c r="Q634">
        <v>7.7</v>
      </c>
      <c r="R634">
        <v>2.2999999999999998</v>
      </c>
      <c r="S634">
        <v>5.9</v>
      </c>
      <c r="T634" t="s">
        <v>10</v>
      </c>
      <c r="U634">
        <v>8.9</v>
      </c>
      <c r="V634">
        <v>7.7</v>
      </c>
      <c r="W634">
        <v>3.9</v>
      </c>
      <c r="X634">
        <v>3.9</v>
      </c>
      <c r="Y634">
        <v>6.7</v>
      </c>
      <c r="Z634">
        <v>5.5</v>
      </c>
      <c r="AA634">
        <v>7.1</v>
      </c>
      <c r="AB634" t="s">
        <v>11</v>
      </c>
      <c r="AC634" t="s">
        <v>10</v>
      </c>
      <c r="AD634" t="s">
        <v>22</v>
      </c>
      <c r="AE634" t="str">
        <f t="shared" si="27"/>
        <v>35-44</v>
      </c>
      <c r="AF634" t="str">
        <f t="shared" si="28"/>
        <v>Low Usage</v>
      </c>
      <c r="AG634" t="str">
        <f t="shared" si="29"/>
        <v>High Loneliness</v>
      </c>
    </row>
    <row r="635" spans="1:33" x14ac:dyDescent="0.3">
      <c r="A635" t="s">
        <v>679</v>
      </c>
      <c r="B635">
        <v>21</v>
      </c>
      <c r="C635" t="s">
        <v>32</v>
      </c>
      <c r="D635" t="s">
        <v>2</v>
      </c>
      <c r="E635" t="s">
        <v>15</v>
      </c>
      <c r="F635" t="s">
        <v>12</v>
      </c>
      <c r="G635" t="s">
        <v>17</v>
      </c>
      <c r="H635" t="s">
        <v>28</v>
      </c>
      <c r="I635" t="s">
        <v>19</v>
      </c>
      <c r="J635" t="s">
        <v>51</v>
      </c>
      <c r="K635" t="s">
        <v>53</v>
      </c>
      <c r="L635">
        <v>2.1</v>
      </c>
      <c r="M635">
        <v>3.66</v>
      </c>
      <c r="N635">
        <v>2.62</v>
      </c>
      <c r="O635">
        <v>6.19</v>
      </c>
      <c r="P635">
        <v>4</v>
      </c>
      <c r="Q635">
        <v>8.5</v>
      </c>
      <c r="R635">
        <v>4.8</v>
      </c>
      <c r="S635">
        <v>4.0999999999999996</v>
      </c>
      <c r="T635" t="s">
        <v>10</v>
      </c>
      <c r="U635">
        <v>7.2</v>
      </c>
      <c r="V635">
        <v>3.7</v>
      </c>
      <c r="W635">
        <v>0</v>
      </c>
      <c r="X635">
        <v>6.5</v>
      </c>
      <c r="Y635">
        <v>6.8</v>
      </c>
      <c r="Z635">
        <v>5</v>
      </c>
      <c r="AA635">
        <v>3.8</v>
      </c>
      <c r="AB635" t="s">
        <v>44</v>
      </c>
      <c r="AC635" t="s">
        <v>39</v>
      </c>
      <c r="AD635" t="s">
        <v>45</v>
      </c>
      <c r="AE635" t="str">
        <f t="shared" si="27"/>
        <v>20-24</v>
      </c>
      <c r="AF635" t="str">
        <f t="shared" si="28"/>
        <v>Low Usage</v>
      </c>
      <c r="AG635" t="str">
        <f t="shared" si="29"/>
        <v>High Loneliness</v>
      </c>
    </row>
    <row r="636" spans="1:33" x14ac:dyDescent="0.3">
      <c r="A636" t="s">
        <v>680</v>
      </c>
      <c r="B636">
        <v>18</v>
      </c>
      <c r="C636" t="s">
        <v>89</v>
      </c>
      <c r="D636" t="s">
        <v>14</v>
      </c>
      <c r="E636" t="s">
        <v>37</v>
      </c>
      <c r="F636" t="s">
        <v>45</v>
      </c>
      <c r="G636" t="s">
        <v>5</v>
      </c>
      <c r="H636" t="s">
        <v>33</v>
      </c>
      <c r="I636" t="s">
        <v>7</v>
      </c>
      <c r="J636" t="s">
        <v>51</v>
      </c>
      <c r="K636" t="s">
        <v>25</v>
      </c>
      <c r="L636">
        <v>1.44</v>
      </c>
      <c r="M636">
        <v>3.05</v>
      </c>
      <c r="N636">
        <v>2.5</v>
      </c>
      <c r="O636">
        <v>6</v>
      </c>
      <c r="P636">
        <v>3</v>
      </c>
      <c r="Q636">
        <v>5.3</v>
      </c>
      <c r="R636">
        <v>3.8</v>
      </c>
      <c r="S636">
        <v>4.7</v>
      </c>
      <c r="T636" t="s">
        <v>10</v>
      </c>
      <c r="U636">
        <v>7.6</v>
      </c>
      <c r="V636">
        <v>5.3</v>
      </c>
      <c r="W636">
        <v>4.5</v>
      </c>
      <c r="X636">
        <v>2.9</v>
      </c>
      <c r="Y636">
        <v>3.9</v>
      </c>
      <c r="Z636">
        <v>6.4</v>
      </c>
      <c r="AA636">
        <v>5.6</v>
      </c>
      <c r="AB636" t="s">
        <v>11</v>
      </c>
      <c r="AC636" t="s">
        <v>10</v>
      </c>
      <c r="AD636" t="s">
        <v>22</v>
      </c>
      <c r="AE636" t="str">
        <f t="shared" si="27"/>
        <v>15-19</v>
      </c>
      <c r="AF636" t="str">
        <f t="shared" si="28"/>
        <v>Low Usage</v>
      </c>
      <c r="AG636" t="str">
        <f t="shared" si="29"/>
        <v>Moderate Loneliness</v>
      </c>
    </row>
    <row r="637" spans="1:33" x14ac:dyDescent="0.3">
      <c r="A637" t="s">
        <v>681</v>
      </c>
      <c r="B637">
        <v>15</v>
      </c>
      <c r="C637" t="s">
        <v>32</v>
      </c>
      <c r="D637" t="s">
        <v>14</v>
      </c>
      <c r="E637" t="s">
        <v>3</v>
      </c>
      <c r="F637" t="s">
        <v>4</v>
      </c>
      <c r="G637" t="s">
        <v>17</v>
      </c>
      <c r="H637" t="s">
        <v>28</v>
      </c>
      <c r="I637" t="s">
        <v>19</v>
      </c>
      <c r="J637" t="s">
        <v>20</v>
      </c>
      <c r="K637" t="s">
        <v>53</v>
      </c>
      <c r="L637">
        <v>1.45</v>
      </c>
      <c r="M637">
        <v>2</v>
      </c>
      <c r="N637">
        <v>3.78</v>
      </c>
      <c r="O637">
        <v>8.1300000000000008</v>
      </c>
      <c r="P637">
        <v>6</v>
      </c>
      <c r="Q637">
        <v>4.5</v>
      </c>
      <c r="R637">
        <v>4.3</v>
      </c>
      <c r="S637">
        <v>7.6</v>
      </c>
      <c r="T637" t="s">
        <v>10</v>
      </c>
      <c r="U637">
        <v>8.6999999999999993</v>
      </c>
      <c r="V637">
        <v>7.4</v>
      </c>
      <c r="W637">
        <v>4.5999999999999996</v>
      </c>
      <c r="X637">
        <v>3.8</v>
      </c>
      <c r="Y637">
        <v>2.6</v>
      </c>
      <c r="Z637">
        <v>6.6</v>
      </c>
      <c r="AA637">
        <v>5.2</v>
      </c>
      <c r="AB637" t="s">
        <v>21</v>
      </c>
      <c r="AC637" t="s">
        <v>10</v>
      </c>
      <c r="AD637" t="s">
        <v>12</v>
      </c>
      <c r="AE637" t="str">
        <f t="shared" si="27"/>
        <v>15-19</v>
      </c>
      <c r="AF637" t="str">
        <f t="shared" si="28"/>
        <v>Low Usage</v>
      </c>
      <c r="AG637" t="str">
        <f t="shared" si="29"/>
        <v>Moderate Loneliness</v>
      </c>
    </row>
    <row r="638" spans="1:33" x14ac:dyDescent="0.3">
      <c r="A638" t="s">
        <v>682</v>
      </c>
      <c r="B638">
        <v>44</v>
      </c>
      <c r="C638" t="s">
        <v>1</v>
      </c>
      <c r="D638" t="s">
        <v>58</v>
      </c>
      <c r="E638" t="s">
        <v>3</v>
      </c>
      <c r="F638" t="s">
        <v>4</v>
      </c>
      <c r="G638" t="s">
        <v>17</v>
      </c>
      <c r="H638" t="s">
        <v>6</v>
      </c>
      <c r="I638" t="s">
        <v>24</v>
      </c>
      <c r="J638" t="s">
        <v>8</v>
      </c>
      <c r="K638" t="s">
        <v>53</v>
      </c>
      <c r="L638">
        <v>0</v>
      </c>
      <c r="M638">
        <v>7.74</v>
      </c>
      <c r="N638">
        <v>1.71</v>
      </c>
      <c r="O638">
        <v>4.3600000000000003</v>
      </c>
      <c r="P638">
        <v>7</v>
      </c>
      <c r="Q638">
        <v>2.7</v>
      </c>
      <c r="R638">
        <v>1</v>
      </c>
      <c r="S638">
        <v>9.9</v>
      </c>
      <c r="T638" t="s">
        <v>10</v>
      </c>
      <c r="U638">
        <v>8.1999999999999993</v>
      </c>
      <c r="V638">
        <v>8.9</v>
      </c>
      <c r="W638">
        <v>4.2</v>
      </c>
      <c r="X638">
        <v>1.5</v>
      </c>
      <c r="Y638">
        <v>1</v>
      </c>
      <c r="Z638">
        <v>4</v>
      </c>
      <c r="AA638">
        <v>9.1999999999999993</v>
      </c>
      <c r="AB638" t="s">
        <v>11</v>
      </c>
      <c r="AC638" t="s">
        <v>10</v>
      </c>
      <c r="AD638" t="s">
        <v>12</v>
      </c>
      <c r="AE638" t="str">
        <f t="shared" si="27"/>
        <v>35-44</v>
      </c>
      <c r="AF638" t="str">
        <f t="shared" si="28"/>
        <v>Very Low Usage</v>
      </c>
      <c r="AG638" t="str">
        <f t="shared" si="29"/>
        <v>Low Loneliness</v>
      </c>
    </row>
    <row r="639" spans="1:33" x14ac:dyDescent="0.3">
      <c r="A639" t="s">
        <v>683</v>
      </c>
      <c r="B639">
        <v>44</v>
      </c>
      <c r="C639" t="s">
        <v>32</v>
      </c>
      <c r="D639" t="s">
        <v>14</v>
      </c>
      <c r="E639" t="s">
        <v>3</v>
      </c>
      <c r="F639" t="s">
        <v>16</v>
      </c>
      <c r="G639" t="s">
        <v>17</v>
      </c>
      <c r="H639" t="s">
        <v>18</v>
      </c>
      <c r="I639" t="s">
        <v>29</v>
      </c>
      <c r="J639" t="s">
        <v>48</v>
      </c>
      <c r="K639" t="s">
        <v>53</v>
      </c>
      <c r="L639">
        <v>2.36</v>
      </c>
      <c r="M639">
        <v>4.3600000000000003</v>
      </c>
      <c r="N639">
        <v>3.24</v>
      </c>
      <c r="O639">
        <v>6.98</v>
      </c>
      <c r="P639">
        <v>5</v>
      </c>
      <c r="Q639">
        <v>5.9</v>
      </c>
      <c r="R639">
        <v>5.2</v>
      </c>
      <c r="S639">
        <v>7.4</v>
      </c>
      <c r="T639" t="s">
        <v>10</v>
      </c>
      <c r="U639">
        <v>7.9</v>
      </c>
      <c r="V639">
        <v>7.7</v>
      </c>
      <c r="W639">
        <v>5.3</v>
      </c>
      <c r="X639">
        <v>4.0999999999999996</v>
      </c>
      <c r="Y639">
        <v>2.2999999999999998</v>
      </c>
      <c r="Z639">
        <v>6.2</v>
      </c>
      <c r="AA639">
        <v>8.6999999999999993</v>
      </c>
      <c r="AB639" t="s">
        <v>21</v>
      </c>
      <c r="AC639" t="s">
        <v>10</v>
      </c>
      <c r="AD639" t="s">
        <v>22</v>
      </c>
      <c r="AE639" t="str">
        <f t="shared" si="27"/>
        <v>35-44</v>
      </c>
      <c r="AF639" t="str">
        <f t="shared" si="28"/>
        <v>Low Usage</v>
      </c>
      <c r="AG639" t="str">
        <f t="shared" si="29"/>
        <v>Moderate Loneliness</v>
      </c>
    </row>
    <row r="640" spans="1:33" x14ac:dyDescent="0.3">
      <c r="A640" t="s">
        <v>684</v>
      </c>
      <c r="B640">
        <v>19</v>
      </c>
      <c r="C640" t="s">
        <v>32</v>
      </c>
      <c r="D640" t="s">
        <v>47</v>
      </c>
      <c r="E640" t="s">
        <v>3</v>
      </c>
      <c r="F640" t="s">
        <v>45</v>
      </c>
      <c r="G640" t="s">
        <v>43</v>
      </c>
      <c r="H640" t="s">
        <v>18</v>
      </c>
      <c r="I640" t="s">
        <v>19</v>
      </c>
      <c r="J640" t="s">
        <v>8</v>
      </c>
      <c r="K640" t="s">
        <v>53</v>
      </c>
      <c r="L640">
        <v>2.68</v>
      </c>
      <c r="M640">
        <v>2.2799999999999998</v>
      </c>
      <c r="N640">
        <v>3.86</v>
      </c>
      <c r="O640">
        <v>7.84</v>
      </c>
      <c r="P640">
        <v>0</v>
      </c>
      <c r="Q640">
        <v>8.3000000000000007</v>
      </c>
      <c r="R640">
        <v>9.1999999999999993</v>
      </c>
      <c r="S640">
        <v>5.2</v>
      </c>
      <c r="T640" t="s">
        <v>39</v>
      </c>
      <c r="U640">
        <v>6.2</v>
      </c>
      <c r="V640">
        <v>3</v>
      </c>
      <c r="W640">
        <v>0.9</v>
      </c>
      <c r="X640">
        <v>6.9</v>
      </c>
      <c r="Y640">
        <v>6.4</v>
      </c>
      <c r="Z640">
        <v>7.2</v>
      </c>
      <c r="AA640">
        <v>3.1</v>
      </c>
      <c r="AB640" t="s">
        <v>44</v>
      </c>
      <c r="AC640" t="s">
        <v>10</v>
      </c>
      <c r="AD640" t="s">
        <v>45</v>
      </c>
      <c r="AE640" t="str">
        <f t="shared" si="27"/>
        <v>15-19</v>
      </c>
      <c r="AF640" t="str">
        <f t="shared" si="28"/>
        <v>Moderate Usage</v>
      </c>
      <c r="AG640" t="str">
        <f t="shared" si="29"/>
        <v>High Loneliness</v>
      </c>
    </row>
    <row r="641" spans="1:33" x14ac:dyDescent="0.3">
      <c r="A641" t="s">
        <v>685</v>
      </c>
      <c r="B641">
        <v>37</v>
      </c>
      <c r="C641" t="s">
        <v>32</v>
      </c>
      <c r="D641" t="s">
        <v>14</v>
      </c>
      <c r="E641" t="s">
        <v>15</v>
      </c>
      <c r="F641" t="s">
        <v>4</v>
      </c>
      <c r="G641" t="s">
        <v>43</v>
      </c>
      <c r="H641" t="s">
        <v>18</v>
      </c>
      <c r="I641" t="s">
        <v>254</v>
      </c>
      <c r="J641" t="s">
        <v>8</v>
      </c>
      <c r="K641" t="s">
        <v>53</v>
      </c>
      <c r="L641">
        <v>1.69</v>
      </c>
      <c r="M641">
        <v>5.33</v>
      </c>
      <c r="N641">
        <v>0.62</v>
      </c>
      <c r="O641">
        <v>3.45</v>
      </c>
      <c r="P641">
        <v>4</v>
      </c>
      <c r="Q641">
        <v>3.9</v>
      </c>
      <c r="R641">
        <v>6.2</v>
      </c>
      <c r="S641">
        <v>6.1</v>
      </c>
      <c r="T641" t="s">
        <v>10</v>
      </c>
      <c r="U641">
        <v>7.7</v>
      </c>
      <c r="V641">
        <v>6.9</v>
      </c>
      <c r="W641">
        <v>5.2</v>
      </c>
      <c r="X641">
        <v>6.2</v>
      </c>
      <c r="Y641">
        <v>2.8</v>
      </c>
      <c r="Z641">
        <v>5.4</v>
      </c>
      <c r="AA641">
        <v>5.5</v>
      </c>
      <c r="AB641" t="s">
        <v>21</v>
      </c>
      <c r="AC641" t="s">
        <v>10</v>
      </c>
      <c r="AD641" t="s">
        <v>22</v>
      </c>
      <c r="AE641" t="str">
        <f t="shared" si="27"/>
        <v>35-44</v>
      </c>
      <c r="AF641" t="str">
        <f t="shared" si="28"/>
        <v>Low Usage</v>
      </c>
      <c r="AG641" t="str">
        <f t="shared" si="29"/>
        <v>Moderate Loneliness</v>
      </c>
    </row>
    <row r="642" spans="1:33" x14ac:dyDescent="0.3">
      <c r="A642" t="s">
        <v>686</v>
      </c>
      <c r="B642">
        <v>40</v>
      </c>
      <c r="C642" t="s">
        <v>1</v>
      </c>
      <c r="D642" t="s">
        <v>2</v>
      </c>
      <c r="E642" t="s">
        <v>15</v>
      </c>
      <c r="F642" t="s">
        <v>16</v>
      </c>
      <c r="G642" t="s">
        <v>17</v>
      </c>
      <c r="H642" t="s">
        <v>28</v>
      </c>
      <c r="I642" t="s">
        <v>24</v>
      </c>
      <c r="J642" t="s">
        <v>48</v>
      </c>
      <c r="K642" t="s">
        <v>25</v>
      </c>
      <c r="L642">
        <v>2.82</v>
      </c>
      <c r="M642">
        <v>3.39</v>
      </c>
      <c r="N642">
        <v>1.96</v>
      </c>
      <c r="O642">
        <v>6.87</v>
      </c>
      <c r="P642">
        <v>4</v>
      </c>
      <c r="Q642">
        <v>6.2</v>
      </c>
      <c r="R642">
        <v>6.5</v>
      </c>
      <c r="S642">
        <v>2.5</v>
      </c>
      <c r="T642" t="s">
        <v>10</v>
      </c>
      <c r="U642">
        <v>7.6</v>
      </c>
      <c r="V642">
        <v>5.9</v>
      </c>
      <c r="W642">
        <v>3.5</v>
      </c>
      <c r="X642">
        <v>7</v>
      </c>
      <c r="Y642">
        <v>5.2</v>
      </c>
      <c r="Z642">
        <v>6</v>
      </c>
      <c r="AA642">
        <v>4.7</v>
      </c>
      <c r="AB642" t="s">
        <v>44</v>
      </c>
      <c r="AC642" t="s">
        <v>39</v>
      </c>
      <c r="AD642" t="s">
        <v>45</v>
      </c>
      <c r="AE642" t="str">
        <f t="shared" si="27"/>
        <v>35-44</v>
      </c>
      <c r="AF642" t="str">
        <f t="shared" si="28"/>
        <v>Moderate Usage</v>
      </c>
      <c r="AG642" t="str">
        <f t="shared" si="29"/>
        <v>High Loneliness</v>
      </c>
    </row>
    <row r="643" spans="1:33" x14ac:dyDescent="0.3">
      <c r="A643" t="s">
        <v>687</v>
      </c>
      <c r="B643">
        <v>24</v>
      </c>
      <c r="C643" t="s">
        <v>32</v>
      </c>
      <c r="D643" t="s">
        <v>2</v>
      </c>
      <c r="E643" t="s">
        <v>15</v>
      </c>
      <c r="F643" t="s">
        <v>4</v>
      </c>
      <c r="G643" t="s">
        <v>5</v>
      </c>
      <c r="H643" t="s">
        <v>28</v>
      </c>
      <c r="I643" t="s">
        <v>29</v>
      </c>
      <c r="J643" t="s">
        <v>8</v>
      </c>
      <c r="K643" t="s">
        <v>30</v>
      </c>
      <c r="L643">
        <v>2.4500000000000002</v>
      </c>
      <c r="M643">
        <v>4.6100000000000003</v>
      </c>
      <c r="N643">
        <v>2.87</v>
      </c>
      <c r="O643">
        <v>5.74</v>
      </c>
      <c r="P643">
        <v>3</v>
      </c>
      <c r="Q643">
        <v>6.5</v>
      </c>
      <c r="R643">
        <v>7.4</v>
      </c>
      <c r="S643">
        <v>5.5</v>
      </c>
      <c r="T643" t="s">
        <v>10</v>
      </c>
      <c r="U643">
        <v>7.5</v>
      </c>
      <c r="V643">
        <v>3.5</v>
      </c>
      <c r="W643">
        <v>1</v>
      </c>
      <c r="X643">
        <v>5</v>
      </c>
      <c r="Y643">
        <v>5.6</v>
      </c>
      <c r="Z643">
        <v>6.1</v>
      </c>
      <c r="AA643">
        <v>5.0999999999999996</v>
      </c>
      <c r="AB643" t="s">
        <v>21</v>
      </c>
      <c r="AC643" t="s">
        <v>10</v>
      </c>
      <c r="AD643" t="s">
        <v>22</v>
      </c>
      <c r="AE643" t="str">
        <f t="shared" ref="AE643:AE706" si="30">IF(B643&lt;20,"15-19",IF(B643&lt;25,"20-24",IF(B643&lt;35,"25-34","35-44")))</f>
        <v>20-24</v>
      </c>
      <c r="AF643" t="str">
        <f t="shared" ref="AF643:AF706" si="31">IF(L643&lt;=1,"Very Low Usage",IF(L643&lt;=2.5,"Low Usage",IF(L643&lt;=4,"Moderate Usage","High Usage")))</f>
        <v>Low Usage</v>
      </c>
      <c r="AG643" t="str">
        <f t="shared" ref="AG643:AG706" si="32">IF(Q643&lt;=3,"Low Loneliness",IF(Q643&lt;=6,"Moderate Loneliness","High Loneliness"))</f>
        <v>High Loneliness</v>
      </c>
    </row>
    <row r="644" spans="1:33" x14ac:dyDescent="0.3">
      <c r="A644" t="s">
        <v>688</v>
      </c>
      <c r="B644">
        <v>36</v>
      </c>
      <c r="C644" t="s">
        <v>32</v>
      </c>
      <c r="D644" t="s">
        <v>2</v>
      </c>
      <c r="E644" t="s">
        <v>15</v>
      </c>
      <c r="F644" t="s">
        <v>4</v>
      </c>
      <c r="G644" t="s">
        <v>43</v>
      </c>
      <c r="H644" t="s">
        <v>28</v>
      </c>
      <c r="I644" t="s">
        <v>19</v>
      </c>
      <c r="J644" t="s">
        <v>8</v>
      </c>
      <c r="K644" t="s">
        <v>53</v>
      </c>
      <c r="L644">
        <v>0.8</v>
      </c>
      <c r="M644">
        <v>6.36</v>
      </c>
      <c r="N644">
        <v>0.35</v>
      </c>
      <c r="O644">
        <v>2.2599999999999998</v>
      </c>
      <c r="P644">
        <v>7</v>
      </c>
      <c r="Q644">
        <v>3.1</v>
      </c>
      <c r="R644">
        <v>1.4</v>
      </c>
      <c r="S644">
        <v>8.8000000000000007</v>
      </c>
      <c r="T644" t="s">
        <v>10</v>
      </c>
      <c r="U644">
        <v>6.3</v>
      </c>
      <c r="V644">
        <v>8.3000000000000007</v>
      </c>
      <c r="W644">
        <v>4.7</v>
      </c>
      <c r="X644">
        <v>1.2</v>
      </c>
      <c r="Y644">
        <v>1</v>
      </c>
      <c r="Z644">
        <v>2.4</v>
      </c>
      <c r="AA644">
        <v>7.6</v>
      </c>
      <c r="AB644" t="s">
        <v>21</v>
      </c>
      <c r="AC644" t="s">
        <v>10</v>
      </c>
      <c r="AD644" t="s">
        <v>12</v>
      </c>
      <c r="AE644" t="str">
        <f t="shared" si="30"/>
        <v>35-44</v>
      </c>
      <c r="AF644" t="str">
        <f t="shared" si="31"/>
        <v>Very Low Usage</v>
      </c>
      <c r="AG644" t="str">
        <f t="shared" si="32"/>
        <v>Moderate Loneliness</v>
      </c>
    </row>
    <row r="645" spans="1:33" x14ac:dyDescent="0.3">
      <c r="A645" t="s">
        <v>689</v>
      </c>
      <c r="B645">
        <v>19</v>
      </c>
      <c r="C645" t="s">
        <v>27</v>
      </c>
      <c r="D645" t="s">
        <v>14</v>
      </c>
      <c r="E645" t="s">
        <v>3</v>
      </c>
      <c r="F645" t="s">
        <v>4</v>
      </c>
      <c r="G645" t="s">
        <v>17</v>
      </c>
      <c r="H645" t="s">
        <v>18</v>
      </c>
      <c r="I645" t="s">
        <v>29</v>
      </c>
      <c r="J645" t="s">
        <v>8</v>
      </c>
      <c r="K645" t="s">
        <v>1079</v>
      </c>
      <c r="L645">
        <v>2.27</v>
      </c>
      <c r="M645">
        <v>1.78</v>
      </c>
      <c r="N645">
        <v>2.83</v>
      </c>
      <c r="O645">
        <v>6.64</v>
      </c>
      <c r="P645">
        <v>2</v>
      </c>
      <c r="Q645">
        <v>7.3</v>
      </c>
      <c r="R645">
        <v>6.4</v>
      </c>
      <c r="S645">
        <v>6.3</v>
      </c>
      <c r="T645" t="s">
        <v>10</v>
      </c>
      <c r="U645">
        <v>6</v>
      </c>
      <c r="V645">
        <v>2.5</v>
      </c>
      <c r="W645">
        <v>3.2</v>
      </c>
      <c r="X645">
        <v>5.7</v>
      </c>
      <c r="Y645">
        <v>4.9000000000000004</v>
      </c>
      <c r="Z645">
        <v>6.8</v>
      </c>
      <c r="AA645">
        <v>3.9</v>
      </c>
      <c r="AB645" t="s">
        <v>44</v>
      </c>
      <c r="AC645" t="s">
        <v>39</v>
      </c>
      <c r="AD645" t="s">
        <v>45</v>
      </c>
      <c r="AE645" t="str">
        <f t="shared" si="30"/>
        <v>15-19</v>
      </c>
      <c r="AF645" t="str">
        <f t="shared" si="31"/>
        <v>Low Usage</v>
      </c>
      <c r="AG645" t="str">
        <f t="shared" si="32"/>
        <v>High Loneliness</v>
      </c>
    </row>
    <row r="646" spans="1:33" x14ac:dyDescent="0.3">
      <c r="A646" t="s">
        <v>690</v>
      </c>
      <c r="B646">
        <v>18</v>
      </c>
      <c r="C646" t="s">
        <v>1</v>
      </c>
      <c r="D646" t="s">
        <v>14</v>
      </c>
      <c r="E646" t="s">
        <v>37</v>
      </c>
      <c r="F646" t="s">
        <v>16</v>
      </c>
      <c r="G646" t="s">
        <v>43</v>
      </c>
      <c r="H646" t="s">
        <v>28</v>
      </c>
      <c r="I646" t="s">
        <v>19</v>
      </c>
      <c r="J646" t="s">
        <v>8</v>
      </c>
      <c r="K646" t="s">
        <v>1079</v>
      </c>
      <c r="L646">
        <v>1.59</v>
      </c>
      <c r="M646">
        <v>4.8099999999999996</v>
      </c>
      <c r="N646">
        <v>1.63</v>
      </c>
      <c r="O646">
        <v>6.27</v>
      </c>
      <c r="P646">
        <v>4</v>
      </c>
      <c r="Q646">
        <v>5.2</v>
      </c>
      <c r="R646">
        <v>2.2999999999999998</v>
      </c>
      <c r="S646">
        <v>8</v>
      </c>
      <c r="T646" t="s">
        <v>10</v>
      </c>
      <c r="U646">
        <v>8.3000000000000007</v>
      </c>
      <c r="V646">
        <v>8.8000000000000007</v>
      </c>
      <c r="W646">
        <v>4.8</v>
      </c>
      <c r="X646">
        <v>5.3</v>
      </c>
      <c r="Y646">
        <v>2.6</v>
      </c>
      <c r="Z646">
        <v>5</v>
      </c>
      <c r="AA646">
        <v>6.7</v>
      </c>
      <c r="AB646" t="s">
        <v>21</v>
      </c>
      <c r="AC646" t="s">
        <v>10</v>
      </c>
      <c r="AD646" t="s">
        <v>12</v>
      </c>
      <c r="AE646" t="str">
        <f t="shared" si="30"/>
        <v>15-19</v>
      </c>
      <c r="AF646" t="str">
        <f t="shared" si="31"/>
        <v>Low Usage</v>
      </c>
      <c r="AG646" t="str">
        <f t="shared" si="32"/>
        <v>Moderate Loneliness</v>
      </c>
    </row>
    <row r="647" spans="1:33" x14ac:dyDescent="0.3">
      <c r="A647" t="s">
        <v>691</v>
      </c>
      <c r="B647">
        <v>16</v>
      </c>
      <c r="C647" t="s">
        <v>32</v>
      </c>
      <c r="D647" t="s">
        <v>14</v>
      </c>
      <c r="E647" t="s">
        <v>37</v>
      </c>
      <c r="F647" t="s">
        <v>16</v>
      </c>
      <c r="G647" t="s">
        <v>17</v>
      </c>
      <c r="H647" t="s">
        <v>28</v>
      </c>
      <c r="I647" t="s">
        <v>24</v>
      </c>
      <c r="J647" t="s">
        <v>8</v>
      </c>
      <c r="K647" t="s">
        <v>53</v>
      </c>
      <c r="L647">
        <v>1.68</v>
      </c>
      <c r="M647">
        <v>6.01</v>
      </c>
      <c r="N647">
        <v>1.71</v>
      </c>
      <c r="O647">
        <v>5.26</v>
      </c>
      <c r="P647">
        <v>3</v>
      </c>
      <c r="Q647">
        <v>6</v>
      </c>
      <c r="R647">
        <v>5.3</v>
      </c>
      <c r="S647">
        <v>6.7</v>
      </c>
      <c r="T647" t="s">
        <v>10</v>
      </c>
      <c r="U647">
        <v>7.6</v>
      </c>
      <c r="V647">
        <v>5.4</v>
      </c>
      <c r="W647">
        <v>5.9</v>
      </c>
      <c r="X647">
        <v>1.4</v>
      </c>
      <c r="Y647">
        <v>2.7</v>
      </c>
      <c r="Z647">
        <v>5.7</v>
      </c>
      <c r="AA647">
        <v>4.4000000000000004</v>
      </c>
      <c r="AB647" t="s">
        <v>11</v>
      </c>
      <c r="AC647" t="s">
        <v>10</v>
      </c>
      <c r="AD647" t="s">
        <v>12</v>
      </c>
      <c r="AE647" t="str">
        <f t="shared" si="30"/>
        <v>15-19</v>
      </c>
      <c r="AF647" t="str">
        <f t="shared" si="31"/>
        <v>Low Usage</v>
      </c>
      <c r="AG647" t="str">
        <f t="shared" si="32"/>
        <v>Moderate Loneliness</v>
      </c>
    </row>
    <row r="648" spans="1:33" x14ac:dyDescent="0.3">
      <c r="A648" t="s">
        <v>692</v>
      </c>
      <c r="B648">
        <v>34</v>
      </c>
      <c r="C648" t="s">
        <v>27</v>
      </c>
      <c r="D648" t="s">
        <v>14</v>
      </c>
      <c r="E648" t="s">
        <v>3</v>
      </c>
      <c r="F648" t="s">
        <v>4</v>
      </c>
      <c r="G648" t="s">
        <v>43</v>
      </c>
      <c r="H648" t="s">
        <v>6</v>
      </c>
      <c r="I648" t="s">
        <v>24</v>
      </c>
      <c r="J648" t="s">
        <v>38</v>
      </c>
      <c r="K648" t="s">
        <v>30</v>
      </c>
      <c r="L648">
        <v>5</v>
      </c>
      <c r="M648">
        <v>0.69</v>
      </c>
      <c r="N648">
        <v>6.03</v>
      </c>
      <c r="O648">
        <v>14.04</v>
      </c>
      <c r="P648">
        <v>0</v>
      </c>
      <c r="Q648">
        <v>10</v>
      </c>
      <c r="R648">
        <v>10</v>
      </c>
      <c r="S648">
        <v>1.6</v>
      </c>
      <c r="T648" t="s">
        <v>10</v>
      </c>
      <c r="U648">
        <v>5.5</v>
      </c>
      <c r="V648">
        <v>2.5</v>
      </c>
      <c r="W648">
        <v>3.2</v>
      </c>
      <c r="X648">
        <v>8.8000000000000007</v>
      </c>
      <c r="Y648">
        <v>8.4</v>
      </c>
      <c r="Z648">
        <v>9</v>
      </c>
      <c r="AA648">
        <v>1.4</v>
      </c>
      <c r="AB648" t="s">
        <v>44</v>
      </c>
      <c r="AC648" t="s">
        <v>10</v>
      </c>
      <c r="AD648" t="s">
        <v>45</v>
      </c>
      <c r="AE648" t="str">
        <f t="shared" si="30"/>
        <v>25-34</v>
      </c>
      <c r="AF648" t="str">
        <f t="shared" si="31"/>
        <v>High Usage</v>
      </c>
      <c r="AG648" t="str">
        <f t="shared" si="32"/>
        <v>High Loneliness</v>
      </c>
    </row>
    <row r="649" spans="1:33" x14ac:dyDescent="0.3">
      <c r="A649" t="s">
        <v>693</v>
      </c>
      <c r="B649">
        <v>24</v>
      </c>
      <c r="C649" t="s">
        <v>1</v>
      </c>
      <c r="D649" t="s">
        <v>2</v>
      </c>
      <c r="E649" t="s">
        <v>37</v>
      </c>
      <c r="F649" t="s">
        <v>12</v>
      </c>
      <c r="G649" t="s">
        <v>43</v>
      </c>
      <c r="H649" t="s">
        <v>28</v>
      </c>
      <c r="I649" t="s">
        <v>29</v>
      </c>
      <c r="J649" t="s">
        <v>8</v>
      </c>
      <c r="K649" t="s">
        <v>25</v>
      </c>
      <c r="L649">
        <v>0.77</v>
      </c>
      <c r="M649">
        <v>2.36</v>
      </c>
      <c r="N649">
        <v>3.04</v>
      </c>
      <c r="O649">
        <v>6</v>
      </c>
      <c r="P649">
        <v>3</v>
      </c>
      <c r="Q649">
        <v>7</v>
      </c>
      <c r="R649">
        <v>5.5</v>
      </c>
      <c r="S649">
        <v>6.1</v>
      </c>
      <c r="T649" t="s">
        <v>10</v>
      </c>
      <c r="U649">
        <v>7</v>
      </c>
      <c r="V649">
        <v>5.4</v>
      </c>
      <c r="W649">
        <v>2.9</v>
      </c>
      <c r="X649">
        <v>5.3</v>
      </c>
      <c r="Y649">
        <v>5.4</v>
      </c>
      <c r="Z649">
        <v>7.1</v>
      </c>
      <c r="AA649">
        <v>2.5</v>
      </c>
      <c r="AB649" t="s">
        <v>44</v>
      </c>
      <c r="AC649" t="s">
        <v>10</v>
      </c>
      <c r="AD649" t="s">
        <v>22</v>
      </c>
      <c r="AE649" t="str">
        <f t="shared" si="30"/>
        <v>20-24</v>
      </c>
      <c r="AF649" t="str">
        <f t="shared" si="31"/>
        <v>Very Low Usage</v>
      </c>
      <c r="AG649" t="str">
        <f t="shared" si="32"/>
        <v>High Loneliness</v>
      </c>
    </row>
    <row r="650" spans="1:33" x14ac:dyDescent="0.3">
      <c r="A650" t="s">
        <v>694</v>
      </c>
      <c r="B650">
        <v>40</v>
      </c>
      <c r="C650" t="s">
        <v>27</v>
      </c>
      <c r="D650" t="s">
        <v>41</v>
      </c>
      <c r="E650" t="s">
        <v>37</v>
      </c>
      <c r="F650" t="s">
        <v>16</v>
      </c>
      <c r="G650" t="s">
        <v>43</v>
      </c>
      <c r="H650" t="s">
        <v>33</v>
      </c>
      <c r="I650" t="s">
        <v>35</v>
      </c>
      <c r="J650" t="s">
        <v>8</v>
      </c>
      <c r="K650" t="s">
        <v>25</v>
      </c>
      <c r="L650">
        <v>1.08</v>
      </c>
      <c r="M650">
        <v>3.89</v>
      </c>
      <c r="N650">
        <v>2.8</v>
      </c>
      <c r="O650">
        <v>5.4</v>
      </c>
      <c r="P650">
        <v>5</v>
      </c>
      <c r="Q650">
        <v>2.1</v>
      </c>
      <c r="R650">
        <v>1</v>
      </c>
      <c r="S650">
        <v>3.8</v>
      </c>
      <c r="T650" t="s">
        <v>10</v>
      </c>
      <c r="U650">
        <v>6.5</v>
      </c>
      <c r="V650">
        <v>6.5</v>
      </c>
      <c r="W650">
        <v>5.6</v>
      </c>
      <c r="X650">
        <v>4.7</v>
      </c>
      <c r="Y650">
        <v>2.1</v>
      </c>
      <c r="Z650">
        <v>3</v>
      </c>
      <c r="AA650">
        <v>6.6</v>
      </c>
      <c r="AB650" t="s">
        <v>21</v>
      </c>
      <c r="AC650" t="s">
        <v>10</v>
      </c>
      <c r="AD650" t="s">
        <v>12</v>
      </c>
      <c r="AE650" t="str">
        <f t="shared" si="30"/>
        <v>35-44</v>
      </c>
      <c r="AF650" t="str">
        <f t="shared" si="31"/>
        <v>Low Usage</v>
      </c>
      <c r="AG650" t="str">
        <f t="shared" si="32"/>
        <v>Low Loneliness</v>
      </c>
    </row>
    <row r="651" spans="1:33" x14ac:dyDescent="0.3">
      <c r="A651" t="s">
        <v>695</v>
      </c>
      <c r="B651">
        <v>33</v>
      </c>
      <c r="C651" t="s">
        <v>32</v>
      </c>
      <c r="D651" t="s">
        <v>58</v>
      </c>
      <c r="E651" t="s">
        <v>37</v>
      </c>
      <c r="F651" t="s">
        <v>12</v>
      </c>
      <c r="G651" t="s">
        <v>5</v>
      </c>
      <c r="H651" t="s">
        <v>33</v>
      </c>
      <c r="I651" t="s">
        <v>24</v>
      </c>
      <c r="J651" t="s">
        <v>8</v>
      </c>
      <c r="K651" t="s">
        <v>25</v>
      </c>
      <c r="L651">
        <v>2.2999999999999998</v>
      </c>
      <c r="M651">
        <v>4.82</v>
      </c>
      <c r="N651">
        <v>2.73</v>
      </c>
      <c r="O651">
        <v>6.6</v>
      </c>
      <c r="P651">
        <v>4</v>
      </c>
      <c r="Q651">
        <v>6.6</v>
      </c>
      <c r="R651">
        <v>3.5</v>
      </c>
      <c r="S651">
        <v>6.2</v>
      </c>
      <c r="T651" t="s">
        <v>10</v>
      </c>
      <c r="U651">
        <v>7.7</v>
      </c>
      <c r="V651">
        <v>8.6</v>
      </c>
      <c r="W651">
        <v>6.3</v>
      </c>
      <c r="X651">
        <v>5.8</v>
      </c>
      <c r="Y651">
        <v>3.3</v>
      </c>
      <c r="Z651">
        <v>6.8</v>
      </c>
      <c r="AA651">
        <v>4.7</v>
      </c>
      <c r="AB651" t="s">
        <v>44</v>
      </c>
      <c r="AC651" t="s">
        <v>39</v>
      </c>
      <c r="AD651" t="s">
        <v>22</v>
      </c>
      <c r="AE651" t="str">
        <f t="shared" si="30"/>
        <v>25-34</v>
      </c>
      <c r="AF651" t="str">
        <f t="shared" si="31"/>
        <v>Low Usage</v>
      </c>
      <c r="AG651" t="str">
        <f t="shared" si="32"/>
        <v>High Loneliness</v>
      </c>
    </row>
    <row r="652" spans="1:33" x14ac:dyDescent="0.3">
      <c r="A652" t="s">
        <v>696</v>
      </c>
      <c r="B652">
        <v>40</v>
      </c>
      <c r="C652" t="s">
        <v>1</v>
      </c>
      <c r="D652" t="s">
        <v>47</v>
      </c>
      <c r="E652" t="s">
        <v>37</v>
      </c>
      <c r="F652" t="s">
        <v>4</v>
      </c>
      <c r="G652" t="s">
        <v>17</v>
      </c>
      <c r="H652" t="s">
        <v>28</v>
      </c>
      <c r="I652" t="s">
        <v>19</v>
      </c>
      <c r="J652" t="s">
        <v>38</v>
      </c>
      <c r="K652" t="s">
        <v>53</v>
      </c>
      <c r="L652">
        <v>1.22</v>
      </c>
      <c r="M652">
        <v>4.24</v>
      </c>
      <c r="N652">
        <v>3.95</v>
      </c>
      <c r="O652">
        <v>6</v>
      </c>
      <c r="P652">
        <v>5</v>
      </c>
      <c r="Q652">
        <v>6.1</v>
      </c>
      <c r="R652">
        <v>3.8</v>
      </c>
      <c r="S652">
        <v>7.2</v>
      </c>
      <c r="T652" t="s">
        <v>10</v>
      </c>
      <c r="U652">
        <v>7.3</v>
      </c>
      <c r="V652">
        <v>5.6</v>
      </c>
      <c r="W652">
        <v>2.4</v>
      </c>
      <c r="X652">
        <v>2.8</v>
      </c>
      <c r="Y652">
        <v>4.0999999999999996</v>
      </c>
      <c r="Z652">
        <v>4.8</v>
      </c>
      <c r="AA652">
        <v>6.7</v>
      </c>
      <c r="AB652" t="s">
        <v>21</v>
      </c>
      <c r="AC652" t="s">
        <v>10</v>
      </c>
      <c r="AD652" t="s">
        <v>22</v>
      </c>
      <c r="AE652" t="str">
        <f t="shared" si="30"/>
        <v>35-44</v>
      </c>
      <c r="AF652" t="str">
        <f t="shared" si="31"/>
        <v>Low Usage</v>
      </c>
      <c r="AG652" t="str">
        <f t="shared" si="32"/>
        <v>High Loneliness</v>
      </c>
    </row>
    <row r="653" spans="1:33" x14ac:dyDescent="0.3">
      <c r="A653" t="s">
        <v>697</v>
      </c>
      <c r="B653">
        <v>15</v>
      </c>
      <c r="C653" t="s">
        <v>1</v>
      </c>
      <c r="D653" t="s">
        <v>47</v>
      </c>
      <c r="E653" t="s">
        <v>15</v>
      </c>
      <c r="F653" t="s">
        <v>16</v>
      </c>
      <c r="G653" t="s">
        <v>43</v>
      </c>
      <c r="H653" t="s">
        <v>28</v>
      </c>
      <c r="I653" t="s">
        <v>19</v>
      </c>
      <c r="J653" t="s">
        <v>20</v>
      </c>
      <c r="K653" t="s">
        <v>9</v>
      </c>
      <c r="L653">
        <v>3.25</v>
      </c>
      <c r="M653">
        <v>0.21</v>
      </c>
      <c r="N653">
        <v>5.21</v>
      </c>
      <c r="O653">
        <v>12.86</v>
      </c>
      <c r="P653">
        <v>4</v>
      </c>
      <c r="Q653">
        <v>8.4</v>
      </c>
      <c r="R653">
        <v>7</v>
      </c>
      <c r="S653">
        <v>2.5</v>
      </c>
      <c r="T653" t="s">
        <v>39</v>
      </c>
      <c r="U653">
        <v>5.9</v>
      </c>
      <c r="V653">
        <v>3.1</v>
      </c>
      <c r="W653">
        <v>1.1000000000000001</v>
      </c>
      <c r="X653">
        <v>9.3000000000000007</v>
      </c>
      <c r="Y653">
        <v>9.3000000000000007</v>
      </c>
      <c r="Z653">
        <v>5.4</v>
      </c>
      <c r="AA653">
        <v>1.9</v>
      </c>
      <c r="AB653" t="s">
        <v>21</v>
      </c>
      <c r="AC653" t="s">
        <v>39</v>
      </c>
      <c r="AD653" t="s">
        <v>45</v>
      </c>
      <c r="AE653" t="str">
        <f t="shared" si="30"/>
        <v>15-19</v>
      </c>
      <c r="AF653" t="str">
        <f t="shared" si="31"/>
        <v>Moderate Usage</v>
      </c>
      <c r="AG653" t="str">
        <f t="shared" si="32"/>
        <v>High Loneliness</v>
      </c>
    </row>
    <row r="654" spans="1:33" x14ac:dyDescent="0.3">
      <c r="A654" t="s">
        <v>698</v>
      </c>
      <c r="B654">
        <v>38</v>
      </c>
      <c r="C654" t="s">
        <v>32</v>
      </c>
      <c r="D654" t="s">
        <v>2</v>
      </c>
      <c r="E654" t="s">
        <v>15</v>
      </c>
      <c r="F654" t="s">
        <v>16</v>
      </c>
      <c r="G654" t="s">
        <v>17</v>
      </c>
      <c r="H654" t="s">
        <v>28</v>
      </c>
      <c r="I654" t="s">
        <v>24</v>
      </c>
      <c r="J654" t="s">
        <v>8</v>
      </c>
      <c r="K654" t="s">
        <v>25</v>
      </c>
      <c r="L654">
        <v>0.99</v>
      </c>
      <c r="M654">
        <v>4.3</v>
      </c>
      <c r="N654">
        <v>1.95</v>
      </c>
      <c r="O654">
        <v>6.05</v>
      </c>
      <c r="P654">
        <v>2</v>
      </c>
      <c r="Q654">
        <v>5.0999999999999996</v>
      </c>
      <c r="R654">
        <v>3.4</v>
      </c>
      <c r="S654">
        <v>5.4</v>
      </c>
      <c r="T654" t="s">
        <v>39</v>
      </c>
      <c r="U654">
        <v>6.8</v>
      </c>
      <c r="V654">
        <v>5.6</v>
      </c>
      <c r="W654">
        <v>1.5</v>
      </c>
      <c r="X654">
        <v>1.8</v>
      </c>
      <c r="Y654">
        <v>2.2999999999999998</v>
      </c>
      <c r="Z654">
        <v>4.5999999999999996</v>
      </c>
      <c r="AA654">
        <v>5.5</v>
      </c>
      <c r="AB654" t="s">
        <v>21</v>
      </c>
      <c r="AC654" t="s">
        <v>10</v>
      </c>
      <c r="AD654" t="s">
        <v>12</v>
      </c>
      <c r="AE654" t="str">
        <f t="shared" si="30"/>
        <v>35-44</v>
      </c>
      <c r="AF654" t="str">
        <f t="shared" si="31"/>
        <v>Very Low Usage</v>
      </c>
      <c r="AG654" t="str">
        <f t="shared" si="32"/>
        <v>Moderate Loneliness</v>
      </c>
    </row>
    <row r="655" spans="1:33" x14ac:dyDescent="0.3">
      <c r="A655" t="s">
        <v>699</v>
      </c>
      <c r="B655">
        <v>19</v>
      </c>
      <c r="C655" t="s">
        <v>1</v>
      </c>
      <c r="D655" t="s">
        <v>14</v>
      </c>
      <c r="E655" t="s">
        <v>37</v>
      </c>
      <c r="F655" t="s">
        <v>16</v>
      </c>
      <c r="G655" t="s">
        <v>17</v>
      </c>
      <c r="H655" t="s">
        <v>33</v>
      </c>
      <c r="I655" t="s">
        <v>19</v>
      </c>
      <c r="J655" t="s">
        <v>51</v>
      </c>
      <c r="K655" t="s">
        <v>9</v>
      </c>
      <c r="L655">
        <v>3.54</v>
      </c>
      <c r="M655">
        <v>1.32</v>
      </c>
      <c r="N655">
        <v>6.67</v>
      </c>
      <c r="O655">
        <v>12.82</v>
      </c>
      <c r="P655">
        <v>3</v>
      </c>
      <c r="Q655">
        <v>9.9</v>
      </c>
      <c r="R655">
        <v>10</v>
      </c>
      <c r="S655">
        <v>2</v>
      </c>
      <c r="T655" t="s">
        <v>39</v>
      </c>
      <c r="U655">
        <v>5.7</v>
      </c>
      <c r="V655">
        <v>1.7</v>
      </c>
      <c r="W655">
        <v>0.4</v>
      </c>
      <c r="X655">
        <v>9.6999999999999993</v>
      </c>
      <c r="Y655">
        <v>10</v>
      </c>
      <c r="Z655">
        <v>9.4</v>
      </c>
      <c r="AA655">
        <v>1</v>
      </c>
      <c r="AB655" t="s">
        <v>21</v>
      </c>
      <c r="AC655" t="s">
        <v>10</v>
      </c>
      <c r="AD655" t="s">
        <v>45</v>
      </c>
      <c r="AE655" t="str">
        <f t="shared" si="30"/>
        <v>15-19</v>
      </c>
      <c r="AF655" t="str">
        <f t="shared" si="31"/>
        <v>Moderate Usage</v>
      </c>
      <c r="AG655" t="str">
        <f t="shared" si="32"/>
        <v>High Loneliness</v>
      </c>
    </row>
    <row r="656" spans="1:33" x14ac:dyDescent="0.3">
      <c r="A656" t="s">
        <v>700</v>
      </c>
      <c r="B656">
        <v>27</v>
      </c>
      <c r="C656" t="s">
        <v>32</v>
      </c>
      <c r="D656" t="s">
        <v>58</v>
      </c>
      <c r="E656" t="s">
        <v>59</v>
      </c>
      <c r="F656" t="s">
        <v>16</v>
      </c>
      <c r="G656" t="s">
        <v>5</v>
      </c>
      <c r="H656" t="s">
        <v>33</v>
      </c>
      <c r="I656" t="s">
        <v>19</v>
      </c>
      <c r="J656" t="s">
        <v>20</v>
      </c>
      <c r="K656" t="s">
        <v>53</v>
      </c>
      <c r="L656">
        <v>0.35</v>
      </c>
      <c r="M656">
        <v>5.31</v>
      </c>
      <c r="N656">
        <v>0.75</v>
      </c>
      <c r="O656">
        <v>1.79</v>
      </c>
      <c r="P656">
        <v>7</v>
      </c>
      <c r="Q656">
        <v>1.6</v>
      </c>
      <c r="R656">
        <v>2.2000000000000002</v>
      </c>
      <c r="S656">
        <v>10</v>
      </c>
      <c r="T656" t="s">
        <v>10</v>
      </c>
      <c r="U656">
        <v>7.7</v>
      </c>
      <c r="V656">
        <v>8.6999999999999993</v>
      </c>
      <c r="W656">
        <v>5.9</v>
      </c>
      <c r="X656">
        <v>2.7</v>
      </c>
      <c r="Y656">
        <v>1</v>
      </c>
      <c r="Z656">
        <v>2.9</v>
      </c>
      <c r="AA656">
        <v>9.6999999999999993</v>
      </c>
      <c r="AB656" t="s">
        <v>11</v>
      </c>
      <c r="AC656" t="s">
        <v>10</v>
      </c>
      <c r="AD656" t="s">
        <v>12</v>
      </c>
      <c r="AE656" t="str">
        <f t="shared" si="30"/>
        <v>25-34</v>
      </c>
      <c r="AF656" t="str">
        <f t="shared" si="31"/>
        <v>Very Low Usage</v>
      </c>
      <c r="AG656" t="str">
        <f t="shared" si="32"/>
        <v>Low Loneliness</v>
      </c>
    </row>
    <row r="657" spans="1:33" x14ac:dyDescent="0.3">
      <c r="A657" t="s">
        <v>701</v>
      </c>
      <c r="B657">
        <v>18</v>
      </c>
      <c r="C657" t="s">
        <v>1</v>
      </c>
      <c r="D657" t="s">
        <v>2</v>
      </c>
      <c r="E657" t="s">
        <v>59</v>
      </c>
      <c r="F657" t="s">
        <v>4</v>
      </c>
      <c r="G657" t="s">
        <v>43</v>
      </c>
      <c r="H657" t="s">
        <v>33</v>
      </c>
      <c r="I657" t="s">
        <v>19</v>
      </c>
      <c r="J657" t="s">
        <v>8</v>
      </c>
      <c r="K657" t="s">
        <v>9</v>
      </c>
      <c r="L657">
        <v>3.28</v>
      </c>
      <c r="M657">
        <v>3.2</v>
      </c>
      <c r="N657">
        <v>2.67</v>
      </c>
      <c r="O657">
        <v>7.5</v>
      </c>
      <c r="P657">
        <v>3</v>
      </c>
      <c r="Q657">
        <v>2.8</v>
      </c>
      <c r="R657">
        <v>1.9</v>
      </c>
      <c r="S657">
        <v>6.7</v>
      </c>
      <c r="T657" t="s">
        <v>10</v>
      </c>
      <c r="U657">
        <v>6.7</v>
      </c>
      <c r="V657">
        <v>7.4</v>
      </c>
      <c r="W657">
        <v>0.9</v>
      </c>
      <c r="X657">
        <v>6.5</v>
      </c>
      <c r="Y657">
        <v>4.4000000000000004</v>
      </c>
      <c r="Z657">
        <v>2.6</v>
      </c>
      <c r="AA657">
        <v>4.8</v>
      </c>
      <c r="AB657" t="s">
        <v>44</v>
      </c>
      <c r="AC657" t="s">
        <v>10</v>
      </c>
      <c r="AD657" t="s">
        <v>12</v>
      </c>
      <c r="AE657" t="str">
        <f t="shared" si="30"/>
        <v>15-19</v>
      </c>
      <c r="AF657" t="str">
        <f t="shared" si="31"/>
        <v>Moderate Usage</v>
      </c>
      <c r="AG657" t="str">
        <f t="shared" si="32"/>
        <v>Low Loneliness</v>
      </c>
    </row>
    <row r="658" spans="1:33" x14ac:dyDescent="0.3">
      <c r="A658" t="s">
        <v>702</v>
      </c>
      <c r="B658">
        <v>30</v>
      </c>
      <c r="C658" t="s">
        <v>32</v>
      </c>
      <c r="D658" t="s">
        <v>2</v>
      </c>
      <c r="E658" t="s">
        <v>37</v>
      </c>
      <c r="F658" t="s">
        <v>16</v>
      </c>
      <c r="G658" t="s">
        <v>43</v>
      </c>
      <c r="H658" t="s">
        <v>6</v>
      </c>
      <c r="I658" t="s">
        <v>29</v>
      </c>
      <c r="J658" t="s">
        <v>8</v>
      </c>
      <c r="K658" t="s">
        <v>25</v>
      </c>
      <c r="L658">
        <v>0.06</v>
      </c>
      <c r="M658">
        <v>5.19</v>
      </c>
      <c r="N658">
        <v>2.11</v>
      </c>
      <c r="O658">
        <v>3.2</v>
      </c>
      <c r="P658">
        <v>5</v>
      </c>
      <c r="Q658">
        <v>2</v>
      </c>
      <c r="R658">
        <v>2</v>
      </c>
      <c r="S658">
        <v>6.6</v>
      </c>
      <c r="T658" t="s">
        <v>10</v>
      </c>
      <c r="U658">
        <v>9.1</v>
      </c>
      <c r="V658">
        <v>8.1</v>
      </c>
      <c r="W658">
        <v>5.6</v>
      </c>
      <c r="X658">
        <v>3.2</v>
      </c>
      <c r="Y658">
        <v>3.7</v>
      </c>
      <c r="Z658">
        <v>4</v>
      </c>
      <c r="AA658">
        <v>6.9</v>
      </c>
      <c r="AB658" t="s">
        <v>11</v>
      </c>
      <c r="AC658" t="s">
        <v>10</v>
      </c>
      <c r="AD658" t="s">
        <v>12</v>
      </c>
      <c r="AE658" t="str">
        <f t="shared" si="30"/>
        <v>25-34</v>
      </c>
      <c r="AF658" t="str">
        <f t="shared" si="31"/>
        <v>Very Low Usage</v>
      </c>
      <c r="AG658" t="str">
        <f t="shared" si="32"/>
        <v>Low Loneliness</v>
      </c>
    </row>
    <row r="659" spans="1:33" x14ac:dyDescent="0.3">
      <c r="A659" t="s">
        <v>703</v>
      </c>
      <c r="B659">
        <v>38</v>
      </c>
      <c r="C659" t="s">
        <v>1</v>
      </c>
      <c r="D659" t="s">
        <v>14</v>
      </c>
      <c r="E659" t="s">
        <v>37</v>
      </c>
      <c r="F659" t="s">
        <v>16</v>
      </c>
      <c r="G659" t="s">
        <v>17</v>
      </c>
      <c r="H659" t="s">
        <v>33</v>
      </c>
      <c r="I659" t="s">
        <v>7</v>
      </c>
      <c r="J659" t="s">
        <v>8</v>
      </c>
      <c r="K659" t="s">
        <v>25</v>
      </c>
      <c r="L659">
        <v>0.48</v>
      </c>
      <c r="M659">
        <v>5.59</v>
      </c>
      <c r="N659">
        <v>2.4900000000000002</v>
      </c>
      <c r="O659">
        <v>5.0999999999999996</v>
      </c>
      <c r="P659">
        <v>5</v>
      </c>
      <c r="Q659">
        <v>2.8</v>
      </c>
      <c r="R659">
        <v>3.4</v>
      </c>
      <c r="S659">
        <v>8.6</v>
      </c>
      <c r="T659" t="s">
        <v>10</v>
      </c>
      <c r="U659">
        <v>5.9</v>
      </c>
      <c r="V659">
        <v>6.5</v>
      </c>
      <c r="W659">
        <v>3.9</v>
      </c>
      <c r="X659">
        <v>2.7</v>
      </c>
      <c r="Y659">
        <v>1.4</v>
      </c>
      <c r="Z659">
        <v>4.3</v>
      </c>
      <c r="AA659">
        <v>7.9</v>
      </c>
      <c r="AB659" t="s">
        <v>21</v>
      </c>
      <c r="AC659" t="s">
        <v>10</v>
      </c>
      <c r="AD659" t="s">
        <v>12</v>
      </c>
      <c r="AE659" t="str">
        <f t="shared" si="30"/>
        <v>35-44</v>
      </c>
      <c r="AF659" t="str">
        <f t="shared" si="31"/>
        <v>Very Low Usage</v>
      </c>
      <c r="AG659" t="str">
        <f t="shared" si="32"/>
        <v>Low Loneliness</v>
      </c>
    </row>
    <row r="660" spans="1:33" x14ac:dyDescent="0.3">
      <c r="A660" t="s">
        <v>704</v>
      </c>
      <c r="B660">
        <v>30</v>
      </c>
      <c r="C660" t="s">
        <v>32</v>
      </c>
      <c r="D660" t="s">
        <v>2</v>
      </c>
      <c r="E660" t="s">
        <v>37</v>
      </c>
      <c r="F660" t="s">
        <v>12</v>
      </c>
      <c r="G660" t="s">
        <v>43</v>
      </c>
      <c r="H660" t="s">
        <v>28</v>
      </c>
      <c r="I660" t="s">
        <v>19</v>
      </c>
      <c r="J660" t="s">
        <v>8</v>
      </c>
      <c r="K660" t="s">
        <v>53</v>
      </c>
      <c r="L660">
        <v>0.9</v>
      </c>
      <c r="M660">
        <v>3.88</v>
      </c>
      <c r="N660">
        <v>2.82</v>
      </c>
      <c r="O660">
        <v>4.79</v>
      </c>
      <c r="P660">
        <v>2</v>
      </c>
      <c r="Q660">
        <v>1.6</v>
      </c>
      <c r="R660">
        <v>2.1</v>
      </c>
      <c r="S660">
        <v>8.8000000000000007</v>
      </c>
      <c r="T660" t="s">
        <v>10</v>
      </c>
      <c r="U660">
        <v>5.9</v>
      </c>
      <c r="V660">
        <v>7.3</v>
      </c>
      <c r="W660">
        <v>4.5</v>
      </c>
      <c r="X660">
        <v>2.2999999999999998</v>
      </c>
      <c r="Y660">
        <v>3.4</v>
      </c>
      <c r="Z660">
        <v>3</v>
      </c>
      <c r="AA660">
        <v>7.8</v>
      </c>
      <c r="AB660" t="s">
        <v>21</v>
      </c>
      <c r="AC660" t="s">
        <v>10</v>
      </c>
      <c r="AD660" t="s">
        <v>12</v>
      </c>
      <c r="AE660" t="str">
        <f t="shared" si="30"/>
        <v>25-34</v>
      </c>
      <c r="AF660" t="str">
        <f t="shared" si="31"/>
        <v>Very Low Usage</v>
      </c>
      <c r="AG660" t="str">
        <f t="shared" si="32"/>
        <v>Low Loneliness</v>
      </c>
    </row>
    <row r="661" spans="1:33" x14ac:dyDescent="0.3">
      <c r="A661" t="s">
        <v>705</v>
      </c>
      <c r="B661">
        <v>37</v>
      </c>
      <c r="C661" t="s">
        <v>89</v>
      </c>
      <c r="D661" t="s">
        <v>2</v>
      </c>
      <c r="E661" t="s">
        <v>59</v>
      </c>
      <c r="F661" t="s">
        <v>12</v>
      </c>
      <c r="G661" t="s">
        <v>5</v>
      </c>
      <c r="H661" t="s">
        <v>28</v>
      </c>
      <c r="I661" t="s">
        <v>29</v>
      </c>
      <c r="J661" t="s">
        <v>48</v>
      </c>
      <c r="K661" t="s">
        <v>25</v>
      </c>
      <c r="L661">
        <v>0</v>
      </c>
      <c r="M661">
        <v>3.1</v>
      </c>
      <c r="N661">
        <v>1.03</v>
      </c>
      <c r="O661">
        <v>2.36</v>
      </c>
      <c r="P661">
        <v>5</v>
      </c>
      <c r="Q661">
        <v>2.1</v>
      </c>
      <c r="R661">
        <v>3.1</v>
      </c>
      <c r="S661">
        <v>6.4</v>
      </c>
      <c r="T661" t="s">
        <v>10</v>
      </c>
      <c r="U661">
        <v>8.1999999999999993</v>
      </c>
      <c r="V661">
        <v>6.1</v>
      </c>
      <c r="W661">
        <v>3.1</v>
      </c>
      <c r="X661">
        <v>4.8</v>
      </c>
      <c r="Y661">
        <v>1.3</v>
      </c>
      <c r="Z661">
        <v>4.5</v>
      </c>
      <c r="AA661">
        <v>6</v>
      </c>
      <c r="AB661" t="s">
        <v>11</v>
      </c>
      <c r="AC661" t="s">
        <v>10</v>
      </c>
      <c r="AD661" t="s">
        <v>12</v>
      </c>
      <c r="AE661" t="str">
        <f t="shared" si="30"/>
        <v>35-44</v>
      </c>
      <c r="AF661" t="str">
        <f t="shared" si="31"/>
        <v>Very Low Usage</v>
      </c>
      <c r="AG661" t="str">
        <f t="shared" si="32"/>
        <v>Low Loneliness</v>
      </c>
    </row>
    <row r="662" spans="1:33" x14ac:dyDescent="0.3">
      <c r="A662" t="s">
        <v>706</v>
      </c>
      <c r="B662">
        <v>16</v>
      </c>
      <c r="C662" t="s">
        <v>27</v>
      </c>
      <c r="D662" t="s">
        <v>58</v>
      </c>
      <c r="E662" t="s">
        <v>15</v>
      </c>
      <c r="F662" t="s">
        <v>4</v>
      </c>
      <c r="G662" t="s">
        <v>17</v>
      </c>
      <c r="H662" t="s">
        <v>6</v>
      </c>
      <c r="I662" t="s">
        <v>24</v>
      </c>
      <c r="J662" t="s">
        <v>8</v>
      </c>
      <c r="K662" t="s">
        <v>9</v>
      </c>
      <c r="L662">
        <v>3.19</v>
      </c>
      <c r="M662">
        <v>1.79</v>
      </c>
      <c r="N662">
        <v>4.9400000000000004</v>
      </c>
      <c r="O662">
        <v>9.23</v>
      </c>
      <c r="P662">
        <v>2</v>
      </c>
      <c r="Q662">
        <v>10</v>
      </c>
      <c r="R662">
        <v>8.5</v>
      </c>
      <c r="S662">
        <v>6.2</v>
      </c>
      <c r="T662" t="s">
        <v>39</v>
      </c>
      <c r="U662">
        <v>4.7</v>
      </c>
      <c r="V662">
        <v>4.8</v>
      </c>
      <c r="W662">
        <v>1.8</v>
      </c>
      <c r="X662">
        <v>10</v>
      </c>
      <c r="Y662">
        <v>9</v>
      </c>
      <c r="Z662">
        <v>7.8</v>
      </c>
      <c r="AA662">
        <v>3.3</v>
      </c>
      <c r="AB662" t="s">
        <v>44</v>
      </c>
      <c r="AC662" t="s">
        <v>39</v>
      </c>
      <c r="AD662" t="s">
        <v>45</v>
      </c>
      <c r="AE662" t="str">
        <f t="shared" si="30"/>
        <v>15-19</v>
      </c>
      <c r="AF662" t="str">
        <f t="shared" si="31"/>
        <v>Moderate Usage</v>
      </c>
      <c r="AG662" t="str">
        <f t="shared" si="32"/>
        <v>High Loneliness</v>
      </c>
    </row>
    <row r="663" spans="1:33" x14ac:dyDescent="0.3">
      <c r="A663" t="s">
        <v>707</v>
      </c>
      <c r="B663">
        <v>31</v>
      </c>
      <c r="C663" t="s">
        <v>32</v>
      </c>
      <c r="D663" t="s">
        <v>2</v>
      </c>
      <c r="E663" t="s">
        <v>3</v>
      </c>
      <c r="F663" t="s">
        <v>4</v>
      </c>
      <c r="G663" t="s">
        <v>17</v>
      </c>
      <c r="H663" t="s">
        <v>28</v>
      </c>
      <c r="I663" t="s">
        <v>35</v>
      </c>
      <c r="J663" t="s">
        <v>20</v>
      </c>
      <c r="K663" t="s">
        <v>30</v>
      </c>
      <c r="L663">
        <v>3.3</v>
      </c>
      <c r="M663">
        <v>3.19</v>
      </c>
      <c r="N663">
        <v>4.5</v>
      </c>
      <c r="O663">
        <v>9.57</v>
      </c>
      <c r="P663">
        <v>1</v>
      </c>
      <c r="Q663">
        <v>8.6999999999999993</v>
      </c>
      <c r="R663">
        <v>7.4</v>
      </c>
      <c r="S663">
        <v>3.2</v>
      </c>
      <c r="T663" t="s">
        <v>10</v>
      </c>
      <c r="U663">
        <v>4.2</v>
      </c>
      <c r="V663">
        <v>3.3</v>
      </c>
      <c r="W663">
        <v>4.8</v>
      </c>
      <c r="X663">
        <v>6.8</v>
      </c>
      <c r="Y663">
        <v>5.0999999999999996</v>
      </c>
      <c r="Z663">
        <v>5.0999999999999996</v>
      </c>
      <c r="AA663">
        <v>1.9</v>
      </c>
      <c r="AB663" t="s">
        <v>44</v>
      </c>
      <c r="AC663" t="s">
        <v>10</v>
      </c>
      <c r="AD663" t="s">
        <v>45</v>
      </c>
      <c r="AE663" t="str">
        <f t="shared" si="30"/>
        <v>25-34</v>
      </c>
      <c r="AF663" t="str">
        <f t="shared" si="31"/>
        <v>Moderate Usage</v>
      </c>
      <c r="AG663" t="str">
        <f t="shared" si="32"/>
        <v>High Loneliness</v>
      </c>
    </row>
    <row r="664" spans="1:33" x14ac:dyDescent="0.3">
      <c r="A664" t="s">
        <v>708</v>
      </c>
      <c r="B664">
        <v>42</v>
      </c>
      <c r="C664" t="s">
        <v>1</v>
      </c>
      <c r="D664" t="s">
        <v>14</v>
      </c>
      <c r="E664" t="s">
        <v>37</v>
      </c>
      <c r="F664" t="s">
        <v>16</v>
      </c>
      <c r="G664" t="s">
        <v>17</v>
      </c>
      <c r="H664" t="s">
        <v>28</v>
      </c>
      <c r="I664" t="s">
        <v>35</v>
      </c>
      <c r="J664" t="s">
        <v>8</v>
      </c>
      <c r="K664" t="s">
        <v>30</v>
      </c>
      <c r="L664">
        <v>1.31</v>
      </c>
      <c r="M664">
        <v>3.14</v>
      </c>
      <c r="N664">
        <v>2.9</v>
      </c>
      <c r="O664">
        <v>6.28</v>
      </c>
      <c r="P664">
        <v>1</v>
      </c>
      <c r="Q664">
        <v>4.7</v>
      </c>
      <c r="R664">
        <v>4.4000000000000004</v>
      </c>
      <c r="S664">
        <v>6.4</v>
      </c>
      <c r="T664" t="s">
        <v>10</v>
      </c>
      <c r="U664">
        <v>7.6</v>
      </c>
      <c r="V664">
        <v>5.2</v>
      </c>
      <c r="W664">
        <v>2.9</v>
      </c>
      <c r="X664">
        <v>5.3</v>
      </c>
      <c r="Y664">
        <v>3.8</v>
      </c>
      <c r="Z664">
        <v>6.5</v>
      </c>
      <c r="AA664">
        <v>5.5</v>
      </c>
      <c r="AB664" t="s">
        <v>21</v>
      </c>
      <c r="AC664" t="s">
        <v>10</v>
      </c>
      <c r="AD664" t="s">
        <v>22</v>
      </c>
      <c r="AE664" t="str">
        <f t="shared" si="30"/>
        <v>35-44</v>
      </c>
      <c r="AF664" t="str">
        <f t="shared" si="31"/>
        <v>Low Usage</v>
      </c>
      <c r="AG664" t="str">
        <f t="shared" si="32"/>
        <v>Moderate Loneliness</v>
      </c>
    </row>
    <row r="665" spans="1:33" x14ac:dyDescent="0.3">
      <c r="A665" t="s">
        <v>709</v>
      </c>
      <c r="B665">
        <v>41</v>
      </c>
      <c r="C665" t="s">
        <v>32</v>
      </c>
      <c r="D665" t="s">
        <v>41</v>
      </c>
      <c r="E665" t="s">
        <v>37</v>
      </c>
      <c r="F665" t="s">
        <v>16</v>
      </c>
      <c r="G665" t="s">
        <v>17</v>
      </c>
      <c r="H665" t="s">
        <v>33</v>
      </c>
      <c r="I665" t="s">
        <v>19</v>
      </c>
      <c r="J665" t="s">
        <v>8</v>
      </c>
      <c r="K665" t="s">
        <v>9</v>
      </c>
      <c r="L665">
        <v>1.84</v>
      </c>
      <c r="M665">
        <v>3.02</v>
      </c>
      <c r="N665">
        <v>1.84</v>
      </c>
      <c r="O665">
        <v>5.46</v>
      </c>
      <c r="P665">
        <v>5</v>
      </c>
      <c r="Q665">
        <v>3.1</v>
      </c>
      <c r="R665">
        <v>3.7</v>
      </c>
      <c r="S665">
        <v>7.9</v>
      </c>
      <c r="T665" t="s">
        <v>10</v>
      </c>
      <c r="U665">
        <v>8.5</v>
      </c>
      <c r="V665">
        <v>5</v>
      </c>
      <c r="W665">
        <v>1.2</v>
      </c>
      <c r="X665">
        <v>5.2</v>
      </c>
      <c r="Y665">
        <v>3.2</v>
      </c>
      <c r="Z665">
        <v>4.4000000000000004</v>
      </c>
      <c r="AA665">
        <v>6</v>
      </c>
      <c r="AB665" t="s">
        <v>21</v>
      </c>
      <c r="AC665" t="s">
        <v>39</v>
      </c>
      <c r="AD665" t="s">
        <v>12</v>
      </c>
      <c r="AE665" t="str">
        <f t="shared" si="30"/>
        <v>35-44</v>
      </c>
      <c r="AF665" t="str">
        <f t="shared" si="31"/>
        <v>Low Usage</v>
      </c>
      <c r="AG665" t="str">
        <f t="shared" si="32"/>
        <v>Moderate Loneliness</v>
      </c>
    </row>
    <row r="666" spans="1:33" x14ac:dyDescent="0.3">
      <c r="A666" t="s">
        <v>710</v>
      </c>
      <c r="B666">
        <v>34</v>
      </c>
      <c r="C666" t="s">
        <v>1</v>
      </c>
      <c r="D666" t="s">
        <v>14</v>
      </c>
      <c r="E666" t="s">
        <v>37</v>
      </c>
      <c r="F666" t="s">
        <v>12</v>
      </c>
      <c r="G666" t="s">
        <v>66</v>
      </c>
      <c r="H666" t="s">
        <v>18</v>
      </c>
      <c r="I666" t="s">
        <v>29</v>
      </c>
      <c r="J666" t="s">
        <v>20</v>
      </c>
      <c r="K666" t="s">
        <v>1079</v>
      </c>
      <c r="L666">
        <v>0</v>
      </c>
      <c r="M666">
        <v>5.51</v>
      </c>
      <c r="N666">
        <v>1.01</v>
      </c>
      <c r="O666">
        <v>4.54</v>
      </c>
      <c r="P666">
        <v>8</v>
      </c>
      <c r="Q666">
        <v>5</v>
      </c>
      <c r="R666">
        <v>1.9</v>
      </c>
      <c r="S666">
        <v>6.5</v>
      </c>
      <c r="T666" t="s">
        <v>10</v>
      </c>
      <c r="U666">
        <v>6.3</v>
      </c>
      <c r="V666">
        <v>7.1</v>
      </c>
      <c r="W666">
        <v>6.6</v>
      </c>
      <c r="X666">
        <v>4.0999999999999996</v>
      </c>
      <c r="Y666">
        <v>3.4</v>
      </c>
      <c r="Z666">
        <v>5.7</v>
      </c>
      <c r="AA666">
        <v>6.1</v>
      </c>
      <c r="AB666" t="s">
        <v>11</v>
      </c>
      <c r="AC666" t="s">
        <v>10</v>
      </c>
      <c r="AD666" t="s">
        <v>12</v>
      </c>
      <c r="AE666" t="str">
        <f t="shared" si="30"/>
        <v>25-34</v>
      </c>
      <c r="AF666" t="str">
        <f t="shared" si="31"/>
        <v>Very Low Usage</v>
      </c>
      <c r="AG666" t="str">
        <f t="shared" si="32"/>
        <v>Moderate Loneliness</v>
      </c>
    </row>
    <row r="667" spans="1:33" x14ac:dyDescent="0.3">
      <c r="A667" t="s">
        <v>711</v>
      </c>
      <c r="B667">
        <v>38</v>
      </c>
      <c r="C667" t="s">
        <v>1</v>
      </c>
      <c r="D667" t="s">
        <v>2</v>
      </c>
      <c r="E667" t="s">
        <v>3</v>
      </c>
      <c r="F667" t="s">
        <v>12</v>
      </c>
      <c r="G667" t="s">
        <v>5</v>
      </c>
      <c r="H667" t="s">
        <v>6</v>
      </c>
      <c r="I667" t="s">
        <v>19</v>
      </c>
      <c r="J667" t="s">
        <v>38</v>
      </c>
      <c r="K667" t="s">
        <v>30</v>
      </c>
      <c r="L667">
        <v>3.19</v>
      </c>
      <c r="M667">
        <v>4.5999999999999996</v>
      </c>
      <c r="N667">
        <v>3.72</v>
      </c>
      <c r="O667">
        <v>9.7200000000000006</v>
      </c>
      <c r="P667">
        <v>2</v>
      </c>
      <c r="Q667">
        <v>8.1</v>
      </c>
      <c r="R667">
        <v>4.2</v>
      </c>
      <c r="S667">
        <v>3.9</v>
      </c>
      <c r="T667" t="s">
        <v>10</v>
      </c>
      <c r="U667">
        <v>4.9000000000000004</v>
      </c>
      <c r="V667">
        <v>7.2</v>
      </c>
      <c r="W667">
        <v>3.9</v>
      </c>
      <c r="X667">
        <v>5.8</v>
      </c>
      <c r="Y667">
        <v>5.7</v>
      </c>
      <c r="Z667">
        <v>5.2</v>
      </c>
      <c r="AA667">
        <v>4.5999999999999996</v>
      </c>
      <c r="AB667" t="s">
        <v>21</v>
      </c>
      <c r="AC667" t="s">
        <v>39</v>
      </c>
      <c r="AD667" t="s">
        <v>45</v>
      </c>
      <c r="AE667" t="str">
        <f t="shared" si="30"/>
        <v>35-44</v>
      </c>
      <c r="AF667" t="str">
        <f t="shared" si="31"/>
        <v>Moderate Usage</v>
      </c>
      <c r="AG667" t="str">
        <f t="shared" si="32"/>
        <v>High Loneliness</v>
      </c>
    </row>
    <row r="668" spans="1:33" x14ac:dyDescent="0.3">
      <c r="A668" t="s">
        <v>712</v>
      </c>
      <c r="B668">
        <v>26</v>
      </c>
      <c r="C668" t="s">
        <v>1</v>
      </c>
      <c r="D668" t="s">
        <v>14</v>
      </c>
      <c r="E668" t="s">
        <v>15</v>
      </c>
      <c r="F668" t="s">
        <v>45</v>
      </c>
      <c r="G668" t="s">
        <v>5</v>
      </c>
      <c r="H668" t="s">
        <v>33</v>
      </c>
      <c r="I668" t="s">
        <v>29</v>
      </c>
      <c r="J668" t="s">
        <v>8</v>
      </c>
      <c r="K668" t="s">
        <v>1079</v>
      </c>
      <c r="L668">
        <v>3.06</v>
      </c>
      <c r="M668">
        <v>3.69</v>
      </c>
      <c r="N668">
        <v>2.14</v>
      </c>
      <c r="O668">
        <v>6.42</v>
      </c>
      <c r="P668">
        <v>3</v>
      </c>
      <c r="Q668">
        <v>5.7</v>
      </c>
      <c r="R668">
        <v>5.2</v>
      </c>
      <c r="S668">
        <v>5.5</v>
      </c>
      <c r="T668" t="s">
        <v>10</v>
      </c>
      <c r="U668">
        <v>5.7</v>
      </c>
      <c r="V668">
        <v>6.7</v>
      </c>
      <c r="W668">
        <v>3.8</v>
      </c>
      <c r="X668">
        <v>4.2</v>
      </c>
      <c r="Y668">
        <v>5.2</v>
      </c>
      <c r="Z668">
        <v>5.2</v>
      </c>
      <c r="AA668">
        <v>4.5999999999999996</v>
      </c>
      <c r="AB668" t="s">
        <v>21</v>
      </c>
      <c r="AC668" t="s">
        <v>10</v>
      </c>
      <c r="AD668" t="s">
        <v>45</v>
      </c>
      <c r="AE668" t="str">
        <f t="shared" si="30"/>
        <v>25-34</v>
      </c>
      <c r="AF668" t="str">
        <f t="shared" si="31"/>
        <v>Moderate Usage</v>
      </c>
      <c r="AG668" t="str">
        <f t="shared" si="32"/>
        <v>Moderate Loneliness</v>
      </c>
    </row>
    <row r="669" spans="1:33" x14ac:dyDescent="0.3">
      <c r="A669" t="s">
        <v>713</v>
      </c>
      <c r="B669">
        <v>32</v>
      </c>
      <c r="C669" t="s">
        <v>32</v>
      </c>
      <c r="D669" t="s">
        <v>47</v>
      </c>
      <c r="E669" t="s">
        <v>15</v>
      </c>
      <c r="F669" t="s">
        <v>12</v>
      </c>
      <c r="G669" t="s">
        <v>66</v>
      </c>
      <c r="H669" t="s">
        <v>28</v>
      </c>
      <c r="I669" t="s">
        <v>35</v>
      </c>
      <c r="J669" t="s">
        <v>48</v>
      </c>
      <c r="K669" t="s">
        <v>9</v>
      </c>
      <c r="L669">
        <v>1.62</v>
      </c>
      <c r="M669">
        <v>2.5499999999999998</v>
      </c>
      <c r="N669">
        <v>2.59</v>
      </c>
      <c r="O669">
        <v>6.54</v>
      </c>
      <c r="P669">
        <v>4</v>
      </c>
      <c r="Q669">
        <v>6.1</v>
      </c>
      <c r="R669">
        <v>2.7</v>
      </c>
      <c r="S669">
        <v>3.9</v>
      </c>
      <c r="T669" t="s">
        <v>10</v>
      </c>
      <c r="U669">
        <v>6.5</v>
      </c>
      <c r="V669">
        <v>8.1</v>
      </c>
      <c r="W669">
        <v>5</v>
      </c>
      <c r="X669">
        <v>3.2</v>
      </c>
      <c r="Y669">
        <v>3</v>
      </c>
      <c r="Z669">
        <v>6</v>
      </c>
      <c r="AA669">
        <v>8.6999999999999993</v>
      </c>
      <c r="AB669" t="s">
        <v>44</v>
      </c>
      <c r="AC669" t="s">
        <v>10</v>
      </c>
      <c r="AD669" t="s">
        <v>22</v>
      </c>
      <c r="AE669" t="str">
        <f t="shared" si="30"/>
        <v>25-34</v>
      </c>
      <c r="AF669" t="str">
        <f t="shared" si="31"/>
        <v>Low Usage</v>
      </c>
      <c r="AG669" t="str">
        <f t="shared" si="32"/>
        <v>High Loneliness</v>
      </c>
    </row>
    <row r="670" spans="1:33" x14ac:dyDescent="0.3">
      <c r="A670" t="s">
        <v>714</v>
      </c>
      <c r="B670">
        <v>17</v>
      </c>
      <c r="C670" t="s">
        <v>32</v>
      </c>
      <c r="D670" t="s">
        <v>58</v>
      </c>
      <c r="E670" t="s">
        <v>15</v>
      </c>
      <c r="F670" t="s">
        <v>4</v>
      </c>
      <c r="G670" t="s">
        <v>17</v>
      </c>
      <c r="H670" t="s">
        <v>6</v>
      </c>
      <c r="I670" t="s">
        <v>29</v>
      </c>
      <c r="J670" t="s">
        <v>8</v>
      </c>
      <c r="K670" t="s">
        <v>53</v>
      </c>
      <c r="L670">
        <v>2.09</v>
      </c>
      <c r="M670">
        <v>3.09</v>
      </c>
      <c r="N670">
        <v>2.94</v>
      </c>
      <c r="O670">
        <v>6.33</v>
      </c>
      <c r="P670">
        <v>6</v>
      </c>
      <c r="Q670">
        <v>5.3</v>
      </c>
      <c r="R670">
        <v>3.8</v>
      </c>
      <c r="S670">
        <v>6</v>
      </c>
      <c r="T670" t="s">
        <v>10</v>
      </c>
      <c r="U670">
        <v>8.3000000000000007</v>
      </c>
      <c r="V670">
        <v>5.7</v>
      </c>
      <c r="W670">
        <v>3.5</v>
      </c>
      <c r="X670">
        <v>6.7</v>
      </c>
      <c r="Y670">
        <v>3.8</v>
      </c>
      <c r="Z670">
        <v>4.8</v>
      </c>
      <c r="AA670">
        <v>4.2</v>
      </c>
      <c r="AB670" t="s">
        <v>21</v>
      </c>
      <c r="AC670" t="s">
        <v>10</v>
      </c>
      <c r="AD670" t="s">
        <v>45</v>
      </c>
      <c r="AE670" t="str">
        <f t="shared" si="30"/>
        <v>15-19</v>
      </c>
      <c r="AF670" t="str">
        <f t="shared" si="31"/>
        <v>Low Usage</v>
      </c>
      <c r="AG670" t="str">
        <f t="shared" si="32"/>
        <v>Moderate Loneliness</v>
      </c>
    </row>
    <row r="671" spans="1:33" x14ac:dyDescent="0.3">
      <c r="A671" t="s">
        <v>715</v>
      </c>
      <c r="B671">
        <v>42</v>
      </c>
      <c r="C671" t="s">
        <v>32</v>
      </c>
      <c r="D671" t="s">
        <v>14</v>
      </c>
      <c r="E671" t="s">
        <v>15</v>
      </c>
      <c r="F671" t="s">
        <v>4</v>
      </c>
      <c r="G671" t="s">
        <v>43</v>
      </c>
      <c r="H671" t="s">
        <v>28</v>
      </c>
      <c r="I671" t="s">
        <v>29</v>
      </c>
      <c r="J671" t="s">
        <v>8</v>
      </c>
      <c r="K671" t="s">
        <v>1079</v>
      </c>
      <c r="L671">
        <v>2.86</v>
      </c>
      <c r="M671">
        <v>3.17</v>
      </c>
      <c r="N671">
        <v>2.06</v>
      </c>
      <c r="O671">
        <v>6.52</v>
      </c>
      <c r="P671">
        <v>0</v>
      </c>
      <c r="Q671">
        <v>7.2</v>
      </c>
      <c r="R671">
        <v>6.8</v>
      </c>
      <c r="S671">
        <v>1.8</v>
      </c>
      <c r="T671" t="s">
        <v>10</v>
      </c>
      <c r="U671">
        <v>6</v>
      </c>
      <c r="V671">
        <v>1.8</v>
      </c>
      <c r="W671">
        <v>5.4</v>
      </c>
      <c r="X671">
        <v>5.8</v>
      </c>
      <c r="Y671">
        <v>7.6</v>
      </c>
      <c r="Z671">
        <v>7.8</v>
      </c>
      <c r="AA671">
        <v>2.9</v>
      </c>
      <c r="AB671" t="s">
        <v>21</v>
      </c>
      <c r="AC671" t="s">
        <v>39</v>
      </c>
      <c r="AD671" t="s">
        <v>45</v>
      </c>
      <c r="AE671" t="str">
        <f t="shared" si="30"/>
        <v>35-44</v>
      </c>
      <c r="AF671" t="str">
        <f t="shared" si="31"/>
        <v>Moderate Usage</v>
      </c>
      <c r="AG671" t="str">
        <f t="shared" si="32"/>
        <v>High Loneliness</v>
      </c>
    </row>
    <row r="672" spans="1:33" x14ac:dyDescent="0.3">
      <c r="A672" t="s">
        <v>716</v>
      </c>
      <c r="B672">
        <v>15</v>
      </c>
      <c r="C672" t="s">
        <v>1</v>
      </c>
      <c r="D672" t="s">
        <v>58</v>
      </c>
      <c r="E672" t="s">
        <v>15</v>
      </c>
      <c r="F672" t="s">
        <v>4</v>
      </c>
      <c r="G672" t="s">
        <v>17</v>
      </c>
      <c r="H672" t="s">
        <v>28</v>
      </c>
      <c r="I672" t="s">
        <v>19</v>
      </c>
      <c r="J672" t="s">
        <v>8</v>
      </c>
      <c r="K672" t="s">
        <v>30</v>
      </c>
      <c r="L672">
        <v>0.95</v>
      </c>
      <c r="M672">
        <v>3.36</v>
      </c>
      <c r="N672">
        <v>1.41</v>
      </c>
      <c r="O672">
        <v>4.84</v>
      </c>
      <c r="P672">
        <v>5</v>
      </c>
      <c r="Q672">
        <v>2.9</v>
      </c>
      <c r="R672">
        <v>3.9</v>
      </c>
      <c r="S672">
        <v>6.3</v>
      </c>
      <c r="T672" t="s">
        <v>10</v>
      </c>
      <c r="U672">
        <v>7.9</v>
      </c>
      <c r="V672">
        <v>6.9</v>
      </c>
      <c r="W672">
        <v>5.3</v>
      </c>
      <c r="X672">
        <v>3.7</v>
      </c>
      <c r="Y672">
        <v>4.3</v>
      </c>
      <c r="Z672">
        <v>6</v>
      </c>
      <c r="AA672">
        <v>5.2</v>
      </c>
      <c r="AB672" t="s">
        <v>21</v>
      </c>
      <c r="AC672" t="s">
        <v>10</v>
      </c>
      <c r="AD672" t="s">
        <v>12</v>
      </c>
      <c r="AE672" t="str">
        <f t="shared" si="30"/>
        <v>15-19</v>
      </c>
      <c r="AF672" t="str">
        <f t="shared" si="31"/>
        <v>Very Low Usage</v>
      </c>
      <c r="AG672" t="str">
        <f t="shared" si="32"/>
        <v>Low Loneliness</v>
      </c>
    </row>
    <row r="673" spans="1:33" x14ac:dyDescent="0.3">
      <c r="A673" t="s">
        <v>717</v>
      </c>
      <c r="B673">
        <v>15</v>
      </c>
      <c r="C673" t="s">
        <v>1</v>
      </c>
      <c r="D673" t="s">
        <v>14</v>
      </c>
      <c r="E673" t="s">
        <v>37</v>
      </c>
      <c r="F673" t="s">
        <v>12</v>
      </c>
      <c r="G673" t="s">
        <v>43</v>
      </c>
      <c r="H673" t="s">
        <v>18</v>
      </c>
      <c r="I673" t="s">
        <v>19</v>
      </c>
      <c r="J673" t="s">
        <v>8</v>
      </c>
      <c r="K673" t="s">
        <v>25</v>
      </c>
      <c r="L673">
        <v>0</v>
      </c>
      <c r="M673">
        <v>5.45</v>
      </c>
      <c r="N673">
        <v>2.12</v>
      </c>
      <c r="O673">
        <v>4.78</v>
      </c>
      <c r="P673">
        <v>4</v>
      </c>
      <c r="Q673">
        <v>2.8</v>
      </c>
      <c r="R673">
        <v>1.6</v>
      </c>
      <c r="S673">
        <v>6.7</v>
      </c>
      <c r="T673" t="s">
        <v>10</v>
      </c>
      <c r="U673">
        <v>8.1999999999999993</v>
      </c>
      <c r="V673">
        <v>8.1999999999999993</v>
      </c>
      <c r="W673">
        <v>4.3</v>
      </c>
      <c r="X673">
        <v>3.7</v>
      </c>
      <c r="Y673">
        <v>1.8</v>
      </c>
      <c r="Z673">
        <v>4</v>
      </c>
      <c r="AA673">
        <v>7.5</v>
      </c>
      <c r="AB673" t="s">
        <v>11</v>
      </c>
      <c r="AC673" t="s">
        <v>10</v>
      </c>
      <c r="AD673" t="s">
        <v>12</v>
      </c>
      <c r="AE673" t="str">
        <f t="shared" si="30"/>
        <v>15-19</v>
      </c>
      <c r="AF673" t="str">
        <f t="shared" si="31"/>
        <v>Very Low Usage</v>
      </c>
      <c r="AG673" t="str">
        <f t="shared" si="32"/>
        <v>Low Loneliness</v>
      </c>
    </row>
    <row r="674" spans="1:33" x14ac:dyDescent="0.3">
      <c r="A674" t="s">
        <v>718</v>
      </c>
      <c r="B674">
        <v>43</v>
      </c>
      <c r="C674" t="s">
        <v>89</v>
      </c>
      <c r="D674" t="s">
        <v>58</v>
      </c>
      <c r="E674" t="s">
        <v>37</v>
      </c>
      <c r="F674" t="s">
        <v>12</v>
      </c>
      <c r="G674" t="s">
        <v>17</v>
      </c>
      <c r="H674" t="s">
        <v>28</v>
      </c>
      <c r="I674" t="s">
        <v>7</v>
      </c>
      <c r="J674" t="s">
        <v>8</v>
      </c>
      <c r="K674" t="s">
        <v>30</v>
      </c>
      <c r="L674">
        <v>0</v>
      </c>
      <c r="M674">
        <v>4.55</v>
      </c>
      <c r="N674">
        <v>0.65</v>
      </c>
      <c r="O674">
        <v>2.0699999999999998</v>
      </c>
      <c r="P674">
        <v>5</v>
      </c>
      <c r="Q674">
        <v>2.1</v>
      </c>
      <c r="R674">
        <v>1.6</v>
      </c>
      <c r="S674">
        <v>9.4</v>
      </c>
      <c r="T674" t="s">
        <v>10</v>
      </c>
      <c r="U674">
        <v>9.1</v>
      </c>
      <c r="V674">
        <v>10</v>
      </c>
      <c r="W674">
        <v>7.8</v>
      </c>
      <c r="X674">
        <v>2</v>
      </c>
      <c r="Y674">
        <v>1</v>
      </c>
      <c r="Z674">
        <v>2.6</v>
      </c>
      <c r="AA674">
        <v>8.6</v>
      </c>
      <c r="AB674" t="s">
        <v>21</v>
      </c>
      <c r="AC674" t="s">
        <v>10</v>
      </c>
      <c r="AD674" t="s">
        <v>12</v>
      </c>
      <c r="AE674" t="str">
        <f t="shared" si="30"/>
        <v>35-44</v>
      </c>
      <c r="AF674" t="str">
        <f t="shared" si="31"/>
        <v>Very Low Usage</v>
      </c>
      <c r="AG674" t="str">
        <f t="shared" si="32"/>
        <v>Low Loneliness</v>
      </c>
    </row>
    <row r="675" spans="1:33" x14ac:dyDescent="0.3">
      <c r="A675" t="s">
        <v>719</v>
      </c>
      <c r="B675">
        <v>33</v>
      </c>
      <c r="C675" t="s">
        <v>1</v>
      </c>
      <c r="D675" t="s">
        <v>47</v>
      </c>
      <c r="E675" t="s">
        <v>3</v>
      </c>
      <c r="F675" t="s">
        <v>12</v>
      </c>
      <c r="G675" t="s">
        <v>43</v>
      </c>
      <c r="H675" t="s">
        <v>18</v>
      </c>
      <c r="I675" t="s">
        <v>19</v>
      </c>
      <c r="J675" t="s">
        <v>8</v>
      </c>
      <c r="K675" t="s">
        <v>9</v>
      </c>
      <c r="L675">
        <v>1.82</v>
      </c>
      <c r="M675">
        <v>3.75</v>
      </c>
      <c r="N675">
        <v>2.19</v>
      </c>
      <c r="O675">
        <v>4.9000000000000004</v>
      </c>
      <c r="P675">
        <v>2</v>
      </c>
      <c r="Q675">
        <v>3.5</v>
      </c>
      <c r="R675">
        <v>5.6</v>
      </c>
      <c r="S675">
        <v>2.6</v>
      </c>
      <c r="T675" t="s">
        <v>39</v>
      </c>
      <c r="U675">
        <v>6.3</v>
      </c>
      <c r="V675">
        <v>6</v>
      </c>
      <c r="W675">
        <v>6.4</v>
      </c>
      <c r="X675">
        <v>5.5</v>
      </c>
      <c r="Y675">
        <v>6</v>
      </c>
      <c r="Z675">
        <v>4.5999999999999996</v>
      </c>
      <c r="AA675">
        <v>5.9</v>
      </c>
      <c r="AB675" t="s">
        <v>21</v>
      </c>
      <c r="AC675" t="s">
        <v>10</v>
      </c>
      <c r="AD675" t="s">
        <v>22</v>
      </c>
      <c r="AE675" t="str">
        <f t="shared" si="30"/>
        <v>25-34</v>
      </c>
      <c r="AF675" t="str">
        <f t="shared" si="31"/>
        <v>Low Usage</v>
      </c>
      <c r="AG675" t="str">
        <f t="shared" si="32"/>
        <v>Moderate Loneliness</v>
      </c>
    </row>
    <row r="676" spans="1:33" x14ac:dyDescent="0.3">
      <c r="A676" t="s">
        <v>720</v>
      </c>
      <c r="B676">
        <v>25</v>
      </c>
      <c r="C676" t="s">
        <v>1</v>
      </c>
      <c r="D676" t="s">
        <v>47</v>
      </c>
      <c r="E676" t="s">
        <v>15</v>
      </c>
      <c r="F676" t="s">
        <v>4</v>
      </c>
      <c r="G676" t="s">
        <v>17</v>
      </c>
      <c r="H676" t="s">
        <v>28</v>
      </c>
      <c r="I676" t="s">
        <v>29</v>
      </c>
      <c r="J676" t="s">
        <v>48</v>
      </c>
      <c r="K676" t="s">
        <v>9</v>
      </c>
      <c r="L676">
        <v>3.56</v>
      </c>
      <c r="M676">
        <v>1.39</v>
      </c>
      <c r="N676">
        <v>3.9</v>
      </c>
      <c r="O676">
        <v>9.56</v>
      </c>
      <c r="P676">
        <v>0</v>
      </c>
      <c r="Q676">
        <v>10</v>
      </c>
      <c r="R676">
        <v>10</v>
      </c>
      <c r="S676">
        <v>1</v>
      </c>
      <c r="T676" t="s">
        <v>10</v>
      </c>
      <c r="U676">
        <v>5.5</v>
      </c>
      <c r="V676">
        <v>1.7</v>
      </c>
      <c r="W676">
        <v>2.8</v>
      </c>
      <c r="X676">
        <v>8.4</v>
      </c>
      <c r="Y676">
        <v>10</v>
      </c>
      <c r="Z676">
        <v>7.8</v>
      </c>
      <c r="AA676">
        <v>3</v>
      </c>
      <c r="AB676" t="s">
        <v>44</v>
      </c>
      <c r="AC676" t="s">
        <v>39</v>
      </c>
      <c r="AD676" t="s">
        <v>45</v>
      </c>
      <c r="AE676" t="str">
        <f t="shared" si="30"/>
        <v>25-34</v>
      </c>
      <c r="AF676" t="str">
        <f t="shared" si="31"/>
        <v>Moderate Usage</v>
      </c>
      <c r="AG676" t="str">
        <f t="shared" si="32"/>
        <v>High Loneliness</v>
      </c>
    </row>
    <row r="677" spans="1:33" x14ac:dyDescent="0.3">
      <c r="A677" t="s">
        <v>721</v>
      </c>
      <c r="B677">
        <v>19</v>
      </c>
      <c r="C677" t="s">
        <v>1</v>
      </c>
      <c r="D677" t="s">
        <v>14</v>
      </c>
      <c r="E677" t="s">
        <v>3</v>
      </c>
      <c r="F677" t="s">
        <v>4</v>
      </c>
      <c r="G677" t="s">
        <v>17</v>
      </c>
      <c r="H677" t="s">
        <v>18</v>
      </c>
      <c r="I677" t="s">
        <v>29</v>
      </c>
      <c r="J677" t="s">
        <v>8</v>
      </c>
      <c r="K677" t="s">
        <v>53</v>
      </c>
      <c r="L677">
        <v>0</v>
      </c>
      <c r="M677">
        <v>5.84</v>
      </c>
      <c r="N677">
        <v>0.66</v>
      </c>
      <c r="O677">
        <v>3.09</v>
      </c>
      <c r="P677">
        <v>4</v>
      </c>
      <c r="Q677">
        <v>3.5</v>
      </c>
      <c r="R677">
        <v>2.1</v>
      </c>
      <c r="S677">
        <v>7.4</v>
      </c>
      <c r="T677" t="s">
        <v>10</v>
      </c>
      <c r="U677">
        <v>7.6</v>
      </c>
      <c r="V677">
        <v>8.4</v>
      </c>
      <c r="W677">
        <v>5.9</v>
      </c>
      <c r="X677">
        <v>1.8</v>
      </c>
      <c r="Y677">
        <v>1.4</v>
      </c>
      <c r="Z677">
        <v>3.5</v>
      </c>
      <c r="AA677">
        <v>6.1</v>
      </c>
      <c r="AB677" t="s">
        <v>11</v>
      </c>
      <c r="AC677" t="s">
        <v>10</v>
      </c>
      <c r="AD677" t="s">
        <v>12</v>
      </c>
      <c r="AE677" t="str">
        <f t="shared" si="30"/>
        <v>15-19</v>
      </c>
      <c r="AF677" t="str">
        <f t="shared" si="31"/>
        <v>Very Low Usage</v>
      </c>
      <c r="AG677" t="str">
        <f t="shared" si="32"/>
        <v>Moderate Loneliness</v>
      </c>
    </row>
    <row r="678" spans="1:33" x14ac:dyDescent="0.3">
      <c r="A678" t="s">
        <v>722</v>
      </c>
      <c r="B678">
        <v>26</v>
      </c>
      <c r="C678" t="s">
        <v>32</v>
      </c>
      <c r="D678" t="s">
        <v>41</v>
      </c>
      <c r="E678" t="s">
        <v>15</v>
      </c>
      <c r="F678" t="s">
        <v>12</v>
      </c>
      <c r="G678" t="s">
        <v>43</v>
      </c>
      <c r="H678" t="s">
        <v>28</v>
      </c>
      <c r="I678" t="s">
        <v>19</v>
      </c>
      <c r="J678" t="s">
        <v>20</v>
      </c>
      <c r="K678" t="s">
        <v>1079</v>
      </c>
      <c r="L678">
        <v>3.31</v>
      </c>
      <c r="M678">
        <v>2.78</v>
      </c>
      <c r="N678">
        <v>5.24</v>
      </c>
      <c r="O678">
        <v>9.92</v>
      </c>
      <c r="P678">
        <v>2</v>
      </c>
      <c r="Q678">
        <v>8.6</v>
      </c>
      <c r="R678">
        <v>5.2</v>
      </c>
      <c r="S678">
        <v>4.5</v>
      </c>
      <c r="T678" t="s">
        <v>10</v>
      </c>
      <c r="U678">
        <v>6.7</v>
      </c>
      <c r="V678">
        <v>4.0999999999999996</v>
      </c>
      <c r="W678">
        <v>1.4</v>
      </c>
      <c r="X678">
        <v>5.8</v>
      </c>
      <c r="Y678">
        <v>5.5</v>
      </c>
      <c r="Z678">
        <v>3.4</v>
      </c>
      <c r="AA678">
        <v>5.0999999999999996</v>
      </c>
      <c r="AB678" t="s">
        <v>21</v>
      </c>
      <c r="AC678" t="s">
        <v>10</v>
      </c>
      <c r="AD678" t="s">
        <v>45</v>
      </c>
      <c r="AE678" t="str">
        <f t="shared" si="30"/>
        <v>25-34</v>
      </c>
      <c r="AF678" t="str">
        <f t="shared" si="31"/>
        <v>Moderate Usage</v>
      </c>
      <c r="AG678" t="str">
        <f t="shared" si="32"/>
        <v>High Loneliness</v>
      </c>
    </row>
    <row r="679" spans="1:33" x14ac:dyDescent="0.3">
      <c r="A679" t="s">
        <v>723</v>
      </c>
      <c r="B679">
        <v>17</v>
      </c>
      <c r="C679" t="s">
        <v>32</v>
      </c>
      <c r="D679" t="s">
        <v>47</v>
      </c>
      <c r="E679" t="s">
        <v>3</v>
      </c>
      <c r="F679" t="s">
        <v>16</v>
      </c>
      <c r="G679" t="s">
        <v>17</v>
      </c>
      <c r="H679" t="s">
        <v>33</v>
      </c>
      <c r="I679" t="s">
        <v>29</v>
      </c>
      <c r="J679" t="s">
        <v>8</v>
      </c>
      <c r="K679" t="s">
        <v>53</v>
      </c>
      <c r="L679">
        <v>0.74</v>
      </c>
      <c r="M679">
        <v>4.55</v>
      </c>
      <c r="N679">
        <v>0.7</v>
      </c>
      <c r="O679">
        <v>4.26</v>
      </c>
      <c r="P679">
        <v>1</v>
      </c>
      <c r="Q679">
        <v>6.3</v>
      </c>
      <c r="R679">
        <v>4.4000000000000004</v>
      </c>
      <c r="S679">
        <v>7.6</v>
      </c>
      <c r="T679" t="s">
        <v>10</v>
      </c>
      <c r="U679">
        <v>8.6</v>
      </c>
      <c r="V679">
        <v>8.3000000000000007</v>
      </c>
      <c r="W679">
        <v>5.8</v>
      </c>
      <c r="X679">
        <v>4</v>
      </c>
      <c r="Y679">
        <v>2.2999999999999998</v>
      </c>
      <c r="Z679">
        <v>3.2</v>
      </c>
      <c r="AA679">
        <v>6.2</v>
      </c>
      <c r="AB679" t="s">
        <v>11</v>
      </c>
      <c r="AC679" t="s">
        <v>39</v>
      </c>
      <c r="AD679" t="s">
        <v>12</v>
      </c>
      <c r="AE679" t="str">
        <f t="shared" si="30"/>
        <v>15-19</v>
      </c>
      <c r="AF679" t="str">
        <f t="shared" si="31"/>
        <v>Very Low Usage</v>
      </c>
      <c r="AG679" t="str">
        <f t="shared" si="32"/>
        <v>High Loneliness</v>
      </c>
    </row>
    <row r="680" spans="1:33" x14ac:dyDescent="0.3">
      <c r="A680" t="s">
        <v>724</v>
      </c>
      <c r="B680">
        <v>15</v>
      </c>
      <c r="C680" t="s">
        <v>1</v>
      </c>
      <c r="D680" t="s">
        <v>14</v>
      </c>
      <c r="E680" t="s">
        <v>3</v>
      </c>
      <c r="F680" t="s">
        <v>16</v>
      </c>
      <c r="G680" t="s">
        <v>5</v>
      </c>
      <c r="H680" t="s">
        <v>33</v>
      </c>
      <c r="I680" t="s">
        <v>24</v>
      </c>
      <c r="J680" t="s">
        <v>20</v>
      </c>
      <c r="K680" t="s">
        <v>1079</v>
      </c>
      <c r="L680">
        <v>1.73</v>
      </c>
      <c r="M680">
        <v>3.72</v>
      </c>
      <c r="N680">
        <v>3.5</v>
      </c>
      <c r="O680">
        <v>7.87</v>
      </c>
      <c r="P680">
        <v>2</v>
      </c>
      <c r="Q680">
        <v>4.5</v>
      </c>
      <c r="R680">
        <v>4</v>
      </c>
      <c r="S680">
        <v>8.3000000000000007</v>
      </c>
      <c r="T680" t="s">
        <v>10</v>
      </c>
      <c r="U680">
        <v>9.3000000000000007</v>
      </c>
      <c r="V680">
        <v>7.2</v>
      </c>
      <c r="W680">
        <v>5.2</v>
      </c>
      <c r="X680">
        <v>3.7</v>
      </c>
      <c r="Y680">
        <v>2.8</v>
      </c>
      <c r="Z680">
        <v>3.4</v>
      </c>
      <c r="AA680">
        <v>7.4</v>
      </c>
      <c r="AB680" t="s">
        <v>21</v>
      </c>
      <c r="AC680" t="s">
        <v>10</v>
      </c>
      <c r="AD680" t="s">
        <v>12</v>
      </c>
      <c r="AE680" t="str">
        <f t="shared" si="30"/>
        <v>15-19</v>
      </c>
      <c r="AF680" t="str">
        <f t="shared" si="31"/>
        <v>Low Usage</v>
      </c>
      <c r="AG680" t="str">
        <f t="shared" si="32"/>
        <v>Moderate Loneliness</v>
      </c>
    </row>
    <row r="681" spans="1:33" x14ac:dyDescent="0.3">
      <c r="A681" t="s">
        <v>725</v>
      </c>
      <c r="B681">
        <v>15</v>
      </c>
      <c r="C681" t="s">
        <v>1</v>
      </c>
      <c r="D681" t="s">
        <v>47</v>
      </c>
      <c r="E681" t="s">
        <v>3</v>
      </c>
      <c r="F681" t="s">
        <v>12</v>
      </c>
      <c r="G681" t="s">
        <v>17</v>
      </c>
      <c r="H681" t="s">
        <v>28</v>
      </c>
      <c r="I681" t="s">
        <v>19</v>
      </c>
      <c r="J681" t="s">
        <v>20</v>
      </c>
      <c r="K681" t="s">
        <v>1079</v>
      </c>
      <c r="L681">
        <v>2.92</v>
      </c>
      <c r="M681">
        <v>3.03</v>
      </c>
      <c r="N681">
        <v>3.08</v>
      </c>
      <c r="O681">
        <v>7.36</v>
      </c>
      <c r="P681">
        <v>3</v>
      </c>
      <c r="Q681">
        <v>6.9</v>
      </c>
      <c r="R681">
        <v>5.6</v>
      </c>
      <c r="S681">
        <v>4.3</v>
      </c>
      <c r="T681" t="s">
        <v>10</v>
      </c>
      <c r="U681">
        <v>6</v>
      </c>
      <c r="V681">
        <v>3.7</v>
      </c>
      <c r="W681">
        <v>2.9</v>
      </c>
      <c r="X681">
        <v>6.7</v>
      </c>
      <c r="Y681">
        <v>6.8</v>
      </c>
      <c r="Z681">
        <v>5.4</v>
      </c>
      <c r="AA681">
        <v>6.3</v>
      </c>
      <c r="AB681" t="s">
        <v>21</v>
      </c>
      <c r="AC681" t="s">
        <v>39</v>
      </c>
      <c r="AD681" t="s">
        <v>45</v>
      </c>
      <c r="AE681" t="str">
        <f t="shared" si="30"/>
        <v>15-19</v>
      </c>
      <c r="AF681" t="str">
        <f t="shared" si="31"/>
        <v>Moderate Usage</v>
      </c>
      <c r="AG681" t="str">
        <f t="shared" si="32"/>
        <v>High Loneliness</v>
      </c>
    </row>
    <row r="682" spans="1:33" x14ac:dyDescent="0.3">
      <c r="A682" t="s">
        <v>726</v>
      </c>
      <c r="B682">
        <v>22</v>
      </c>
      <c r="C682" t="s">
        <v>32</v>
      </c>
      <c r="D682" t="s">
        <v>14</v>
      </c>
      <c r="E682" t="s">
        <v>3</v>
      </c>
      <c r="F682" t="s">
        <v>4</v>
      </c>
      <c r="G682" t="s">
        <v>5</v>
      </c>
      <c r="H682" t="s">
        <v>28</v>
      </c>
      <c r="I682" t="s">
        <v>24</v>
      </c>
      <c r="J682" t="s">
        <v>8</v>
      </c>
      <c r="K682" t="s">
        <v>9</v>
      </c>
      <c r="L682">
        <v>1.45</v>
      </c>
      <c r="M682">
        <v>4.0199999999999996</v>
      </c>
      <c r="N682">
        <v>1.59</v>
      </c>
      <c r="O682">
        <v>6.17</v>
      </c>
      <c r="P682">
        <v>6</v>
      </c>
      <c r="Q682">
        <v>2.5</v>
      </c>
      <c r="R682">
        <v>3.9</v>
      </c>
      <c r="S682">
        <v>6.5</v>
      </c>
      <c r="T682" t="s">
        <v>39</v>
      </c>
      <c r="U682">
        <v>7.3</v>
      </c>
      <c r="V682">
        <v>7.6</v>
      </c>
      <c r="W682">
        <v>5.4</v>
      </c>
      <c r="X682">
        <v>2.8</v>
      </c>
      <c r="Y682">
        <v>2.1</v>
      </c>
      <c r="Z682">
        <v>4.8</v>
      </c>
      <c r="AA682">
        <v>5.5</v>
      </c>
      <c r="AB682" t="s">
        <v>21</v>
      </c>
      <c r="AC682" t="s">
        <v>10</v>
      </c>
      <c r="AD682" t="s">
        <v>12</v>
      </c>
      <c r="AE682" t="str">
        <f t="shared" si="30"/>
        <v>20-24</v>
      </c>
      <c r="AF682" t="str">
        <f t="shared" si="31"/>
        <v>Low Usage</v>
      </c>
      <c r="AG682" t="str">
        <f t="shared" si="32"/>
        <v>Low Loneliness</v>
      </c>
    </row>
    <row r="683" spans="1:33" x14ac:dyDescent="0.3">
      <c r="A683" t="s">
        <v>727</v>
      </c>
      <c r="B683">
        <v>24</v>
      </c>
      <c r="C683" t="s">
        <v>32</v>
      </c>
      <c r="D683" t="s">
        <v>58</v>
      </c>
      <c r="E683" t="s">
        <v>15</v>
      </c>
      <c r="F683" t="s">
        <v>16</v>
      </c>
      <c r="G683" t="s">
        <v>17</v>
      </c>
      <c r="H683" t="s">
        <v>28</v>
      </c>
      <c r="I683" t="s">
        <v>35</v>
      </c>
      <c r="J683" t="s">
        <v>8</v>
      </c>
      <c r="K683" t="s">
        <v>25</v>
      </c>
      <c r="L683">
        <v>1.25</v>
      </c>
      <c r="M683">
        <v>2.86</v>
      </c>
      <c r="N683">
        <v>3.13</v>
      </c>
      <c r="O683">
        <v>7.55</v>
      </c>
      <c r="P683">
        <v>8</v>
      </c>
      <c r="Q683">
        <v>6</v>
      </c>
      <c r="R683">
        <v>5.3</v>
      </c>
      <c r="S683">
        <v>4.0999999999999996</v>
      </c>
      <c r="T683" t="s">
        <v>10</v>
      </c>
      <c r="U683">
        <v>7.6</v>
      </c>
      <c r="V683">
        <v>5.2</v>
      </c>
      <c r="W683">
        <v>3.8</v>
      </c>
      <c r="X683">
        <v>5.8</v>
      </c>
      <c r="Y683">
        <v>3.8</v>
      </c>
      <c r="Z683">
        <v>3.7</v>
      </c>
      <c r="AA683">
        <v>4.5</v>
      </c>
      <c r="AB683" t="s">
        <v>21</v>
      </c>
      <c r="AC683" t="s">
        <v>10</v>
      </c>
      <c r="AD683" t="s">
        <v>22</v>
      </c>
      <c r="AE683" t="str">
        <f t="shared" si="30"/>
        <v>20-24</v>
      </c>
      <c r="AF683" t="str">
        <f t="shared" si="31"/>
        <v>Low Usage</v>
      </c>
      <c r="AG683" t="str">
        <f t="shared" si="32"/>
        <v>Moderate Loneliness</v>
      </c>
    </row>
    <row r="684" spans="1:33" x14ac:dyDescent="0.3">
      <c r="A684" t="s">
        <v>728</v>
      </c>
      <c r="B684">
        <v>25</v>
      </c>
      <c r="C684" t="s">
        <v>1</v>
      </c>
      <c r="D684" t="s">
        <v>14</v>
      </c>
      <c r="E684" t="s">
        <v>15</v>
      </c>
      <c r="F684" t="s">
        <v>4</v>
      </c>
      <c r="G684" t="s">
        <v>17</v>
      </c>
      <c r="H684" t="s">
        <v>28</v>
      </c>
      <c r="I684" t="s">
        <v>35</v>
      </c>
      <c r="J684" t="s">
        <v>48</v>
      </c>
      <c r="K684" t="s">
        <v>53</v>
      </c>
      <c r="L684">
        <v>0.73</v>
      </c>
      <c r="M684">
        <v>3.91</v>
      </c>
      <c r="N684">
        <v>2.78</v>
      </c>
      <c r="O684">
        <v>7.58</v>
      </c>
      <c r="P684">
        <v>5</v>
      </c>
      <c r="Q684">
        <v>6.2</v>
      </c>
      <c r="R684">
        <v>5</v>
      </c>
      <c r="S684">
        <v>5.3</v>
      </c>
      <c r="T684" t="s">
        <v>10</v>
      </c>
      <c r="U684">
        <v>7.4</v>
      </c>
      <c r="V684">
        <v>5.7</v>
      </c>
      <c r="W684">
        <v>4.5</v>
      </c>
      <c r="X684">
        <v>5.3</v>
      </c>
      <c r="Y684">
        <v>4.3</v>
      </c>
      <c r="Z684">
        <v>6.8</v>
      </c>
      <c r="AA684">
        <v>4.3</v>
      </c>
      <c r="AB684" t="s">
        <v>21</v>
      </c>
      <c r="AC684" t="s">
        <v>10</v>
      </c>
      <c r="AD684" t="s">
        <v>22</v>
      </c>
      <c r="AE684" t="str">
        <f t="shared" si="30"/>
        <v>25-34</v>
      </c>
      <c r="AF684" t="str">
        <f t="shared" si="31"/>
        <v>Very Low Usage</v>
      </c>
      <c r="AG684" t="str">
        <f t="shared" si="32"/>
        <v>High Loneliness</v>
      </c>
    </row>
    <row r="685" spans="1:33" x14ac:dyDescent="0.3">
      <c r="A685" t="s">
        <v>729</v>
      </c>
      <c r="B685">
        <v>26</v>
      </c>
      <c r="C685" t="s">
        <v>27</v>
      </c>
      <c r="D685" t="s">
        <v>2</v>
      </c>
      <c r="E685" t="s">
        <v>37</v>
      </c>
      <c r="F685" t="s">
        <v>4</v>
      </c>
      <c r="G685" t="s">
        <v>17</v>
      </c>
      <c r="H685" t="s">
        <v>33</v>
      </c>
      <c r="I685" t="s">
        <v>35</v>
      </c>
      <c r="J685" t="s">
        <v>51</v>
      </c>
      <c r="K685" t="s">
        <v>53</v>
      </c>
      <c r="L685">
        <v>0.28999999999999998</v>
      </c>
      <c r="M685">
        <v>5.1100000000000003</v>
      </c>
      <c r="N685">
        <v>1.63</v>
      </c>
      <c r="O685">
        <v>5.63</v>
      </c>
      <c r="P685">
        <v>4</v>
      </c>
      <c r="Q685">
        <v>1.9</v>
      </c>
      <c r="R685">
        <v>5</v>
      </c>
      <c r="S685">
        <v>7.3</v>
      </c>
      <c r="T685" t="s">
        <v>39</v>
      </c>
      <c r="U685">
        <v>9</v>
      </c>
      <c r="V685">
        <v>7.2</v>
      </c>
      <c r="W685">
        <v>6.4</v>
      </c>
      <c r="X685">
        <v>4</v>
      </c>
      <c r="Y685">
        <v>2.9</v>
      </c>
      <c r="Z685">
        <v>5</v>
      </c>
      <c r="AA685">
        <v>6.9</v>
      </c>
      <c r="AB685" t="s">
        <v>21</v>
      </c>
      <c r="AC685" t="s">
        <v>10</v>
      </c>
      <c r="AD685" t="s">
        <v>12</v>
      </c>
      <c r="AE685" t="str">
        <f t="shared" si="30"/>
        <v>25-34</v>
      </c>
      <c r="AF685" t="str">
        <f t="shared" si="31"/>
        <v>Very Low Usage</v>
      </c>
      <c r="AG685" t="str">
        <f t="shared" si="32"/>
        <v>Low Loneliness</v>
      </c>
    </row>
    <row r="686" spans="1:33" x14ac:dyDescent="0.3">
      <c r="A686" t="s">
        <v>730</v>
      </c>
      <c r="B686">
        <v>43</v>
      </c>
      <c r="C686" t="s">
        <v>1</v>
      </c>
      <c r="D686" t="s">
        <v>2</v>
      </c>
      <c r="E686" t="s">
        <v>3</v>
      </c>
      <c r="F686" t="s">
        <v>16</v>
      </c>
      <c r="G686" t="s">
        <v>5</v>
      </c>
      <c r="H686" t="s">
        <v>33</v>
      </c>
      <c r="I686" t="s">
        <v>29</v>
      </c>
      <c r="J686" t="s">
        <v>8</v>
      </c>
      <c r="K686" t="s">
        <v>30</v>
      </c>
      <c r="L686">
        <v>2.08</v>
      </c>
      <c r="M686">
        <v>2.68</v>
      </c>
      <c r="N686">
        <v>3.61</v>
      </c>
      <c r="O686">
        <v>6.79</v>
      </c>
      <c r="P686">
        <v>0</v>
      </c>
      <c r="Q686">
        <v>6.7</v>
      </c>
      <c r="R686">
        <v>4.3</v>
      </c>
      <c r="S686">
        <v>1.5</v>
      </c>
      <c r="T686" t="s">
        <v>39</v>
      </c>
      <c r="U686">
        <v>6.3</v>
      </c>
      <c r="V686">
        <v>5.2</v>
      </c>
      <c r="W686">
        <v>0.9</v>
      </c>
      <c r="X686">
        <v>6.7</v>
      </c>
      <c r="Y686">
        <v>6.9</v>
      </c>
      <c r="Z686">
        <v>8.1999999999999993</v>
      </c>
      <c r="AA686">
        <v>5.8</v>
      </c>
      <c r="AB686" t="s">
        <v>44</v>
      </c>
      <c r="AC686" t="s">
        <v>10</v>
      </c>
      <c r="AD686" t="s">
        <v>45</v>
      </c>
      <c r="AE686" t="str">
        <f t="shared" si="30"/>
        <v>35-44</v>
      </c>
      <c r="AF686" t="str">
        <f t="shared" si="31"/>
        <v>Low Usage</v>
      </c>
      <c r="AG686" t="str">
        <f t="shared" si="32"/>
        <v>High Loneliness</v>
      </c>
    </row>
    <row r="687" spans="1:33" x14ac:dyDescent="0.3">
      <c r="A687" t="s">
        <v>731</v>
      </c>
      <c r="B687">
        <v>27</v>
      </c>
      <c r="C687" t="s">
        <v>1</v>
      </c>
      <c r="D687" t="s">
        <v>14</v>
      </c>
      <c r="E687" t="s">
        <v>3</v>
      </c>
      <c r="F687" t="s">
        <v>45</v>
      </c>
      <c r="G687" t="s">
        <v>17</v>
      </c>
      <c r="H687" t="s">
        <v>28</v>
      </c>
      <c r="I687" t="s">
        <v>29</v>
      </c>
      <c r="J687" t="s">
        <v>8</v>
      </c>
      <c r="K687" t="s">
        <v>1079</v>
      </c>
      <c r="L687">
        <v>1.29</v>
      </c>
      <c r="M687">
        <v>5</v>
      </c>
      <c r="N687">
        <v>2.48</v>
      </c>
      <c r="O687">
        <v>6.69</v>
      </c>
      <c r="P687">
        <v>5</v>
      </c>
      <c r="Q687">
        <v>4.9000000000000004</v>
      </c>
      <c r="R687">
        <v>2.6</v>
      </c>
      <c r="S687">
        <v>5</v>
      </c>
      <c r="T687" t="s">
        <v>10</v>
      </c>
      <c r="U687">
        <v>6.7</v>
      </c>
      <c r="V687">
        <v>5</v>
      </c>
      <c r="W687">
        <v>2.5</v>
      </c>
      <c r="X687">
        <v>4.7</v>
      </c>
      <c r="Y687">
        <v>4.2</v>
      </c>
      <c r="Z687">
        <v>4.3</v>
      </c>
      <c r="AA687">
        <v>4.8</v>
      </c>
      <c r="AB687" t="s">
        <v>21</v>
      </c>
      <c r="AC687" t="s">
        <v>10</v>
      </c>
      <c r="AD687" t="s">
        <v>12</v>
      </c>
      <c r="AE687" t="str">
        <f t="shared" si="30"/>
        <v>25-34</v>
      </c>
      <c r="AF687" t="str">
        <f t="shared" si="31"/>
        <v>Low Usage</v>
      </c>
      <c r="AG687" t="str">
        <f t="shared" si="32"/>
        <v>Moderate Loneliness</v>
      </c>
    </row>
    <row r="688" spans="1:33" x14ac:dyDescent="0.3">
      <c r="A688" t="s">
        <v>732</v>
      </c>
      <c r="B688">
        <v>26</v>
      </c>
      <c r="C688" t="s">
        <v>27</v>
      </c>
      <c r="D688" t="s">
        <v>14</v>
      </c>
      <c r="E688" t="s">
        <v>3</v>
      </c>
      <c r="F688" t="s">
        <v>16</v>
      </c>
      <c r="G688" t="s">
        <v>17</v>
      </c>
      <c r="H688" t="s">
        <v>28</v>
      </c>
      <c r="I688" t="s">
        <v>29</v>
      </c>
      <c r="J688" t="s">
        <v>51</v>
      </c>
      <c r="K688" t="s">
        <v>53</v>
      </c>
      <c r="L688">
        <v>0</v>
      </c>
      <c r="M688">
        <v>5.79</v>
      </c>
      <c r="N688">
        <v>0.9</v>
      </c>
      <c r="O688">
        <v>3.78</v>
      </c>
      <c r="P688">
        <v>4</v>
      </c>
      <c r="Q688">
        <v>2.6</v>
      </c>
      <c r="R688">
        <v>1</v>
      </c>
      <c r="S688">
        <v>9.4</v>
      </c>
      <c r="T688" t="s">
        <v>10</v>
      </c>
      <c r="U688">
        <v>9.1999999999999993</v>
      </c>
      <c r="V688">
        <v>9</v>
      </c>
      <c r="W688">
        <v>4.3</v>
      </c>
      <c r="X688">
        <v>1</v>
      </c>
      <c r="Y688">
        <v>3.2</v>
      </c>
      <c r="Z688">
        <v>2.9</v>
      </c>
      <c r="AA688">
        <v>8</v>
      </c>
      <c r="AB688" t="s">
        <v>11</v>
      </c>
      <c r="AC688" t="s">
        <v>10</v>
      </c>
      <c r="AD688" t="s">
        <v>12</v>
      </c>
      <c r="AE688" t="str">
        <f t="shared" si="30"/>
        <v>25-34</v>
      </c>
      <c r="AF688" t="str">
        <f t="shared" si="31"/>
        <v>Very Low Usage</v>
      </c>
      <c r="AG688" t="str">
        <f t="shared" si="32"/>
        <v>Low Loneliness</v>
      </c>
    </row>
    <row r="689" spans="1:33" x14ac:dyDescent="0.3">
      <c r="A689" t="s">
        <v>733</v>
      </c>
      <c r="B689">
        <v>28</v>
      </c>
      <c r="C689" t="s">
        <v>1</v>
      </c>
      <c r="D689" t="s">
        <v>14</v>
      </c>
      <c r="E689" t="s">
        <v>3</v>
      </c>
      <c r="F689" t="s">
        <v>4</v>
      </c>
      <c r="G689" t="s">
        <v>17</v>
      </c>
      <c r="H689" t="s">
        <v>28</v>
      </c>
      <c r="I689" t="s">
        <v>35</v>
      </c>
      <c r="J689" t="s">
        <v>8</v>
      </c>
      <c r="K689" t="s">
        <v>9</v>
      </c>
      <c r="L689">
        <v>1.01</v>
      </c>
      <c r="M689">
        <v>3.7</v>
      </c>
      <c r="N689">
        <v>2.54</v>
      </c>
      <c r="O689">
        <v>5.21</v>
      </c>
      <c r="P689">
        <v>4</v>
      </c>
      <c r="Q689">
        <v>4.0999999999999996</v>
      </c>
      <c r="R689">
        <v>2.5</v>
      </c>
      <c r="S689">
        <v>8</v>
      </c>
      <c r="T689" t="s">
        <v>10</v>
      </c>
      <c r="U689">
        <v>7.9</v>
      </c>
      <c r="V689">
        <v>9.4</v>
      </c>
      <c r="W689">
        <v>8</v>
      </c>
      <c r="X689">
        <v>4.0999999999999996</v>
      </c>
      <c r="Y689">
        <v>1</v>
      </c>
      <c r="Z689">
        <v>4.5</v>
      </c>
      <c r="AA689">
        <v>8.9</v>
      </c>
      <c r="AB689" t="s">
        <v>21</v>
      </c>
      <c r="AC689" t="s">
        <v>10</v>
      </c>
      <c r="AD689" t="s">
        <v>12</v>
      </c>
      <c r="AE689" t="str">
        <f t="shared" si="30"/>
        <v>25-34</v>
      </c>
      <c r="AF689" t="str">
        <f t="shared" si="31"/>
        <v>Low Usage</v>
      </c>
      <c r="AG689" t="str">
        <f t="shared" si="32"/>
        <v>Moderate Loneliness</v>
      </c>
    </row>
    <row r="690" spans="1:33" x14ac:dyDescent="0.3">
      <c r="A690" t="s">
        <v>734</v>
      </c>
      <c r="B690">
        <v>16</v>
      </c>
      <c r="C690" t="s">
        <v>32</v>
      </c>
      <c r="D690" t="s">
        <v>2</v>
      </c>
      <c r="E690" t="s">
        <v>15</v>
      </c>
      <c r="F690" t="s">
        <v>16</v>
      </c>
      <c r="G690" t="s">
        <v>17</v>
      </c>
      <c r="H690" t="s">
        <v>33</v>
      </c>
      <c r="I690" t="s">
        <v>254</v>
      </c>
      <c r="J690" t="s">
        <v>20</v>
      </c>
      <c r="K690" t="s">
        <v>9</v>
      </c>
      <c r="L690">
        <v>0</v>
      </c>
      <c r="M690">
        <v>8.77</v>
      </c>
      <c r="N690">
        <v>0</v>
      </c>
      <c r="O690">
        <v>2.4500000000000002</v>
      </c>
      <c r="P690">
        <v>10</v>
      </c>
      <c r="Q690">
        <v>1</v>
      </c>
      <c r="R690">
        <v>1</v>
      </c>
      <c r="S690">
        <v>10</v>
      </c>
      <c r="T690" t="s">
        <v>10</v>
      </c>
      <c r="U690">
        <v>9.6999999999999993</v>
      </c>
      <c r="V690">
        <v>10</v>
      </c>
      <c r="W690">
        <v>8.6999999999999993</v>
      </c>
      <c r="X690">
        <v>1</v>
      </c>
      <c r="Y690">
        <v>1</v>
      </c>
      <c r="Z690">
        <v>1</v>
      </c>
      <c r="AA690">
        <v>10</v>
      </c>
      <c r="AB690" t="s">
        <v>11</v>
      </c>
      <c r="AC690" t="s">
        <v>10</v>
      </c>
      <c r="AD690" t="s">
        <v>12</v>
      </c>
      <c r="AE690" t="str">
        <f t="shared" si="30"/>
        <v>15-19</v>
      </c>
      <c r="AF690" t="str">
        <f t="shared" si="31"/>
        <v>Very Low Usage</v>
      </c>
      <c r="AG690" t="str">
        <f t="shared" si="32"/>
        <v>Low Loneliness</v>
      </c>
    </row>
    <row r="691" spans="1:33" x14ac:dyDescent="0.3">
      <c r="A691" t="s">
        <v>735</v>
      </c>
      <c r="B691">
        <v>43</v>
      </c>
      <c r="C691" t="s">
        <v>1</v>
      </c>
      <c r="D691" t="s">
        <v>14</v>
      </c>
      <c r="E691" t="s">
        <v>3</v>
      </c>
      <c r="F691" t="s">
        <v>4</v>
      </c>
      <c r="G691" t="s">
        <v>5</v>
      </c>
      <c r="H691" t="s">
        <v>28</v>
      </c>
      <c r="I691" t="s">
        <v>7</v>
      </c>
      <c r="J691" t="s">
        <v>8</v>
      </c>
      <c r="K691" t="s">
        <v>1079</v>
      </c>
      <c r="L691">
        <v>1.28</v>
      </c>
      <c r="M691">
        <v>4.71</v>
      </c>
      <c r="N691">
        <v>1.64</v>
      </c>
      <c r="O691">
        <v>3.04</v>
      </c>
      <c r="P691">
        <v>4</v>
      </c>
      <c r="Q691">
        <v>5.4</v>
      </c>
      <c r="R691">
        <v>5.0999999999999996</v>
      </c>
      <c r="S691">
        <v>5.0999999999999996</v>
      </c>
      <c r="T691" t="s">
        <v>10</v>
      </c>
      <c r="U691">
        <v>6.9</v>
      </c>
      <c r="V691">
        <v>5.6</v>
      </c>
      <c r="W691">
        <v>5</v>
      </c>
      <c r="X691">
        <v>5.8</v>
      </c>
      <c r="Y691">
        <v>3</v>
      </c>
      <c r="Z691">
        <v>4.4000000000000004</v>
      </c>
      <c r="AA691">
        <v>5.3</v>
      </c>
      <c r="AB691" t="s">
        <v>44</v>
      </c>
      <c r="AC691" t="s">
        <v>10</v>
      </c>
      <c r="AD691" t="s">
        <v>22</v>
      </c>
      <c r="AE691" t="str">
        <f t="shared" si="30"/>
        <v>35-44</v>
      </c>
      <c r="AF691" t="str">
        <f t="shared" si="31"/>
        <v>Low Usage</v>
      </c>
      <c r="AG691" t="str">
        <f t="shared" si="32"/>
        <v>Moderate Loneliness</v>
      </c>
    </row>
    <row r="692" spans="1:33" x14ac:dyDescent="0.3">
      <c r="A692" t="s">
        <v>736</v>
      </c>
      <c r="B692">
        <v>33</v>
      </c>
      <c r="C692" t="s">
        <v>1</v>
      </c>
      <c r="D692" t="s">
        <v>2</v>
      </c>
      <c r="E692" t="s">
        <v>37</v>
      </c>
      <c r="F692" t="s">
        <v>16</v>
      </c>
      <c r="G692" t="s">
        <v>43</v>
      </c>
      <c r="H692" t="s">
        <v>6</v>
      </c>
      <c r="I692" t="s">
        <v>29</v>
      </c>
      <c r="J692" t="s">
        <v>8</v>
      </c>
      <c r="K692" t="s">
        <v>9</v>
      </c>
      <c r="L692">
        <v>3.18</v>
      </c>
      <c r="M692">
        <v>3.57</v>
      </c>
      <c r="N692">
        <v>3.02</v>
      </c>
      <c r="O692">
        <v>6.29</v>
      </c>
      <c r="P692">
        <v>1</v>
      </c>
      <c r="Q692">
        <v>8.6</v>
      </c>
      <c r="R692">
        <v>7.3</v>
      </c>
      <c r="S692">
        <v>1.1000000000000001</v>
      </c>
      <c r="T692" t="s">
        <v>39</v>
      </c>
      <c r="U692">
        <v>6.9</v>
      </c>
      <c r="V692">
        <v>3.7</v>
      </c>
      <c r="W692">
        <v>4.0999999999999996</v>
      </c>
      <c r="X692">
        <v>7</v>
      </c>
      <c r="Y692">
        <v>6.3</v>
      </c>
      <c r="Z692">
        <v>7.4</v>
      </c>
      <c r="AA692">
        <v>3.3</v>
      </c>
      <c r="AB692" t="s">
        <v>44</v>
      </c>
      <c r="AC692" t="s">
        <v>39</v>
      </c>
      <c r="AD692" t="s">
        <v>45</v>
      </c>
      <c r="AE692" t="str">
        <f t="shared" si="30"/>
        <v>25-34</v>
      </c>
      <c r="AF692" t="str">
        <f t="shared" si="31"/>
        <v>Moderate Usage</v>
      </c>
      <c r="AG692" t="str">
        <f t="shared" si="32"/>
        <v>High Loneliness</v>
      </c>
    </row>
    <row r="693" spans="1:33" x14ac:dyDescent="0.3">
      <c r="A693" t="s">
        <v>737</v>
      </c>
      <c r="B693">
        <v>32</v>
      </c>
      <c r="C693" t="s">
        <v>89</v>
      </c>
      <c r="D693" t="s">
        <v>14</v>
      </c>
      <c r="E693" t="s">
        <v>3</v>
      </c>
      <c r="F693" t="s">
        <v>4</v>
      </c>
      <c r="G693" t="s">
        <v>17</v>
      </c>
      <c r="H693" t="s">
        <v>33</v>
      </c>
      <c r="I693" t="s">
        <v>35</v>
      </c>
      <c r="J693" t="s">
        <v>20</v>
      </c>
      <c r="K693" t="s">
        <v>1079</v>
      </c>
      <c r="L693">
        <v>1.04</v>
      </c>
      <c r="M693">
        <v>5.55</v>
      </c>
      <c r="N693">
        <v>0.39</v>
      </c>
      <c r="O693">
        <v>1.72</v>
      </c>
      <c r="P693">
        <v>3</v>
      </c>
      <c r="Q693">
        <v>2.5</v>
      </c>
      <c r="R693">
        <v>2.5</v>
      </c>
      <c r="S693">
        <v>5.3</v>
      </c>
      <c r="T693" t="s">
        <v>10</v>
      </c>
      <c r="U693">
        <v>7</v>
      </c>
      <c r="V693">
        <v>8.6999999999999993</v>
      </c>
      <c r="W693">
        <v>3.7</v>
      </c>
      <c r="X693">
        <v>1</v>
      </c>
      <c r="Y693">
        <v>2.2999999999999998</v>
      </c>
      <c r="Z693">
        <v>3</v>
      </c>
      <c r="AA693">
        <v>9.1</v>
      </c>
      <c r="AB693" t="s">
        <v>11</v>
      </c>
      <c r="AC693" t="s">
        <v>10</v>
      </c>
      <c r="AD693" t="s">
        <v>12</v>
      </c>
      <c r="AE693" t="str">
        <f t="shared" si="30"/>
        <v>25-34</v>
      </c>
      <c r="AF693" t="str">
        <f t="shared" si="31"/>
        <v>Low Usage</v>
      </c>
      <c r="AG693" t="str">
        <f t="shared" si="32"/>
        <v>Low Loneliness</v>
      </c>
    </row>
    <row r="694" spans="1:33" x14ac:dyDescent="0.3">
      <c r="A694" t="s">
        <v>738</v>
      </c>
      <c r="B694">
        <v>17</v>
      </c>
      <c r="C694" t="s">
        <v>1</v>
      </c>
      <c r="D694" t="s">
        <v>14</v>
      </c>
      <c r="E694" t="s">
        <v>3</v>
      </c>
      <c r="F694" t="s">
        <v>12</v>
      </c>
      <c r="G694" t="s">
        <v>5</v>
      </c>
      <c r="H694" t="s">
        <v>28</v>
      </c>
      <c r="I694" t="s">
        <v>19</v>
      </c>
      <c r="J694" t="s">
        <v>20</v>
      </c>
      <c r="K694" t="s">
        <v>25</v>
      </c>
      <c r="L694">
        <v>3.67</v>
      </c>
      <c r="M694">
        <v>1.02</v>
      </c>
      <c r="N694">
        <v>3.17</v>
      </c>
      <c r="O694">
        <v>9.23</v>
      </c>
      <c r="P694">
        <v>3</v>
      </c>
      <c r="Q694">
        <v>5.8</v>
      </c>
      <c r="R694">
        <v>5.5</v>
      </c>
      <c r="S694">
        <v>4.4000000000000004</v>
      </c>
      <c r="T694" t="s">
        <v>10</v>
      </c>
      <c r="U694">
        <v>6.2</v>
      </c>
      <c r="V694">
        <v>6.1</v>
      </c>
      <c r="W694">
        <v>0.2</v>
      </c>
      <c r="X694">
        <v>5.6</v>
      </c>
      <c r="Y694">
        <v>6.6</v>
      </c>
      <c r="Z694">
        <v>4.7</v>
      </c>
      <c r="AA694">
        <v>6.8</v>
      </c>
      <c r="AB694" t="s">
        <v>44</v>
      </c>
      <c r="AC694" t="s">
        <v>10</v>
      </c>
      <c r="AD694" t="s">
        <v>45</v>
      </c>
      <c r="AE694" t="str">
        <f t="shared" si="30"/>
        <v>15-19</v>
      </c>
      <c r="AF694" t="str">
        <f t="shared" si="31"/>
        <v>Moderate Usage</v>
      </c>
      <c r="AG694" t="str">
        <f t="shared" si="32"/>
        <v>Moderate Loneliness</v>
      </c>
    </row>
    <row r="695" spans="1:33" x14ac:dyDescent="0.3">
      <c r="A695" t="s">
        <v>739</v>
      </c>
      <c r="B695">
        <v>37</v>
      </c>
      <c r="C695" t="s">
        <v>32</v>
      </c>
      <c r="D695" t="s">
        <v>47</v>
      </c>
      <c r="E695" t="s">
        <v>37</v>
      </c>
      <c r="F695" t="s">
        <v>16</v>
      </c>
      <c r="G695" t="s">
        <v>5</v>
      </c>
      <c r="H695" t="s">
        <v>18</v>
      </c>
      <c r="I695" t="s">
        <v>29</v>
      </c>
      <c r="J695" t="s">
        <v>8</v>
      </c>
      <c r="K695" t="s">
        <v>1079</v>
      </c>
      <c r="L695">
        <v>3.52</v>
      </c>
      <c r="M695">
        <v>4.62</v>
      </c>
      <c r="N695">
        <v>3.44</v>
      </c>
      <c r="O695">
        <v>9.39</v>
      </c>
      <c r="P695">
        <v>4</v>
      </c>
      <c r="Q695">
        <v>6.8</v>
      </c>
      <c r="R695">
        <v>6.4</v>
      </c>
      <c r="S695">
        <v>7.1</v>
      </c>
      <c r="T695" t="s">
        <v>10</v>
      </c>
      <c r="U695">
        <v>4.3</v>
      </c>
      <c r="V695">
        <v>7.5</v>
      </c>
      <c r="W695">
        <v>3.4</v>
      </c>
      <c r="X695">
        <v>3.6</v>
      </c>
      <c r="Y695">
        <v>4.4000000000000004</v>
      </c>
      <c r="Z695">
        <v>2.9</v>
      </c>
      <c r="AA695">
        <v>7.2</v>
      </c>
      <c r="AB695" t="s">
        <v>21</v>
      </c>
      <c r="AC695" t="s">
        <v>10</v>
      </c>
      <c r="AD695" t="s">
        <v>22</v>
      </c>
      <c r="AE695" t="str">
        <f t="shared" si="30"/>
        <v>35-44</v>
      </c>
      <c r="AF695" t="str">
        <f t="shared" si="31"/>
        <v>Moderate Usage</v>
      </c>
      <c r="AG695" t="str">
        <f t="shared" si="32"/>
        <v>High Loneliness</v>
      </c>
    </row>
    <row r="696" spans="1:33" x14ac:dyDescent="0.3">
      <c r="A696" t="s">
        <v>740</v>
      </c>
      <c r="B696">
        <v>31</v>
      </c>
      <c r="C696" t="s">
        <v>1</v>
      </c>
      <c r="D696" t="s">
        <v>14</v>
      </c>
      <c r="E696" t="s">
        <v>37</v>
      </c>
      <c r="F696" t="s">
        <v>4</v>
      </c>
      <c r="G696" t="s">
        <v>17</v>
      </c>
      <c r="H696" t="s">
        <v>6</v>
      </c>
      <c r="I696" t="s">
        <v>19</v>
      </c>
      <c r="J696" t="s">
        <v>20</v>
      </c>
      <c r="K696" t="s">
        <v>53</v>
      </c>
      <c r="L696">
        <v>0</v>
      </c>
      <c r="M696">
        <v>4.8899999999999997</v>
      </c>
      <c r="N696">
        <v>0</v>
      </c>
      <c r="O696">
        <v>1.73</v>
      </c>
      <c r="P696">
        <v>7</v>
      </c>
      <c r="Q696">
        <v>3.1</v>
      </c>
      <c r="R696">
        <v>4</v>
      </c>
      <c r="S696">
        <v>7.6</v>
      </c>
      <c r="T696" t="s">
        <v>39</v>
      </c>
      <c r="U696">
        <v>7</v>
      </c>
      <c r="V696">
        <v>5.9</v>
      </c>
      <c r="W696">
        <v>6.2</v>
      </c>
      <c r="X696">
        <v>4.3</v>
      </c>
      <c r="Y696">
        <v>2.9</v>
      </c>
      <c r="Z696">
        <v>2.6</v>
      </c>
      <c r="AA696">
        <v>9.1</v>
      </c>
      <c r="AB696" t="s">
        <v>11</v>
      </c>
      <c r="AC696" t="s">
        <v>39</v>
      </c>
      <c r="AD696" t="s">
        <v>12</v>
      </c>
      <c r="AE696" t="str">
        <f t="shared" si="30"/>
        <v>25-34</v>
      </c>
      <c r="AF696" t="str">
        <f t="shared" si="31"/>
        <v>Very Low Usage</v>
      </c>
      <c r="AG696" t="str">
        <f t="shared" si="32"/>
        <v>Moderate Loneliness</v>
      </c>
    </row>
    <row r="697" spans="1:33" x14ac:dyDescent="0.3">
      <c r="A697" t="s">
        <v>741</v>
      </c>
      <c r="B697">
        <v>40</v>
      </c>
      <c r="C697" t="s">
        <v>1</v>
      </c>
      <c r="D697" t="s">
        <v>58</v>
      </c>
      <c r="E697" t="s">
        <v>3</v>
      </c>
      <c r="F697" t="s">
        <v>4</v>
      </c>
      <c r="G697" t="s">
        <v>5</v>
      </c>
      <c r="H697" t="s">
        <v>18</v>
      </c>
      <c r="I697" t="s">
        <v>29</v>
      </c>
      <c r="J697" t="s">
        <v>51</v>
      </c>
      <c r="K697" t="s">
        <v>9</v>
      </c>
      <c r="L697">
        <v>3.2</v>
      </c>
      <c r="M697">
        <v>2.66</v>
      </c>
      <c r="N697">
        <v>3.56</v>
      </c>
      <c r="O697">
        <v>10.48</v>
      </c>
      <c r="P697">
        <v>0</v>
      </c>
      <c r="Q697">
        <v>6.9</v>
      </c>
      <c r="R697">
        <v>7.1</v>
      </c>
      <c r="S697">
        <v>4.3</v>
      </c>
      <c r="T697" t="s">
        <v>39</v>
      </c>
      <c r="U697">
        <v>6.8</v>
      </c>
      <c r="V697">
        <v>4.0999999999999996</v>
      </c>
      <c r="W697">
        <v>1.9</v>
      </c>
      <c r="X697">
        <v>7</v>
      </c>
      <c r="Y697">
        <v>6.8</v>
      </c>
      <c r="Z697">
        <v>4.8</v>
      </c>
      <c r="AA697">
        <v>2.2999999999999998</v>
      </c>
      <c r="AB697" t="s">
        <v>44</v>
      </c>
      <c r="AC697" t="s">
        <v>39</v>
      </c>
      <c r="AD697" t="s">
        <v>45</v>
      </c>
      <c r="AE697" t="str">
        <f t="shared" si="30"/>
        <v>35-44</v>
      </c>
      <c r="AF697" t="str">
        <f t="shared" si="31"/>
        <v>Moderate Usage</v>
      </c>
      <c r="AG697" t="str">
        <f t="shared" si="32"/>
        <v>High Loneliness</v>
      </c>
    </row>
    <row r="698" spans="1:33" x14ac:dyDescent="0.3">
      <c r="A698" t="s">
        <v>742</v>
      </c>
      <c r="B698">
        <v>22</v>
      </c>
      <c r="C698" t="s">
        <v>1</v>
      </c>
      <c r="D698" t="s">
        <v>58</v>
      </c>
      <c r="E698" t="s">
        <v>3</v>
      </c>
      <c r="F698" t="s">
        <v>45</v>
      </c>
      <c r="G698" t="s">
        <v>17</v>
      </c>
      <c r="H698" t="s">
        <v>28</v>
      </c>
      <c r="I698" t="s">
        <v>19</v>
      </c>
      <c r="J698" t="s">
        <v>20</v>
      </c>
      <c r="K698" t="s">
        <v>1079</v>
      </c>
      <c r="L698">
        <v>0.69</v>
      </c>
      <c r="M698">
        <v>4.84</v>
      </c>
      <c r="N698">
        <v>1.91</v>
      </c>
      <c r="O698">
        <v>5.59</v>
      </c>
      <c r="P698">
        <v>5</v>
      </c>
      <c r="Q698">
        <v>6</v>
      </c>
      <c r="R698">
        <v>3.5</v>
      </c>
      <c r="S698">
        <v>5</v>
      </c>
      <c r="T698" t="s">
        <v>10</v>
      </c>
      <c r="U698">
        <v>7.2</v>
      </c>
      <c r="V698">
        <v>7.2</v>
      </c>
      <c r="W698">
        <v>2.2999999999999998</v>
      </c>
      <c r="X698">
        <v>2.7</v>
      </c>
      <c r="Y698">
        <v>1</v>
      </c>
      <c r="Z698">
        <v>3.5</v>
      </c>
      <c r="AA698">
        <v>8.6999999999999993</v>
      </c>
      <c r="AB698" t="s">
        <v>21</v>
      </c>
      <c r="AC698" t="s">
        <v>39</v>
      </c>
      <c r="AD698" t="s">
        <v>12</v>
      </c>
      <c r="AE698" t="str">
        <f t="shared" si="30"/>
        <v>20-24</v>
      </c>
      <c r="AF698" t="str">
        <f t="shared" si="31"/>
        <v>Very Low Usage</v>
      </c>
      <c r="AG698" t="str">
        <f t="shared" si="32"/>
        <v>Moderate Loneliness</v>
      </c>
    </row>
    <row r="699" spans="1:33" x14ac:dyDescent="0.3">
      <c r="A699" t="s">
        <v>743</v>
      </c>
      <c r="B699">
        <v>43</v>
      </c>
      <c r="C699" t="s">
        <v>32</v>
      </c>
      <c r="D699" t="s">
        <v>2</v>
      </c>
      <c r="E699" t="s">
        <v>37</v>
      </c>
      <c r="F699" t="s">
        <v>12</v>
      </c>
      <c r="G699" t="s">
        <v>5</v>
      </c>
      <c r="H699" t="s">
        <v>28</v>
      </c>
      <c r="I699" t="s">
        <v>29</v>
      </c>
      <c r="J699" t="s">
        <v>8</v>
      </c>
      <c r="K699" t="s">
        <v>25</v>
      </c>
      <c r="L699">
        <v>4.41</v>
      </c>
      <c r="M699">
        <v>3.72</v>
      </c>
      <c r="N699">
        <v>4.22</v>
      </c>
      <c r="O699">
        <v>9.0399999999999991</v>
      </c>
      <c r="P699">
        <v>2</v>
      </c>
      <c r="Q699">
        <v>8.1</v>
      </c>
      <c r="R699">
        <v>9.1999999999999993</v>
      </c>
      <c r="S699">
        <v>2.2999999999999998</v>
      </c>
      <c r="T699" t="s">
        <v>39</v>
      </c>
      <c r="U699">
        <v>4.8</v>
      </c>
      <c r="V699">
        <v>2.8</v>
      </c>
      <c r="W699">
        <v>0.2</v>
      </c>
      <c r="X699">
        <v>9.3000000000000007</v>
      </c>
      <c r="Y699">
        <v>8.1999999999999993</v>
      </c>
      <c r="Z699">
        <v>10</v>
      </c>
      <c r="AA699">
        <v>1.3</v>
      </c>
      <c r="AB699" t="s">
        <v>44</v>
      </c>
      <c r="AC699" t="s">
        <v>10</v>
      </c>
      <c r="AD699" t="s">
        <v>45</v>
      </c>
      <c r="AE699" t="str">
        <f t="shared" si="30"/>
        <v>35-44</v>
      </c>
      <c r="AF699" t="str">
        <f t="shared" si="31"/>
        <v>High Usage</v>
      </c>
      <c r="AG699" t="str">
        <f t="shared" si="32"/>
        <v>High Loneliness</v>
      </c>
    </row>
    <row r="700" spans="1:33" x14ac:dyDescent="0.3">
      <c r="A700" t="s">
        <v>744</v>
      </c>
      <c r="B700">
        <v>40</v>
      </c>
      <c r="C700" t="s">
        <v>1</v>
      </c>
      <c r="D700" t="s">
        <v>2</v>
      </c>
      <c r="E700" t="s">
        <v>3</v>
      </c>
      <c r="F700" t="s">
        <v>4</v>
      </c>
      <c r="G700" t="s">
        <v>17</v>
      </c>
      <c r="H700" t="s">
        <v>6</v>
      </c>
      <c r="I700" t="s">
        <v>19</v>
      </c>
      <c r="J700" t="s">
        <v>20</v>
      </c>
      <c r="K700" t="s">
        <v>1079</v>
      </c>
      <c r="L700">
        <v>0</v>
      </c>
      <c r="M700">
        <v>5.25</v>
      </c>
      <c r="N700">
        <v>0</v>
      </c>
      <c r="O700">
        <v>1.83</v>
      </c>
      <c r="P700">
        <v>6</v>
      </c>
      <c r="Q700">
        <v>1.3</v>
      </c>
      <c r="R700">
        <v>2.2999999999999998</v>
      </c>
      <c r="S700">
        <v>8.4</v>
      </c>
      <c r="T700" t="s">
        <v>10</v>
      </c>
      <c r="U700">
        <v>9.4</v>
      </c>
      <c r="V700">
        <v>9.9</v>
      </c>
      <c r="W700">
        <v>4.2</v>
      </c>
      <c r="X700">
        <v>1.2</v>
      </c>
      <c r="Y700">
        <v>1</v>
      </c>
      <c r="Z700">
        <v>1</v>
      </c>
      <c r="AA700">
        <v>7.1</v>
      </c>
      <c r="AB700" t="s">
        <v>11</v>
      </c>
      <c r="AC700" t="s">
        <v>10</v>
      </c>
      <c r="AD700" t="s">
        <v>12</v>
      </c>
      <c r="AE700" t="str">
        <f t="shared" si="30"/>
        <v>35-44</v>
      </c>
      <c r="AF700" t="str">
        <f t="shared" si="31"/>
        <v>Very Low Usage</v>
      </c>
      <c r="AG700" t="str">
        <f t="shared" si="32"/>
        <v>Low Loneliness</v>
      </c>
    </row>
    <row r="701" spans="1:33" x14ac:dyDescent="0.3">
      <c r="A701" t="s">
        <v>745</v>
      </c>
      <c r="B701">
        <v>24</v>
      </c>
      <c r="C701" t="s">
        <v>32</v>
      </c>
      <c r="D701" t="s">
        <v>58</v>
      </c>
      <c r="E701" t="s">
        <v>3</v>
      </c>
      <c r="F701" t="s">
        <v>12</v>
      </c>
      <c r="G701" t="s">
        <v>5</v>
      </c>
      <c r="H701" t="s">
        <v>33</v>
      </c>
      <c r="I701" t="s">
        <v>24</v>
      </c>
      <c r="J701" t="s">
        <v>48</v>
      </c>
      <c r="K701" t="s">
        <v>53</v>
      </c>
      <c r="L701">
        <v>0.68</v>
      </c>
      <c r="M701">
        <v>3.78</v>
      </c>
      <c r="N701">
        <v>1.92</v>
      </c>
      <c r="O701">
        <v>3.66</v>
      </c>
      <c r="P701">
        <v>2</v>
      </c>
      <c r="Q701">
        <v>4.8</v>
      </c>
      <c r="R701">
        <v>2.9</v>
      </c>
      <c r="S701">
        <v>5.6</v>
      </c>
      <c r="T701" t="s">
        <v>10</v>
      </c>
      <c r="U701">
        <v>7.3</v>
      </c>
      <c r="V701">
        <v>6.7</v>
      </c>
      <c r="W701">
        <v>3.4</v>
      </c>
      <c r="X701">
        <v>4.5999999999999996</v>
      </c>
      <c r="Y701">
        <v>5</v>
      </c>
      <c r="Z701">
        <v>5.0999999999999996</v>
      </c>
      <c r="AA701">
        <v>6.6</v>
      </c>
      <c r="AB701" t="s">
        <v>11</v>
      </c>
      <c r="AC701" t="s">
        <v>10</v>
      </c>
      <c r="AD701" t="s">
        <v>12</v>
      </c>
      <c r="AE701" t="str">
        <f t="shared" si="30"/>
        <v>20-24</v>
      </c>
      <c r="AF701" t="str">
        <f t="shared" si="31"/>
        <v>Very Low Usage</v>
      </c>
      <c r="AG701" t="str">
        <f t="shared" si="32"/>
        <v>Moderate Loneliness</v>
      </c>
    </row>
    <row r="702" spans="1:33" x14ac:dyDescent="0.3">
      <c r="A702" t="s">
        <v>746</v>
      </c>
      <c r="B702">
        <v>40</v>
      </c>
      <c r="C702" t="s">
        <v>32</v>
      </c>
      <c r="D702" t="s">
        <v>14</v>
      </c>
      <c r="E702" t="s">
        <v>59</v>
      </c>
      <c r="F702" t="s">
        <v>16</v>
      </c>
      <c r="G702" t="s">
        <v>5</v>
      </c>
      <c r="H702" t="s">
        <v>33</v>
      </c>
      <c r="I702" t="s">
        <v>7</v>
      </c>
      <c r="J702" t="s">
        <v>51</v>
      </c>
      <c r="K702" t="s">
        <v>53</v>
      </c>
      <c r="L702">
        <v>0.78</v>
      </c>
      <c r="M702">
        <v>3.31</v>
      </c>
      <c r="N702">
        <v>1.44</v>
      </c>
      <c r="O702">
        <v>4.63</v>
      </c>
      <c r="P702">
        <v>3</v>
      </c>
      <c r="Q702">
        <v>5.2</v>
      </c>
      <c r="R702">
        <v>5.5</v>
      </c>
      <c r="S702">
        <v>7.3</v>
      </c>
      <c r="T702" t="s">
        <v>10</v>
      </c>
      <c r="U702">
        <v>8.6</v>
      </c>
      <c r="V702">
        <v>5.6</v>
      </c>
      <c r="W702">
        <v>2.4</v>
      </c>
      <c r="X702">
        <v>4.0999999999999996</v>
      </c>
      <c r="Y702">
        <v>5.2</v>
      </c>
      <c r="Z702">
        <v>6.2</v>
      </c>
      <c r="AA702">
        <v>8.1</v>
      </c>
      <c r="AB702" t="s">
        <v>11</v>
      </c>
      <c r="AC702" t="s">
        <v>10</v>
      </c>
      <c r="AD702" t="s">
        <v>12</v>
      </c>
      <c r="AE702" t="str">
        <f t="shared" si="30"/>
        <v>35-44</v>
      </c>
      <c r="AF702" t="str">
        <f t="shared" si="31"/>
        <v>Very Low Usage</v>
      </c>
      <c r="AG702" t="str">
        <f t="shared" si="32"/>
        <v>Moderate Loneliness</v>
      </c>
    </row>
    <row r="703" spans="1:33" x14ac:dyDescent="0.3">
      <c r="A703" t="s">
        <v>747</v>
      </c>
      <c r="B703">
        <v>44</v>
      </c>
      <c r="C703" t="s">
        <v>27</v>
      </c>
      <c r="D703" t="s">
        <v>14</v>
      </c>
      <c r="E703" t="s">
        <v>37</v>
      </c>
      <c r="F703" t="s">
        <v>16</v>
      </c>
      <c r="G703" t="s">
        <v>17</v>
      </c>
      <c r="H703" t="s">
        <v>6</v>
      </c>
      <c r="I703" t="s">
        <v>24</v>
      </c>
      <c r="J703" t="s">
        <v>20</v>
      </c>
      <c r="K703" t="s">
        <v>1079</v>
      </c>
      <c r="L703">
        <v>0.65</v>
      </c>
      <c r="M703">
        <v>2.97</v>
      </c>
      <c r="N703">
        <v>2.13</v>
      </c>
      <c r="O703">
        <v>4.74</v>
      </c>
      <c r="P703">
        <v>4</v>
      </c>
      <c r="Q703">
        <v>5.0999999999999996</v>
      </c>
      <c r="R703">
        <v>2.6</v>
      </c>
      <c r="S703">
        <v>5.9</v>
      </c>
      <c r="T703" t="s">
        <v>10</v>
      </c>
      <c r="U703">
        <v>7.8</v>
      </c>
      <c r="V703">
        <v>6.8</v>
      </c>
      <c r="W703">
        <v>4.3</v>
      </c>
      <c r="X703">
        <v>5.8</v>
      </c>
      <c r="Y703">
        <v>2.9</v>
      </c>
      <c r="Z703">
        <v>3</v>
      </c>
      <c r="AA703">
        <v>6.9</v>
      </c>
      <c r="AB703" t="s">
        <v>21</v>
      </c>
      <c r="AC703" t="s">
        <v>10</v>
      </c>
      <c r="AD703" t="s">
        <v>12</v>
      </c>
      <c r="AE703" t="str">
        <f t="shared" si="30"/>
        <v>35-44</v>
      </c>
      <c r="AF703" t="str">
        <f t="shared" si="31"/>
        <v>Very Low Usage</v>
      </c>
      <c r="AG703" t="str">
        <f t="shared" si="32"/>
        <v>Moderate Loneliness</v>
      </c>
    </row>
    <row r="704" spans="1:33" x14ac:dyDescent="0.3">
      <c r="A704" t="s">
        <v>748</v>
      </c>
      <c r="B704">
        <v>16</v>
      </c>
      <c r="C704" t="s">
        <v>1</v>
      </c>
      <c r="D704" t="s">
        <v>14</v>
      </c>
      <c r="E704" t="s">
        <v>37</v>
      </c>
      <c r="F704" t="s">
        <v>4</v>
      </c>
      <c r="G704" t="s">
        <v>17</v>
      </c>
      <c r="H704" t="s">
        <v>6</v>
      </c>
      <c r="I704" t="s">
        <v>19</v>
      </c>
      <c r="J704" t="s">
        <v>8</v>
      </c>
      <c r="K704" t="s">
        <v>30</v>
      </c>
      <c r="L704">
        <v>0.31</v>
      </c>
      <c r="M704">
        <v>2.16</v>
      </c>
      <c r="N704">
        <v>1.5</v>
      </c>
      <c r="O704">
        <v>2.92</v>
      </c>
      <c r="P704">
        <v>2</v>
      </c>
      <c r="Q704">
        <v>3</v>
      </c>
      <c r="R704">
        <v>7.7</v>
      </c>
      <c r="S704">
        <v>2.8</v>
      </c>
      <c r="T704" t="s">
        <v>39</v>
      </c>
      <c r="U704">
        <v>6.7</v>
      </c>
      <c r="V704">
        <v>6</v>
      </c>
      <c r="W704">
        <v>2.2999999999999998</v>
      </c>
      <c r="X704">
        <v>5.5</v>
      </c>
      <c r="Y704">
        <v>4.3</v>
      </c>
      <c r="Z704">
        <v>8.4</v>
      </c>
      <c r="AA704">
        <v>4.5999999999999996</v>
      </c>
      <c r="AB704" t="s">
        <v>21</v>
      </c>
      <c r="AC704" t="s">
        <v>39</v>
      </c>
      <c r="AD704" t="s">
        <v>22</v>
      </c>
      <c r="AE704" t="str">
        <f t="shared" si="30"/>
        <v>15-19</v>
      </c>
      <c r="AF704" t="str">
        <f t="shared" si="31"/>
        <v>Very Low Usage</v>
      </c>
      <c r="AG704" t="str">
        <f t="shared" si="32"/>
        <v>Low Loneliness</v>
      </c>
    </row>
    <row r="705" spans="1:33" x14ac:dyDescent="0.3">
      <c r="A705" t="s">
        <v>749</v>
      </c>
      <c r="B705">
        <v>33</v>
      </c>
      <c r="C705" t="s">
        <v>32</v>
      </c>
      <c r="D705" t="s">
        <v>47</v>
      </c>
      <c r="E705" t="s">
        <v>37</v>
      </c>
      <c r="F705" t="s">
        <v>16</v>
      </c>
      <c r="G705" t="s">
        <v>66</v>
      </c>
      <c r="H705" t="s">
        <v>6</v>
      </c>
      <c r="I705" t="s">
        <v>7</v>
      </c>
      <c r="J705" t="s">
        <v>48</v>
      </c>
      <c r="K705" t="s">
        <v>1079</v>
      </c>
      <c r="L705">
        <v>4.88</v>
      </c>
      <c r="M705">
        <v>0</v>
      </c>
      <c r="N705">
        <v>5.57</v>
      </c>
      <c r="O705">
        <v>14.14</v>
      </c>
      <c r="P705">
        <v>0</v>
      </c>
      <c r="Q705">
        <v>10</v>
      </c>
      <c r="R705">
        <v>10</v>
      </c>
      <c r="S705">
        <v>1</v>
      </c>
      <c r="T705" t="s">
        <v>10</v>
      </c>
      <c r="U705">
        <v>6.3</v>
      </c>
      <c r="V705">
        <v>1</v>
      </c>
      <c r="W705">
        <v>0.9</v>
      </c>
      <c r="X705">
        <v>9.4</v>
      </c>
      <c r="Y705">
        <v>10</v>
      </c>
      <c r="Z705">
        <v>10</v>
      </c>
      <c r="AA705">
        <v>1</v>
      </c>
      <c r="AB705" t="s">
        <v>44</v>
      </c>
      <c r="AC705" t="s">
        <v>39</v>
      </c>
      <c r="AD705" t="s">
        <v>45</v>
      </c>
      <c r="AE705" t="str">
        <f t="shared" si="30"/>
        <v>25-34</v>
      </c>
      <c r="AF705" t="str">
        <f t="shared" si="31"/>
        <v>High Usage</v>
      </c>
      <c r="AG705" t="str">
        <f t="shared" si="32"/>
        <v>High Loneliness</v>
      </c>
    </row>
    <row r="706" spans="1:33" x14ac:dyDescent="0.3">
      <c r="A706" t="s">
        <v>750</v>
      </c>
      <c r="B706">
        <v>23</v>
      </c>
      <c r="C706" t="s">
        <v>32</v>
      </c>
      <c r="D706" t="s">
        <v>14</v>
      </c>
      <c r="E706" t="s">
        <v>37</v>
      </c>
      <c r="F706" t="s">
        <v>4</v>
      </c>
      <c r="G706" t="s">
        <v>17</v>
      </c>
      <c r="H706" t="s">
        <v>28</v>
      </c>
      <c r="I706" t="s">
        <v>35</v>
      </c>
      <c r="J706" t="s">
        <v>48</v>
      </c>
      <c r="K706" t="s">
        <v>30</v>
      </c>
      <c r="L706">
        <v>2.79</v>
      </c>
      <c r="M706">
        <v>3.93</v>
      </c>
      <c r="N706">
        <v>2.2400000000000002</v>
      </c>
      <c r="O706">
        <v>7.08</v>
      </c>
      <c r="P706">
        <v>5</v>
      </c>
      <c r="Q706">
        <v>6.4</v>
      </c>
      <c r="R706">
        <v>5.4</v>
      </c>
      <c r="S706">
        <v>4.2</v>
      </c>
      <c r="T706" t="s">
        <v>10</v>
      </c>
      <c r="U706">
        <v>6.3</v>
      </c>
      <c r="V706">
        <v>7</v>
      </c>
      <c r="W706">
        <v>2</v>
      </c>
      <c r="X706">
        <v>4.0999999999999996</v>
      </c>
      <c r="Y706">
        <v>5.6</v>
      </c>
      <c r="Z706">
        <v>7.4</v>
      </c>
      <c r="AA706">
        <v>5.8</v>
      </c>
      <c r="AB706" t="s">
        <v>21</v>
      </c>
      <c r="AC706" t="s">
        <v>10</v>
      </c>
      <c r="AD706" t="s">
        <v>45</v>
      </c>
      <c r="AE706" t="str">
        <f t="shared" si="30"/>
        <v>20-24</v>
      </c>
      <c r="AF706" t="str">
        <f t="shared" si="31"/>
        <v>Moderate Usage</v>
      </c>
      <c r="AG706" t="str">
        <f t="shared" si="32"/>
        <v>High Loneliness</v>
      </c>
    </row>
    <row r="707" spans="1:33" x14ac:dyDescent="0.3">
      <c r="A707" t="s">
        <v>751</v>
      </c>
      <c r="B707">
        <v>21</v>
      </c>
      <c r="C707" t="s">
        <v>32</v>
      </c>
      <c r="D707" t="s">
        <v>2</v>
      </c>
      <c r="E707" t="s">
        <v>37</v>
      </c>
      <c r="F707" t="s">
        <v>16</v>
      </c>
      <c r="G707" t="s">
        <v>5</v>
      </c>
      <c r="H707" t="s">
        <v>18</v>
      </c>
      <c r="I707" t="s">
        <v>29</v>
      </c>
      <c r="J707" t="s">
        <v>8</v>
      </c>
      <c r="K707" t="s">
        <v>30</v>
      </c>
      <c r="L707">
        <v>2.7</v>
      </c>
      <c r="M707">
        <v>5.96</v>
      </c>
      <c r="N707">
        <v>2.2599999999999998</v>
      </c>
      <c r="O707">
        <v>6.55</v>
      </c>
      <c r="P707">
        <v>3</v>
      </c>
      <c r="Q707">
        <v>4.9000000000000004</v>
      </c>
      <c r="R707">
        <v>5.7</v>
      </c>
      <c r="S707">
        <v>4.0999999999999996</v>
      </c>
      <c r="T707" t="s">
        <v>10</v>
      </c>
      <c r="U707">
        <v>6</v>
      </c>
      <c r="V707">
        <v>6.2</v>
      </c>
      <c r="W707">
        <v>4.4000000000000004</v>
      </c>
      <c r="X707">
        <v>5.0999999999999996</v>
      </c>
      <c r="Y707">
        <v>4.7</v>
      </c>
      <c r="Z707">
        <v>5.4</v>
      </c>
      <c r="AA707">
        <v>6.1</v>
      </c>
      <c r="AB707" t="s">
        <v>44</v>
      </c>
      <c r="AC707" t="s">
        <v>10</v>
      </c>
      <c r="AD707" t="s">
        <v>45</v>
      </c>
      <c r="AE707" t="str">
        <f t="shared" ref="AE707:AE770" si="33">IF(B707&lt;20,"15-19",IF(B707&lt;25,"20-24",IF(B707&lt;35,"25-34","35-44")))</f>
        <v>20-24</v>
      </c>
      <c r="AF707" t="str">
        <f t="shared" ref="AF707:AF770" si="34">IF(L707&lt;=1,"Very Low Usage",IF(L707&lt;=2.5,"Low Usage",IF(L707&lt;=4,"Moderate Usage","High Usage")))</f>
        <v>Moderate Usage</v>
      </c>
      <c r="AG707" t="str">
        <f t="shared" ref="AG707:AG770" si="35">IF(Q707&lt;=3,"Low Loneliness",IF(Q707&lt;=6,"Moderate Loneliness","High Loneliness"))</f>
        <v>Moderate Loneliness</v>
      </c>
    </row>
    <row r="708" spans="1:33" x14ac:dyDescent="0.3">
      <c r="A708" t="s">
        <v>752</v>
      </c>
      <c r="B708">
        <v>18</v>
      </c>
      <c r="C708" t="s">
        <v>32</v>
      </c>
      <c r="D708" t="s">
        <v>41</v>
      </c>
      <c r="E708" t="s">
        <v>15</v>
      </c>
      <c r="F708" t="s">
        <v>4</v>
      </c>
      <c r="G708" t="s">
        <v>43</v>
      </c>
      <c r="H708" t="s">
        <v>33</v>
      </c>
      <c r="I708" t="s">
        <v>19</v>
      </c>
      <c r="J708" t="s">
        <v>20</v>
      </c>
      <c r="K708" t="s">
        <v>25</v>
      </c>
      <c r="L708">
        <v>1.1499999999999999</v>
      </c>
      <c r="M708">
        <v>7.26</v>
      </c>
      <c r="N708">
        <v>1.7</v>
      </c>
      <c r="O708">
        <v>4.5999999999999996</v>
      </c>
      <c r="P708">
        <v>7</v>
      </c>
      <c r="Q708">
        <v>3.2</v>
      </c>
      <c r="R708">
        <v>1.3</v>
      </c>
      <c r="S708">
        <v>6.9</v>
      </c>
      <c r="T708" t="s">
        <v>10</v>
      </c>
      <c r="U708">
        <v>9.1999999999999993</v>
      </c>
      <c r="V708">
        <v>9</v>
      </c>
      <c r="W708">
        <v>5.3</v>
      </c>
      <c r="X708">
        <v>1.5</v>
      </c>
      <c r="Y708">
        <v>5.8</v>
      </c>
      <c r="Z708">
        <v>2.6</v>
      </c>
      <c r="AA708">
        <v>7.7</v>
      </c>
      <c r="AB708" t="s">
        <v>21</v>
      </c>
      <c r="AC708" t="s">
        <v>10</v>
      </c>
      <c r="AD708" t="s">
        <v>12</v>
      </c>
      <c r="AE708" t="str">
        <f t="shared" si="33"/>
        <v>15-19</v>
      </c>
      <c r="AF708" t="str">
        <f t="shared" si="34"/>
        <v>Low Usage</v>
      </c>
      <c r="AG708" t="str">
        <f t="shared" si="35"/>
        <v>Moderate Loneliness</v>
      </c>
    </row>
    <row r="709" spans="1:33" x14ac:dyDescent="0.3">
      <c r="A709" t="s">
        <v>753</v>
      </c>
      <c r="B709">
        <v>40</v>
      </c>
      <c r="C709" t="s">
        <v>32</v>
      </c>
      <c r="D709" t="s">
        <v>58</v>
      </c>
      <c r="E709" t="s">
        <v>15</v>
      </c>
      <c r="F709" t="s">
        <v>4</v>
      </c>
      <c r="G709" t="s">
        <v>5</v>
      </c>
      <c r="H709" t="s">
        <v>33</v>
      </c>
      <c r="I709" t="s">
        <v>29</v>
      </c>
      <c r="J709" t="s">
        <v>8</v>
      </c>
      <c r="K709" t="s">
        <v>1079</v>
      </c>
      <c r="L709">
        <v>0</v>
      </c>
      <c r="M709">
        <v>5.23</v>
      </c>
      <c r="N709">
        <v>0.56999999999999995</v>
      </c>
      <c r="O709">
        <v>4.18</v>
      </c>
      <c r="P709">
        <v>7</v>
      </c>
      <c r="Q709">
        <v>2.1</v>
      </c>
      <c r="R709">
        <v>1</v>
      </c>
      <c r="S709">
        <v>10</v>
      </c>
      <c r="T709" t="s">
        <v>10</v>
      </c>
      <c r="U709">
        <v>8.9</v>
      </c>
      <c r="V709">
        <v>8</v>
      </c>
      <c r="W709">
        <v>6.9</v>
      </c>
      <c r="X709">
        <v>2.2999999999999998</v>
      </c>
      <c r="Y709">
        <v>1</v>
      </c>
      <c r="Z709">
        <v>1</v>
      </c>
      <c r="AA709">
        <v>8.6999999999999993</v>
      </c>
      <c r="AB709" t="s">
        <v>11</v>
      </c>
      <c r="AC709" t="s">
        <v>10</v>
      </c>
      <c r="AD709" t="s">
        <v>12</v>
      </c>
      <c r="AE709" t="str">
        <f t="shared" si="33"/>
        <v>35-44</v>
      </c>
      <c r="AF709" t="str">
        <f t="shared" si="34"/>
        <v>Very Low Usage</v>
      </c>
      <c r="AG709" t="str">
        <f t="shared" si="35"/>
        <v>Low Loneliness</v>
      </c>
    </row>
    <row r="710" spans="1:33" x14ac:dyDescent="0.3">
      <c r="A710" t="s">
        <v>754</v>
      </c>
      <c r="B710">
        <v>35</v>
      </c>
      <c r="C710" t="s">
        <v>32</v>
      </c>
      <c r="D710" t="s">
        <v>2</v>
      </c>
      <c r="E710" t="s">
        <v>3</v>
      </c>
      <c r="F710" t="s">
        <v>45</v>
      </c>
      <c r="G710" t="s">
        <v>5</v>
      </c>
      <c r="H710" t="s">
        <v>18</v>
      </c>
      <c r="I710" t="s">
        <v>29</v>
      </c>
      <c r="J710" t="s">
        <v>48</v>
      </c>
      <c r="K710" t="s">
        <v>9</v>
      </c>
      <c r="L710">
        <v>2.21</v>
      </c>
      <c r="M710">
        <v>2.44</v>
      </c>
      <c r="N710">
        <v>4.46</v>
      </c>
      <c r="O710">
        <v>9.59</v>
      </c>
      <c r="P710">
        <v>3</v>
      </c>
      <c r="Q710">
        <v>8.1999999999999993</v>
      </c>
      <c r="R710">
        <v>9.4</v>
      </c>
      <c r="S710">
        <v>5.2</v>
      </c>
      <c r="T710" t="s">
        <v>10</v>
      </c>
      <c r="U710">
        <v>7.4</v>
      </c>
      <c r="V710">
        <v>7.1</v>
      </c>
      <c r="W710">
        <v>3.4</v>
      </c>
      <c r="X710">
        <v>5.4</v>
      </c>
      <c r="Y710">
        <v>6.6</v>
      </c>
      <c r="Z710">
        <v>5.7</v>
      </c>
      <c r="AA710">
        <v>3.9</v>
      </c>
      <c r="AB710" t="s">
        <v>44</v>
      </c>
      <c r="AC710" t="s">
        <v>39</v>
      </c>
      <c r="AD710" t="s">
        <v>45</v>
      </c>
      <c r="AE710" t="str">
        <f t="shared" si="33"/>
        <v>35-44</v>
      </c>
      <c r="AF710" t="str">
        <f t="shared" si="34"/>
        <v>Low Usage</v>
      </c>
      <c r="AG710" t="str">
        <f t="shared" si="35"/>
        <v>High Loneliness</v>
      </c>
    </row>
    <row r="711" spans="1:33" x14ac:dyDescent="0.3">
      <c r="A711" t="s">
        <v>755</v>
      </c>
      <c r="B711">
        <v>32</v>
      </c>
      <c r="C711" t="s">
        <v>1</v>
      </c>
      <c r="D711" t="s">
        <v>14</v>
      </c>
      <c r="E711" t="s">
        <v>37</v>
      </c>
      <c r="F711" t="s">
        <v>4</v>
      </c>
      <c r="G711" t="s">
        <v>43</v>
      </c>
      <c r="H711" t="s">
        <v>28</v>
      </c>
      <c r="I711" t="s">
        <v>24</v>
      </c>
      <c r="J711" t="s">
        <v>8</v>
      </c>
      <c r="K711" t="s">
        <v>1079</v>
      </c>
      <c r="L711">
        <v>0</v>
      </c>
      <c r="M711">
        <v>5.83</v>
      </c>
      <c r="N711">
        <v>1.59</v>
      </c>
      <c r="O711">
        <v>3.43</v>
      </c>
      <c r="P711">
        <v>5</v>
      </c>
      <c r="Q711">
        <v>2.9</v>
      </c>
      <c r="R711">
        <v>2.5</v>
      </c>
      <c r="S711">
        <v>4.5</v>
      </c>
      <c r="T711" t="s">
        <v>10</v>
      </c>
      <c r="U711">
        <v>8.1999999999999993</v>
      </c>
      <c r="V711">
        <v>7.2</v>
      </c>
      <c r="W711">
        <v>5.6</v>
      </c>
      <c r="X711">
        <v>4.5999999999999996</v>
      </c>
      <c r="Y711">
        <v>5.2</v>
      </c>
      <c r="Z711">
        <v>4.9000000000000004</v>
      </c>
      <c r="AA711">
        <v>6.9</v>
      </c>
      <c r="AB711" t="s">
        <v>21</v>
      </c>
      <c r="AC711" t="s">
        <v>10</v>
      </c>
      <c r="AD711" t="s">
        <v>12</v>
      </c>
      <c r="AE711" t="str">
        <f t="shared" si="33"/>
        <v>25-34</v>
      </c>
      <c r="AF711" t="str">
        <f t="shared" si="34"/>
        <v>Very Low Usage</v>
      </c>
      <c r="AG711" t="str">
        <f t="shared" si="35"/>
        <v>Low Loneliness</v>
      </c>
    </row>
    <row r="712" spans="1:33" x14ac:dyDescent="0.3">
      <c r="A712" t="s">
        <v>756</v>
      </c>
      <c r="B712">
        <v>27</v>
      </c>
      <c r="C712" t="s">
        <v>1</v>
      </c>
      <c r="D712" t="s">
        <v>47</v>
      </c>
      <c r="E712" t="s">
        <v>37</v>
      </c>
      <c r="F712" t="s">
        <v>12</v>
      </c>
      <c r="G712" t="s">
        <v>43</v>
      </c>
      <c r="H712" t="s">
        <v>33</v>
      </c>
      <c r="I712" t="s">
        <v>7</v>
      </c>
      <c r="J712" t="s">
        <v>20</v>
      </c>
      <c r="K712" t="s">
        <v>1079</v>
      </c>
      <c r="L712">
        <v>3.44</v>
      </c>
      <c r="M712">
        <v>1.57</v>
      </c>
      <c r="N712">
        <v>5.72</v>
      </c>
      <c r="O712">
        <v>10.17</v>
      </c>
      <c r="P712">
        <v>1</v>
      </c>
      <c r="Q712">
        <v>10</v>
      </c>
      <c r="R712">
        <v>10</v>
      </c>
      <c r="S712">
        <v>1</v>
      </c>
      <c r="T712" t="s">
        <v>39</v>
      </c>
      <c r="U712">
        <v>6.7</v>
      </c>
      <c r="V712">
        <v>1.2</v>
      </c>
      <c r="W712">
        <v>2.1</v>
      </c>
      <c r="X712">
        <v>9.1999999999999993</v>
      </c>
      <c r="Y712">
        <v>9.8000000000000007</v>
      </c>
      <c r="Z712">
        <v>10</v>
      </c>
      <c r="AA712">
        <v>1.1000000000000001</v>
      </c>
      <c r="AB712" t="s">
        <v>44</v>
      </c>
      <c r="AC712" t="s">
        <v>10</v>
      </c>
      <c r="AD712" t="s">
        <v>45</v>
      </c>
      <c r="AE712" t="str">
        <f t="shared" si="33"/>
        <v>25-34</v>
      </c>
      <c r="AF712" t="str">
        <f t="shared" si="34"/>
        <v>Moderate Usage</v>
      </c>
      <c r="AG712" t="str">
        <f t="shared" si="35"/>
        <v>High Loneliness</v>
      </c>
    </row>
    <row r="713" spans="1:33" x14ac:dyDescent="0.3">
      <c r="A713" t="s">
        <v>757</v>
      </c>
      <c r="B713">
        <v>25</v>
      </c>
      <c r="C713" t="s">
        <v>27</v>
      </c>
      <c r="D713" t="s">
        <v>2</v>
      </c>
      <c r="E713" t="s">
        <v>15</v>
      </c>
      <c r="F713" t="s">
        <v>4</v>
      </c>
      <c r="G713" t="s">
        <v>5</v>
      </c>
      <c r="H713" t="s">
        <v>33</v>
      </c>
      <c r="I713" t="s">
        <v>29</v>
      </c>
      <c r="J713" t="s">
        <v>38</v>
      </c>
      <c r="K713" t="s">
        <v>53</v>
      </c>
      <c r="L713">
        <v>2.16</v>
      </c>
      <c r="M713">
        <v>3.18</v>
      </c>
      <c r="N713">
        <v>4.49</v>
      </c>
      <c r="O713">
        <v>7.82</v>
      </c>
      <c r="P713">
        <v>4</v>
      </c>
      <c r="Q713">
        <v>8.9</v>
      </c>
      <c r="R713">
        <v>7.9</v>
      </c>
      <c r="S713">
        <v>4.0999999999999996</v>
      </c>
      <c r="T713" t="s">
        <v>10</v>
      </c>
      <c r="U713">
        <v>5.9</v>
      </c>
      <c r="V713">
        <v>4.5999999999999996</v>
      </c>
      <c r="W713">
        <v>3.8</v>
      </c>
      <c r="X713">
        <v>7.8</v>
      </c>
      <c r="Y713">
        <v>4.5</v>
      </c>
      <c r="Z713">
        <v>4.8</v>
      </c>
      <c r="AA713">
        <v>5.6</v>
      </c>
      <c r="AB713" t="s">
        <v>44</v>
      </c>
      <c r="AC713" t="s">
        <v>39</v>
      </c>
      <c r="AD713" t="s">
        <v>45</v>
      </c>
      <c r="AE713" t="str">
        <f t="shared" si="33"/>
        <v>25-34</v>
      </c>
      <c r="AF713" t="str">
        <f t="shared" si="34"/>
        <v>Low Usage</v>
      </c>
      <c r="AG713" t="str">
        <f t="shared" si="35"/>
        <v>High Loneliness</v>
      </c>
    </row>
    <row r="714" spans="1:33" x14ac:dyDescent="0.3">
      <c r="A714" t="s">
        <v>758</v>
      </c>
      <c r="B714">
        <v>43</v>
      </c>
      <c r="C714" t="s">
        <v>32</v>
      </c>
      <c r="D714" t="s">
        <v>14</v>
      </c>
      <c r="E714" t="s">
        <v>37</v>
      </c>
      <c r="F714" t="s">
        <v>45</v>
      </c>
      <c r="G714" t="s">
        <v>5</v>
      </c>
      <c r="H714" t="s">
        <v>28</v>
      </c>
      <c r="I714" t="s">
        <v>7</v>
      </c>
      <c r="J714" t="s">
        <v>51</v>
      </c>
      <c r="K714" t="s">
        <v>1079</v>
      </c>
      <c r="L714">
        <v>2.0099999999999998</v>
      </c>
      <c r="M714">
        <v>3.37</v>
      </c>
      <c r="N714">
        <v>3.12</v>
      </c>
      <c r="O714">
        <v>6.65</v>
      </c>
      <c r="P714">
        <v>4</v>
      </c>
      <c r="Q714">
        <v>5.5</v>
      </c>
      <c r="R714">
        <v>6.3</v>
      </c>
      <c r="S714">
        <v>5</v>
      </c>
      <c r="T714" t="s">
        <v>10</v>
      </c>
      <c r="U714">
        <v>6.6</v>
      </c>
      <c r="V714">
        <v>4.7</v>
      </c>
      <c r="W714">
        <v>4</v>
      </c>
      <c r="X714">
        <v>5.8</v>
      </c>
      <c r="Y714">
        <v>5.0999999999999996</v>
      </c>
      <c r="Z714">
        <v>5.5</v>
      </c>
      <c r="AA714">
        <v>5.0999999999999996</v>
      </c>
      <c r="AB714" t="s">
        <v>21</v>
      </c>
      <c r="AC714" t="s">
        <v>10</v>
      </c>
      <c r="AD714" t="s">
        <v>12</v>
      </c>
      <c r="AE714" t="str">
        <f t="shared" si="33"/>
        <v>35-44</v>
      </c>
      <c r="AF714" t="str">
        <f t="shared" si="34"/>
        <v>Low Usage</v>
      </c>
      <c r="AG714" t="str">
        <f t="shared" si="35"/>
        <v>Moderate Loneliness</v>
      </c>
    </row>
    <row r="715" spans="1:33" x14ac:dyDescent="0.3">
      <c r="A715" t="s">
        <v>759</v>
      </c>
      <c r="B715">
        <v>38</v>
      </c>
      <c r="C715" t="s">
        <v>32</v>
      </c>
      <c r="D715" t="s">
        <v>14</v>
      </c>
      <c r="E715" t="s">
        <v>37</v>
      </c>
      <c r="F715" t="s">
        <v>4</v>
      </c>
      <c r="G715" t="s">
        <v>17</v>
      </c>
      <c r="H715" t="s">
        <v>18</v>
      </c>
      <c r="I715" t="s">
        <v>7</v>
      </c>
      <c r="J715" t="s">
        <v>38</v>
      </c>
      <c r="K715" t="s">
        <v>53</v>
      </c>
      <c r="L715">
        <v>1.21</v>
      </c>
      <c r="M715">
        <v>4.74</v>
      </c>
      <c r="N715">
        <v>2.87</v>
      </c>
      <c r="O715">
        <v>6.59</v>
      </c>
      <c r="P715">
        <v>3</v>
      </c>
      <c r="Q715">
        <v>5.8</v>
      </c>
      <c r="R715">
        <v>6.2</v>
      </c>
      <c r="S715">
        <v>4.3</v>
      </c>
      <c r="T715" t="s">
        <v>39</v>
      </c>
      <c r="U715">
        <v>6.5</v>
      </c>
      <c r="V715">
        <v>4.4000000000000004</v>
      </c>
      <c r="W715">
        <v>2.5</v>
      </c>
      <c r="X715">
        <v>5.5</v>
      </c>
      <c r="Y715">
        <v>5.7</v>
      </c>
      <c r="Z715">
        <v>5.0999999999999996</v>
      </c>
      <c r="AA715">
        <v>5</v>
      </c>
      <c r="AB715" t="s">
        <v>21</v>
      </c>
      <c r="AC715" t="s">
        <v>10</v>
      </c>
      <c r="AD715" t="s">
        <v>45</v>
      </c>
      <c r="AE715" t="str">
        <f t="shared" si="33"/>
        <v>35-44</v>
      </c>
      <c r="AF715" t="str">
        <f t="shared" si="34"/>
        <v>Low Usage</v>
      </c>
      <c r="AG715" t="str">
        <f t="shared" si="35"/>
        <v>Moderate Loneliness</v>
      </c>
    </row>
    <row r="716" spans="1:33" x14ac:dyDescent="0.3">
      <c r="A716" t="s">
        <v>760</v>
      </c>
      <c r="B716">
        <v>18</v>
      </c>
      <c r="C716" t="s">
        <v>32</v>
      </c>
      <c r="D716" t="s">
        <v>58</v>
      </c>
      <c r="E716" t="s">
        <v>3</v>
      </c>
      <c r="F716" t="s">
        <v>12</v>
      </c>
      <c r="G716" t="s">
        <v>66</v>
      </c>
      <c r="H716" t="s">
        <v>28</v>
      </c>
      <c r="I716" t="s">
        <v>35</v>
      </c>
      <c r="J716" t="s">
        <v>38</v>
      </c>
      <c r="K716" t="s">
        <v>30</v>
      </c>
      <c r="L716">
        <v>2.37</v>
      </c>
      <c r="M716">
        <v>2.48</v>
      </c>
      <c r="N716">
        <v>3.32</v>
      </c>
      <c r="O716">
        <v>8.44</v>
      </c>
      <c r="P716">
        <v>0</v>
      </c>
      <c r="Q716">
        <v>6.5</v>
      </c>
      <c r="R716">
        <v>6.3</v>
      </c>
      <c r="S716">
        <v>6.2</v>
      </c>
      <c r="T716" t="s">
        <v>39</v>
      </c>
      <c r="U716">
        <v>6.6</v>
      </c>
      <c r="V716">
        <v>5.8</v>
      </c>
      <c r="W716">
        <v>4.8</v>
      </c>
      <c r="X716">
        <v>6.1</v>
      </c>
      <c r="Y716">
        <v>4.4000000000000004</v>
      </c>
      <c r="Z716">
        <v>6.2</v>
      </c>
      <c r="AA716">
        <v>5.5</v>
      </c>
      <c r="AB716" t="s">
        <v>44</v>
      </c>
      <c r="AC716" t="s">
        <v>39</v>
      </c>
      <c r="AD716" t="s">
        <v>22</v>
      </c>
      <c r="AE716" t="str">
        <f t="shared" si="33"/>
        <v>15-19</v>
      </c>
      <c r="AF716" t="str">
        <f t="shared" si="34"/>
        <v>Low Usage</v>
      </c>
      <c r="AG716" t="str">
        <f t="shared" si="35"/>
        <v>High Loneliness</v>
      </c>
    </row>
    <row r="717" spans="1:33" x14ac:dyDescent="0.3">
      <c r="A717" t="s">
        <v>761</v>
      </c>
      <c r="B717">
        <v>39</v>
      </c>
      <c r="C717" t="s">
        <v>1</v>
      </c>
      <c r="D717" t="s">
        <v>2</v>
      </c>
      <c r="E717" t="s">
        <v>37</v>
      </c>
      <c r="F717" t="s">
        <v>4</v>
      </c>
      <c r="G717" t="s">
        <v>5</v>
      </c>
      <c r="H717" t="s">
        <v>28</v>
      </c>
      <c r="I717" t="s">
        <v>29</v>
      </c>
      <c r="J717" t="s">
        <v>8</v>
      </c>
      <c r="K717" t="s">
        <v>53</v>
      </c>
      <c r="L717">
        <v>1.1200000000000001</v>
      </c>
      <c r="M717">
        <v>5.24</v>
      </c>
      <c r="N717">
        <v>2.11</v>
      </c>
      <c r="O717">
        <v>4.51</v>
      </c>
      <c r="P717">
        <v>6</v>
      </c>
      <c r="Q717">
        <v>5</v>
      </c>
      <c r="R717">
        <v>4.0999999999999996</v>
      </c>
      <c r="S717">
        <v>8.6</v>
      </c>
      <c r="T717" t="s">
        <v>10</v>
      </c>
      <c r="U717">
        <v>6.1</v>
      </c>
      <c r="V717">
        <v>7.9</v>
      </c>
      <c r="W717">
        <v>3.8</v>
      </c>
      <c r="X717">
        <v>4.5999999999999996</v>
      </c>
      <c r="Y717">
        <v>3.5</v>
      </c>
      <c r="Z717">
        <v>3.9</v>
      </c>
      <c r="AA717">
        <v>10</v>
      </c>
      <c r="AB717" t="s">
        <v>21</v>
      </c>
      <c r="AC717" t="s">
        <v>10</v>
      </c>
      <c r="AD717" t="s">
        <v>12</v>
      </c>
      <c r="AE717" t="str">
        <f t="shared" si="33"/>
        <v>35-44</v>
      </c>
      <c r="AF717" t="str">
        <f t="shared" si="34"/>
        <v>Low Usage</v>
      </c>
      <c r="AG717" t="str">
        <f t="shared" si="35"/>
        <v>Moderate Loneliness</v>
      </c>
    </row>
    <row r="718" spans="1:33" x14ac:dyDescent="0.3">
      <c r="A718" t="s">
        <v>762</v>
      </c>
      <c r="B718">
        <v>35</v>
      </c>
      <c r="C718" t="s">
        <v>1</v>
      </c>
      <c r="D718" t="s">
        <v>47</v>
      </c>
      <c r="E718" t="s">
        <v>3</v>
      </c>
      <c r="F718" t="s">
        <v>4</v>
      </c>
      <c r="G718" t="s">
        <v>17</v>
      </c>
      <c r="H718" t="s">
        <v>28</v>
      </c>
      <c r="I718" t="s">
        <v>35</v>
      </c>
      <c r="J718" t="s">
        <v>20</v>
      </c>
      <c r="K718" t="s">
        <v>1079</v>
      </c>
      <c r="L718">
        <v>0</v>
      </c>
      <c r="M718">
        <v>6.27</v>
      </c>
      <c r="N718">
        <v>1.75</v>
      </c>
      <c r="O718">
        <v>4.55</v>
      </c>
      <c r="P718">
        <v>4</v>
      </c>
      <c r="Q718">
        <v>1</v>
      </c>
      <c r="R718">
        <v>1</v>
      </c>
      <c r="S718">
        <v>10</v>
      </c>
      <c r="T718" t="s">
        <v>10</v>
      </c>
      <c r="U718">
        <v>8.4</v>
      </c>
      <c r="V718">
        <v>9.9</v>
      </c>
      <c r="W718">
        <v>5.7</v>
      </c>
      <c r="X718">
        <v>1</v>
      </c>
      <c r="Y718">
        <v>1.2</v>
      </c>
      <c r="Z718">
        <v>1.6</v>
      </c>
      <c r="AA718">
        <v>8</v>
      </c>
      <c r="AB718" t="s">
        <v>11</v>
      </c>
      <c r="AC718" t="s">
        <v>10</v>
      </c>
      <c r="AD718" t="s">
        <v>12</v>
      </c>
      <c r="AE718" t="str">
        <f t="shared" si="33"/>
        <v>35-44</v>
      </c>
      <c r="AF718" t="str">
        <f t="shared" si="34"/>
        <v>Very Low Usage</v>
      </c>
      <c r="AG718" t="str">
        <f t="shared" si="35"/>
        <v>Low Loneliness</v>
      </c>
    </row>
    <row r="719" spans="1:33" x14ac:dyDescent="0.3">
      <c r="A719" t="s">
        <v>763</v>
      </c>
      <c r="B719">
        <v>43</v>
      </c>
      <c r="C719" t="s">
        <v>32</v>
      </c>
      <c r="D719" t="s">
        <v>58</v>
      </c>
      <c r="E719" t="s">
        <v>37</v>
      </c>
      <c r="F719" t="s">
        <v>12</v>
      </c>
      <c r="G719" t="s">
        <v>43</v>
      </c>
      <c r="H719" t="s">
        <v>18</v>
      </c>
      <c r="I719" t="s">
        <v>29</v>
      </c>
      <c r="J719" t="s">
        <v>20</v>
      </c>
      <c r="K719" t="s">
        <v>25</v>
      </c>
      <c r="L719">
        <v>0</v>
      </c>
      <c r="M719">
        <v>4.6500000000000004</v>
      </c>
      <c r="N719">
        <v>2.74</v>
      </c>
      <c r="O719">
        <v>3.83</v>
      </c>
      <c r="P719">
        <v>4</v>
      </c>
      <c r="Q719">
        <v>3.2</v>
      </c>
      <c r="R719">
        <v>3.1</v>
      </c>
      <c r="S719">
        <v>7.5</v>
      </c>
      <c r="T719" t="s">
        <v>39</v>
      </c>
      <c r="U719">
        <v>8.1</v>
      </c>
      <c r="V719">
        <v>7.5</v>
      </c>
      <c r="W719">
        <v>3.4</v>
      </c>
      <c r="X719">
        <v>1.1000000000000001</v>
      </c>
      <c r="Y719">
        <v>2.2999999999999998</v>
      </c>
      <c r="Z719">
        <v>4.8</v>
      </c>
      <c r="AA719">
        <v>8.4</v>
      </c>
      <c r="AB719" t="s">
        <v>21</v>
      </c>
      <c r="AC719" t="s">
        <v>10</v>
      </c>
      <c r="AD719" t="s">
        <v>12</v>
      </c>
      <c r="AE719" t="str">
        <f t="shared" si="33"/>
        <v>35-44</v>
      </c>
      <c r="AF719" t="str">
        <f t="shared" si="34"/>
        <v>Very Low Usage</v>
      </c>
      <c r="AG719" t="str">
        <f t="shared" si="35"/>
        <v>Moderate Loneliness</v>
      </c>
    </row>
    <row r="720" spans="1:33" x14ac:dyDescent="0.3">
      <c r="A720" t="s">
        <v>764</v>
      </c>
      <c r="B720">
        <v>39</v>
      </c>
      <c r="C720" t="s">
        <v>1</v>
      </c>
      <c r="D720" t="s">
        <v>2</v>
      </c>
      <c r="E720" t="s">
        <v>3</v>
      </c>
      <c r="F720" t="s">
        <v>16</v>
      </c>
      <c r="G720" t="s">
        <v>5</v>
      </c>
      <c r="H720" t="s">
        <v>18</v>
      </c>
      <c r="I720" t="s">
        <v>19</v>
      </c>
      <c r="J720" t="s">
        <v>51</v>
      </c>
      <c r="K720" t="s">
        <v>1079</v>
      </c>
      <c r="L720">
        <v>2.58</v>
      </c>
      <c r="M720">
        <v>4.8099999999999996</v>
      </c>
      <c r="N720">
        <v>3.29</v>
      </c>
      <c r="O720">
        <v>7.26</v>
      </c>
      <c r="P720">
        <v>0</v>
      </c>
      <c r="Q720">
        <v>3</v>
      </c>
      <c r="R720">
        <v>2.8</v>
      </c>
      <c r="S720">
        <v>6.8</v>
      </c>
      <c r="T720" t="s">
        <v>39</v>
      </c>
      <c r="U720">
        <v>6.4</v>
      </c>
      <c r="V720">
        <v>6.4</v>
      </c>
      <c r="W720">
        <v>2.7</v>
      </c>
      <c r="X720">
        <v>5.9</v>
      </c>
      <c r="Y720">
        <v>5.8</v>
      </c>
      <c r="Z720">
        <v>4.0999999999999996</v>
      </c>
      <c r="AA720">
        <v>5.7</v>
      </c>
      <c r="AB720" t="s">
        <v>44</v>
      </c>
      <c r="AC720" t="s">
        <v>10</v>
      </c>
      <c r="AD720" t="s">
        <v>22</v>
      </c>
      <c r="AE720" t="str">
        <f t="shared" si="33"/>
        <v>35-44</v>
      </c>
      <c r="AF720" t="str">
        <f t="shared" si="34"/>
        <v>Moderate Usage</v>
      </c>
      <c r="AG720" t="str">
        <f t="shared" si="35"/>
        <v>Low Loneliness</v>
      </c>
    </row>
    <row r="721" spans="1:33" x14ac:dyDescent="0.3">
      <c r="A721" t="s">
        <v>765</v>
      </c>
      <c r="B721">
        <v>18</v>
      </c>
      <c r="C721" t="s">
        <v>1</v>
      </c>
      <c r="D721" t="s">
        <v>2</v>
      </c>
      <c r="E721" t="s">
        <v>15</v>
      </c>
      <c r="F721" t="s">
        <v>45</v>
      </c>
      <c r="G721" t="s">
        <v>17</v>
      </c>
      <c r="H721" t="s">
        <v>18</v>
      </c>
      <c r="I721" t="s">
        <v>29</v>
      </c>
      <c r="J721" t="s">
        <v>8</v>
      </c>
      <c r="K721" t="s">
        <v>53</v>
      </c>
      <c r="L721">
        <v>0.69</v>
      </c>
      <c r="M721">
        <v>4.75</v>
      </c>
      <c r="N721">
        <v>1.9</v>
      </c>
      <c r="O721">
        <v>3.13</v>
      </c>
      <c r="P721">
        <v>8</v>
      </c>
      <c r="Q721">
        <v>3.2</v>
      </c>
      <c r="R721">
        <v>3.3</v>
      </c>
      <c r="S721">
        <v>6.8</v>
      </c>
      <c r="T721" t="s">
        <v>10</v>
      </c>
      <c r="U721">
        <v>6.6</v>
      </c>
      <c r="V721">
        <v>6.2</v>
      </c>
      <c r="W721">
        <v>4.3</v>
      </c>
      <c r="X721">
        <v>2.9</v>
      </c>
      <c r="Y721">
        <v>1.7</v>
      </c>
      <c r="Z721">
        <v>3.9</v>
      </c>
      <c r="AA721">
        <v>7.2</v>
      </c>
      <c r="AB721" t="s">
        <v>21</v>
      </c>
      <c r="AC721" t="s">
        <v>10</v>
      </c>
      <c r="AD721" t="s">
        <v>12</v>
      </c>
      <c r="AE721" t="str">
        <f t="shared" si="33"/>
        <v>15-19</v>
      </c>
      <c r="AF721" t="str">
        <f t="shared" si="34"/>
        <v>Very Low Usage</v>
      </c>
      <c r="AG721" t="str">
        <f t="shared" si="35"/>
        <v>Moderate Loneliness</v>
      </c>
    </row>
    <row r="722" spans="1:33" x14ac:dyDescent="0.3">
      <c r="A722" t="s">
        <v>766</v>
      </c>
      <c r="B722">
        <v>24</v>
      </c>
      <c r="C722" t="s">
        <v>32</v>
      </c>
      <c r="D722" t="s">
        <v>2</v>
      </c>
      <c r="E722" t="s">
        <v>3</v>
      </c>
      <c r="F722" t="s">
        <v>4</v>
      </c>
      <c r="G722" t="s">
        <v>5</v>
      </c>
      <c r="H722" t="s">
        <v>33</v>
      </c>
      <c r="I722" t="s">
        <v>29</v>
      </c>
      <c r="J722" t="s">
        <v>38</v>
      </c>
      <c r="K722" t="s">
        <v>53</v>
      </c>
      <c r="L722">
        <v>1.38</v>
      </c>
      <c r="M722">
        <v>4.88</v>
      </c>
      <c r="N722">
        <v>1.56</v>
      </c>
      <c r="O722">
        <v>3.46</v>
      </c>
      <c r="P722">
        <v>7</v>
      </c>
      <c r="Q722">
        <v>2.9</v>
      </c>
      <c r="R722">
        <v>2.6</v>
      </c>
      <c r="S722">
        <v>6.5</v>
      </c>
      <c r="T722" t="s">
        <v>10</v>
      </c>
      <c r="U722">
        <v>7.8</v>
      </c>
      <c r="V722">
        <v>8.1999999999999993</v>
      </c>
      <c r="W722">
        <v>5.2</v>
      </c>
      <c r="X722">
        <v>5</v>
      </c>
      <c r="Y722">
        <v>1.8</v>
      </c>
      <c r="Z722">
        <v>3.7</v>
      </c>
      <c r="AA722">
        <v>6.9</v>
      </c>
      <c r="AB722" t="s">
        <v>11</v>
      </c>
      <c r="AC722" t="s">
        <v>10</v>
      </c>
      <c r="AD722" t="s">
        <v>12</v>
      </c>
      <c r="AE722" t="str">
        <f t="shared" si="33"/>
        <v>20-24</v>
      </c>
      <c r="AF722" t="str">
        <f t="shared" si="34"/>
        <v>Low Usage</v>
      </c>
      <c r="AG722" t="str">
        <f t="shared" si="35"/>
        <v>Low Loneliness</v>
      </c>
    </row>
    <row r="723" spans="1:33" x14ac:dyDescent="0.3">
      <c r="A723" t="s">
        <v>767</v>
      </c>
      <c r="B723">
        <v>19</v>
      </c>
      <c r="C723" t="s">
        <v>1</v>
      </c>
      <c r="D723" t="s">
        <v>14</v>
      </c>
      <c r="E723" t="s">
        <v>37</v>
      </c>
      <c r="F723" t="s">
        <v>4</v>
      </c>
      <c r="G723" t="s">
        <v>17</v>
      </c>
      <c r="H723" t="s">
        <v>6</v>
      </c>
      <c r="I723" t="s">
        <v>24</v>
      </c>
      <c r="J723" t="s">
        <v>20</v>
      </c>
      <c r="K723" t="s">
        <v>25</v>
      </c>
      <c r="L723">
        <v>0.6</v>
      </c>
      <c r="M723">
        <v>4.92</v>
      </c>
      <c r="N723">
        <v>2.0699999999999998</v>
      </c>
      <c r="O723">
        <v>3.76</v>
      </c>
      <c r="P723">
        <v>5</v>
      </c>
      <c r="Q723">
        <v>2.9</v>
      </c>
      <c r="R723">
        <v>1.4</v>
      </c>
      <c r="S723">
        <v>5.4</v>
      </c>
      <c r="T723" t="s">
        <v>10</v>
      </c>
      <c r="U723">
        <v>8.1999999999999993</v>
      </c>
      <c r="V723">
        <v>8</v>
      </c>
      <c r="W723">
        <v>3.7</v>
      </c>
      <c r="X723">
        <v>2.2999999999999998</v>
      </c>
      <c r="Y723">
        <v>1.7</v>
      </c>
      <c r="Z723">
        <v>2.9</v>
      </c>
      <c r="AA723">
        <v>9.6999999999999993</v>
      </c>
      <c r="AB723" t="s">
        <v>11</v>
      </c>
      <c r="AC723" t="s">
        <v>10</v>
      </c>
      <c r="AD723" t="s">
        <v>12</v>
      </c>
      <c r="AE723" t="str">
        <f t="shared" si="33"/>
        <v>15-19</v>
      </c>
      <c r="AF723" t="str">
        <f t="shared" si="34"/>
        <v>Very Low Usage</v>
      </c>
      <c r="AG723" t="str">
        <f t="shared" si="35"/>
        <v>Low Loneliness</v>
      </c>
    </row>
    <row r="724" spans="1:33" x14ac:dyDescent="0.3">
      <c r="A724" t="s">
        <v>768</v>
      </c>
      <c r="B724">
        <v>23</v>
      </c>
      <c r="C724" t="s">
        <v>32</v>
      </c>
      <c r="D724" t="s">
        <v>2</v>
      </c>
      <c r="E724" t="s">
        <v>15</v>
      </c>
      <c r="F724" t="s">
        <v>4</v>
      </c>
      <c r="G724" t="s">
        <v>43</v>
      </c>
      <c r="H724" t="s">
        <v>28</v>
      </c>
      <c r="I724" t="s">
        <v>19</v>
      </c>
      <c r="J724" t="s">
        <v>51</v>
      </c>
      <c r="K724" t="s">
        <v>53</v>
      </c>
      <c r="L724">
        <v>2.98</v>
      </c>
      <c r="M724">
        <v>1.27</v>
      </c>
      <c r="N724">
        <v>2.33</v>
      </c>
      <c r="O724">
        <v>7.28</v>
      </c>
      <c r="P724">
        <v>5</v>
      </c>
      <c r="Q724">
        <v>9.4</v>
      </c>
      <c r="R724">
        <v>6.7</v>
      </c>
      <c r="S724">
        <v>2.8</v>
      </c>
      <c r="T724" t="s">
        <v>39</v>
      </c>
      <c r="U724">
        <v>5.3</v>
      </c>
      <c r="V724">
        <v>4</v>
      </c>
      <c r="W724">
        <v>2.8</v>
      </c>
      <c r="X724">
        <v>6.1</v>
      </c>
      <c r="Y724">
        <v>4.0999999999999996</v>
      </c>
      <c r="Z724">
        <v>6.3</v>
      </c>
      <c r="AA724">
        <v>4.3</v>
      </c>
      <c r="AB724" t="s">
        <v>44</v>
      </c>
      <c r="AC724" t="s">
        <v>39</v>
      </c>
      <c r="AD724" t="s">
        <v>45</v>
      </c>
      <c r="AE724" t="str">
        <f t="shared" si="33"/>
        <v>20-24</v>
      </c>
      <c r="AF724" t="str">
        <f t="shared" si="34"/>
        <v>Moderate Usage</v>
      </c>
      <c r="AG724" t="str">
        <f t="shared" si="35"/>
        <v>High Loneliness</v>
      </c>
    </row>
    <row r="725" spans="1:33" x14ac:dyDescent="0.3">
      <c r="A725" t="s">
        <v>769</v>
      </c>
      <c r="B725">
        <v>38</v>
      </c>
      <c r="C725" t="s">
        <v>1</v>
      </c>
      <c r="D725" t="s">
        <v>47</v>
      </c>
      <c r="E725" t="s">
        <v>3</v>
      </c>
      <c r="F725" t="s">
        <v>12</v>
      </c>
      <c r="G725" t="s">
        <v>17</v>
      </c>
      <c r="H725" t="s">
        <v>28</v>
      </c>
      <c r="I725" t="s">
        <v>29</v>
      </c>
      <c r="J725" t="s">
        <v>8</v>
      </c>
      <c r="K725" t="s">
        <v>1079</v>
      </c>
      <c r="L725">
        <v>1.7</v>
      </c>
      <c r="M725">
        <v>3.79</v>
      </c>
      <c r="N725">
        <v>4.32</v>
      </c>
      <c r="O725">
        <v>7.02</v>
      </c>
      <c r="P725">
        <v>4</v>
      </c>
      <c r="Q725">
        <v>6.8</v>
      </c>
      <c r="R725">
        <v>6.8</v>
      </c>
      <c r="S725">
        <v>4.2</v>
      </c>
      <c r="T725" t="s">
        <v>39</v>
      </c>
      <c r="U725">
        <v>8.6</v>
      </c>
      <c r="V725">
        <v>5.5</v>
      </c>
      <c r="W725">
        <v>3.3</v>
      </c>
      <c r="X725">
        <v>6.9</v>
      </c>
      <c r="Y725">
        <v>6</v>
      </c>
      <c r="Z725">
        <v>5.6</v>
      </c>
      <c r="AA725">
        <v>5.4</v>
      </c>
      <c r="AB725" t="s">
        <v>21</v>
      </c>
      <c r="AC725" t="s">
        <v>10</v>
      </c>
      <c r="AD725" t="s">
        <v>45</v>
      </c>
      <c r="AE725" t="str">
        <f t="shared" si="33"/>
        <v>35-44</v>
      </c>
      <c r="AF725" t="str">
        <f t="shared" si="34"/>
        <v>Low Usage</v>
      </c>
      <c r="AG725" t="str">
        <f t="shared" si="35"/>
        <v>High Loneliness</v>
      </c>
    </row>
    <row r="726" spans="1:33" x14ac:dyDescent="0.3">
      <c r="A726" t="s">
        <v>770</v>
      </c>
      <c r="B726">
        <v>17</v>
      </c>
      <c r="C726" t="s">
        <v>32</v>
      </c>
      <c r="D726" t="s">
        <v>2</v>
      </c>
      <c r="E726" t="s">
        <v>37</v>
      </c>
      <c r="F726" t="s">
        <v>45</v>
      </c>
      <c r="G726" t="s">
        <v>43</v>
      </c>
      <c r="H726" t="s">
        <v>6</v>
      </c>
      <c r="I726" t="s">
        <v>29</v>
      </c>
      <c r="J726" t="s">
        <v>8</v>
      </c>
      <c r="K726" t="s">
        <v>1079</v>
      </c>
      <c r="L726">
        <v>1.38</v>
      </c>
      <c r="M726">
        <v>4.68</v>
      </c>
      <c r="N726">
        <v>1</v>
      </c>
      <c r="O726">
        <v>5.88</v>
      </c>
      <c r="P726">
        <v>4</v>
      </c>
      <c r="Q726">
        <v>5.3</v>
      </c>
      <c r="R726">
        <v>6.7</v>
      </c>
      <c r="S726">
        <v>4</v>
      </c>
      <c r="T726" t="s">
        <v>10</v>
      </c>
      <c r="U726">
        <v>5.7</v>
      </c>
      <c r="V726">
        <v>6</v>
      </c>
      <c r="W726">
        <v>3</v>
      </c>
      <c r="X726">
        <v>5.8</v>
      </c>
      <c r="Y726">
        <v>6.7</v>
      </c>
      <c r="Z726">
        <v>5.8</v>
      </c>
      <c r="AA726">
        <v>3.9</v>
      </c>
      <c r="AB726" t="s">
        <v>11</v>
      </c>
      <c r="AC726" t="s">
        <v>10</v>
      </c>
      <c r="AD726" t="s">
        <v>22</v>
      </c>
      <c r="AE726" t="str">
        <f t="shared" si="33"/>
        <v>15-19</v>
      </c>
      <c r="AF726" t="str">
        <f t="shared" si="34"/>
        <v>Low Usage</v>
      </c>
      <c r="AG726" t="str">
        <f t="shared" si="35"/>
        <v>Moderate Loneliness</v>
      </c>
    </row>
    <row r="727" spans="1:33" x14ac:dyDescent="0.3">
      <c r="A727" t="s">
        <v>771</v>
      </c>
      <c r="B727">
        <v>31</v>
      </c>
      <c r="C727" t="s">
        <v>1</v>
      </c>
      <c r="D727" t="s">
        <v>58</v>
      </c>
      <c r="E727" t="s">
        <v>37</v>
      </c>
      <c r="F727" t="s">
        <v>4</v>
      </c>
      <c r="G727" t="s">
        <v>5</v>
      </c>
      <c r="H727" t="s">
        <v>28</v>
      </c>
      <c r="I727" t="s">
        <v>24</v>
      </c>
      <c r="J727" t="s">
        <v>48</v>
      </c>
      <c r="K727" t="s">
        <v>30</v>
      </c>
      <c r="L727">
        <v>1.02</v>
      </c>
      <c r="M727">
        <v>2.7</v>
      </c>
      <c r="N727">
        <v>3.8</v>
      </c>
      <c r="O727">
        <v>5.88</v>
      </c>
      <c r="P727">
        <v>4</v>
      </c>
      <c r="Q727">
        <v>5.9</v>
      </c>
      <c r="R727">
        <v>4.5</v>
      </c>
      <c r="S727">
        <v>3.4</v>
      </c>
      <c r="T727" t="s">
        <v>10</v>
      </c>
      <c r="U727">
        <v>6.1</v>
      </c>
      <c r="V727">
        <v>5.3</v>
      </c>
      <c r="W727">
        <v>6.7</v>
      </c>
      <c r="X727">
        <v>6.2</v>
      </c>
      <c r="Y727">
        <v>5.2</v>
      </c>
      <c r="Z727">
        <v>6.4</v>
      </c>
      <c r="AA727">
        <v>4.0999999999999996</v>
      </c>
      <c r="AB727" t="s">
        <v>21</v>
      </c>
      <c r="AC727" t="s">
        <v>10</v>
      </c>
      <c r="AD727" t="s">
        <v>45</v>
      </c>
      <c r="AE727" t="str">
        <f t="shared" si="33"/>
        <v>25-34</v>
      </c>
      <c r="AF727" t="str">
        <f t="shared" si="34"/>
        <v>Low Usage</v>
      </c>
      <c r="AG727" t="str">
        <f t="shared" si="35"/>
        <v>Moderate Loneliness</v>
      </c>
    </row>
    <row r="728" spans="1:33" x14ac:dyDescent="0.3">
      <c r="A728" t="s">
        <v>772</v>
      </c>
      <c r="B728">
        <v>17</v>
      </c>
      <c r="C728" t="s">
        <v>1</v>
      </c>
      <c r="D728" t="s">
        <v>2</v>
      </c>
      <c r="E728" t="s">
        <v>3</v>
      </c>
      <c r="F728" t="s">
        <v>4</v>
      </c>
      <c r="G728" t="s">
        <v>17</v>
      </c>
      <c r="H728" t="s">
        <v>6</v>
      </c>
      <c r="I728" t="s">
        <v>29</v>
      </c>
      <c r="J728" t="s">
        <v>8</v>
      </c>
      <c r="K728" t="s">
        <v>30</v>
      </c>
      <c r="L728">
        <v>0</v>
      </c>
      <c r="M728">
        <v>4.3499999999999996</v>
      </c>
      <c r="N728">
        <v>1.64</v>
      </c>
      <c r="O728">
        <v>3.82</v>
      </c>
      <c r="P728">
        <v>5</v>
      </c>
      <c r="Q728">
        <v>1</v>
      </c>
      <c r="R728">
        <v>2.7</v>
      </c>
      <c r="S728">
        <v>7.8</v>
      </c>
      <c r="T728" t="s">
        <v>10</v>
      </c>
      <c r="U728">
        <v>8.8000000000000007</v>
      </c>
      <c r="V728">
        <v>8.8000000000000007</v>
      </c>
      <c r="W728">
        <v>5.9</v>
      </c>
      <c r="X728">
        <v>1.6</v>
      </c>
      <c r="Y728">
        <v>1</v>
      </c>
      <c r="Z728">
        <v>2.5</v>
      </c>
      <c r="AA728">
        <v>8.6</v>
      </c>
      <c r="AB728" t="s">
        <v>21</v>
      </c>
      <c r="AC728" t="s">
        <v>10</v>
      </c>
      <c r="AD728" t="s">
        <v>12</v>
      </c>
      <c r="AE728" t="str">
        <f t="shared" si="33"/>
        <v>15-19</v>
      </c>
      <c r="AF728" t="str">
        <f t="shared" si="34"/>
        <v>Very Low Usage</v>
      </c>
      <c r="AG728" t="str">
        <f t="shared" si="35"/>
        <v>Low Loneliness</v>
      </c>
    </row>
    <row r="729" spans="1:33" x14ac:dyDescent="0.3">
      <c r="A729" t="s">
        <v>773</v>
      </c>
      <c r="B729">
        <v>30</v>
      </c>
      <c r="C729" t="s">
        <v>1</v>
      </c>
      <c r="D729" t="s">
        <v>2</v>
      </c>
      <c r="E729" t="s">
        <v>15</v>
      </c>
      <c r="F729" t="s">
        <v>16</v>
      </c>
      <c r="G729" t="s">
        <v>66</v>
      </c>
      <c r="H729" t="s">
        <v>6</v>
      </c>
      <c r="I729" t="s">
        <v>7</v>
      </c>
      <c r="J729" t="s">
        <v>51</v>
      </c>
      <c r="K729" t="s">
        <v>25</v>
      </c>
      <c r="L729">
        <v>1.06</v>
      </c>
      <c r="M729">
        <v>4.26</v>
      </c>
      <c r="N729">
        <v>1.42</v>
      </c>
      <c r="O729">
        <v>5.8</v>
      </c>
      <c r="P729">
        <v>3</v>
      </c>
      <c r="Q729">
        <v>3.1</v>
      </c>
      <c r="R729">
        <v>2.2000000000000002</v>
      </c>
      <c r="S729">
        <v>8.6999999999999993</v>
      </c>
      <c r="T729" t="s">
        <v>10</v>
      </c>
      <c r="U729">
        <v>8.4</v>
      </c>
      <c r="V729">
        <v>8.5</v>
      </c>
      <c r="W729">
        <v>5.0999999999999996</v>
      </c>
      <c r="X729">
        <v>1.5</v>
      </c>
      <c r="Y729">
        <v>2.6</v>
      </c>
      <c r="Z729">
        <v>4.0999999999999996</v>
      </c>
      <c r="AA729">
        <v>7.3</v>
      </c>
      <c r="AB729" t="s">
        <v>21</v>
      </c>
      <c r="AC729" t="s">
        <v>10</v>
      </c>
      <c r="AD729" t="s">
        <v>12</v>
      </c>
      <c r="AE729" t="str">
        <f t="shared" si="33"/>
        <v>25-34</v>
      </c>
      <c r="AF729" t="str">
        <f t="shared" si="34"/>
        <v>Low Usage</v>
      </c>
      <c r="AG729" t="str">
        <f t="shared" si="35"/>
        <v>Moderate Loneliness</v>
      </c>
    </row>
    <row r="730" spans="1:33" x14ac:dyDescent="0.3">
      <c r="A730" t="s">
        <v>774</v>
      </c>
      <c r="B730">
        <v>18</v>
      </c>
      <c r="C730" t="s">
        <v>1</v>
      </c>
      <c r="D730" t="s">
        <v>2</v>
      </c>
      <c r="E730" t="s">
        <v>3</v>
      </c>
      <c r="F730" t="s">
        <v>4</v>
      </c>
      <c r="G730" t="s">
        <v>5</v>
      </c>
      <c r="H730" t="s">
        <v>18</v>
      </c>
      <c r="I730" t="s">
        <v>29</v>
      </c>
      <c r="J730" t="s">
        <v>8</v>
      </c>
      <c r="K730" t="s">
        <v>53</v>
      </c>
      <c r="L730">
        <v>1.68</v>
      </c>
      <c r="M730">
        <v>3.59</v>
      </c>
      <c r="N730">
        <v>3.2</v>
      </c>
      <c r="O730">
        <v>6.97</v>
      </c>
      <c r="P730">
        <v>5</v>
      </c>
      <c r="Q730">
        <v>6.1</v>
      </c>
      <c r="R730">
        <v>4.4000000000000004</v>
      </c>
      <c r="S730">
        <v>5.8</v>
      </c>
      <c r="T730" t="s">
        <v>10</v>
      </c>
      <c r="U730">
        <v>7.6</v>
      </c>
      <c r="V730">
        <v>6.8</v>
      </c>
      <c r="W730">
        <v>2.6</v>
      </c>
      <c r="X730">
        <v>4.3</v>
      </c>
      <c r="Y730">
        <v>3.7</v>
      </c>
      <c r="Z730">
        <v>2.2000000000000002</v>
      </c>
      <c r="AA730">
        <v>5.9</v>
      </c>
      <c r="AB730" t="s">
        <v>44</v>
      </c>
      <c r="AC730" t="s">
        <v>10</v>
      </c>
      <c r="AD730" t="s">
        <v>22</v>
      </c>
      <c r="AE730" t="str">
        <f t="shared" si="33"/>
        <v>15-19</v>
      </c>
      <c r="AF730" t="str">
        <f t="shared" si="34"/>
        <v>Low Usage</v>
      </c>
      <c r="AG730" t="str">
        <f t="shared" si="35"/>
        <v>High Loneliness</v>
      </c>
    </row>
    <row r="731" spans="1:33" x14ac:dyDescent="0.3">
      <c r="A731" t="s">
        <v>775</v>
      </c>
      <c r="B731">
        <v>32</v>
      </c>
      <c r="C731" t="s">
        <v>1</v>
      </c>
      <c r="D731" t="s">
        <v>2</v>
      </c>
      <c r="E731" t="s">
        <v>37</v>
      </c>
      <c r="F731" t="s">
        <v>16</v>
      </c>
      <c r="G731" t="s">
        <v>17</v>
      </c>
      <c r="H731" t="s">
        <v>6</v>
      </c>
      <c r="I731" t="s">
        <v>29</v>
      </c>
      <c r="J731" t="s">
        <v>48</v>
      </c>
      <c r="K731" t="s">
        <v>1079</v>
      </c>
      <c r="L731">
        <v>0</v>
      </c>
      <c r="M731">
        <v>5.32</v>
      </c>
      <c r="N731">
        <v>1.91</v>
      </c>
      <c r="O731">
        <v>3.55</v>
      </c>
      <c r="P731">
        <v>5</v>
      </c>
      <c r="Q731">
        <v>2.6</v>
      </c>
      <c r="R731">
        <v>1</v>
      </c>
      <c r="S731">
        <v>6.9</v>
      </c>
      <c r="T731" t="s">
        <v>10</v>
      </c>
      <c r="U731">
        <v>7.1</v>
      </c>
      <c r="V731">
        <v>10</v>
      </c>
      <c r="W731">
        <v>5.4</v>
      </c>
      <c r="X731">
        <v>1</v>
      </c>
      <c r="Y731">
        <v>3.2</v>
      </c>
      <c r="Z731">
        <v>4.3</v>
      </c>
      <c r="AA731">
        <v>10</v>
      </c>
      <c r="AB731" t="s">
        <v>11</v>
      </c>
      <c r="AC731" t="s">
        <v>10</v>
      </c>
      <c r="AD731" t="s">
        <v>12</v>
      </c>
      <c r="AE731" t="str">
        <f t="shared" si="33"/>
        <v>25-34</v>
      </c>
      <c r="AF731" t="str">
        <f t="shared" si="34"/>
        <v>Very Low Usage</v>
      </c>
      <c r="AG731" t="str">
        <f t="shared" si="35"/>
        <v>Low Loneliness</v>
      </c>
    </row>
    <row r="732" spans="1:33" x14ac:dyDescent="0.3">
      <c r="A732" t="s">
        <v>776</v>
      </c>
      <c r="B732">
        <v>31</v>
      </c>
      <c r="C732" t="s">
        <v>32</v>
      </c>
      <c r="D732" t="s">
        <v>2</v>
      </c>
      <c r="E732" t="s">
        <v>37</v>
      </c>
      <c r="F732" t="s">
        <v>12</v>
      </c>
      <c r="G732" t="s">
        <v>5</v>
      </c>
      <c r="H732" t="s">
        <v>28</v>
      </c>
      <c r="I732" t="s">
        <v>19</v>
      </c>
      <c r="J732" t="s">
        <v>8</v>
      </c>
      <c r="K732" t="s">
        <v>1079</v>
      </c>
      <c r="L732">
        <v>1.05</v>
      </c>
      <c r="M732">
        <v>5.5</v>
      </c>
      <c r="N732">
        <v>1.3</v>
      </c>
      <c r="O732">
        <v>4.5</v>
      </c>
      <c r="P732">
        <v>1</v>
      </c>
      <c r="Q732">
        <v>5.5</v>
      </c>
      <c r="R732">
        <v>4</v>
      </c>
      <c r="S732">
        <v>5.8</v>
      </c>
      <c r="T732" t="s">
        <v>10</v>
      </c>
      <c r="U732">
        <v>6.5</v>
      </c>
      <c r="V732">
        <v>7.3</v>
      </c>
      <c r="W732">
        <v>4.2</v>
      </c>
      <c r="X732">
        <v>7.2</v>
      </c>
      <c r="Y732">
        <v>4</v>
      </c>
      <c r="Z732">
        <v>6.3</v>
      </c>
      <c r="AA732">
        <v>6.4</v>
      </c>
      <c r="AB732" t="s">
        <v>21</v>
      </c>
      <c r="AC732" t="s">
        <v>39</v>
      </c>
      <c r="AD732" t="s">
        <v>22</v>
      </c>
      <c r="AE732" t="str">
        <f t="shared" si="33"/>
        <v>25-34</v>
      </c>
      <c r="AF732" t="str">
        <f t="shared" si="34"/>
        <v>Low Usage</v>
      </c>
      <c r="AG732" t="str">
        <f t="shared" si="35"/>
        <v>Moderate Loneliness</v>
      </c>
    </row>
    <row r="733" spans="1:33" x14ac:dyDescent="0.3">
      <c r="A733" t="s">
        <v>777</v>
      </c>
      <c r="B733">
        <v>21</v>
      </c>
      <c r="C733" t="s">
        <v>32</v>
      </c>
      <c r="D733" t="s">
        <v>14</v>
      </c>
      <c r="E733" t="s">
        <v>37</v>
      </c>
      <c r="F733" t="s">
        <v>16</v>
      </c>
      <c r="G733" t="s">
        <v>43</v>
      </c>
      <c r="H733" t="s">
        <v>28</v>
      </c>
      <c r="I733" t="s">
        <v>19</v>
      </c>
      <c r="J733" t="s">
        <v>20</v>
      </c>
      <c r="K733" t="s">
        <v>53</v>
      </c>
      <c r="L733">
        <v>0</v>
      </c>
      <c r="M733">
        <v>6.88</v>
      </c>
      <c r="N733">
        <v>2.65</v>
      </c>
      <c r="O733">
        <v>4.09</v>
      </c>
      <c r="P733">
        <v>7</v>
      </c>
      <c r="Q733">
        <v>1.4</v>
      </c>
      <c r="R733">
        <v>2.1</v>
      </c>
      <c r="S733">
        <v>6.8</v>
      </c>
      <c r="T733" t="s">
        <v>10</v>
      </c>
      <c r="U733">
        <v>7.1</v>
      </c>
      <c r="V733">
        <v>7</v>
      </c>
      <c r="W733">
        <v>5.5</v>
      </c>
      <c r="X733">
        <v>1</v>
      </c>
      <c r="Y733">
        <v>1</v>
      </c>
      <c r="Z733">
        <v>2.2000000000000002</v>
      </c>
      <c r="AA733">
        <v>7.9</v>
      </c>
      <c r="AB733" t="s">
        <v>21</v>
      </c>
      <c r="AC733" t="s">
        <v>10</v>
      </c>
      <c r="AD733" t="s">
        <v>12</v>
      </c>
      <c r="AE733" t="str">
        <f t="shared" si="33"/>
        <v>20-24</v>
      </c>
      <c r="AF733" t="str">
        <f t="shared" si="34"/>
        <v>Very Low Usage</v>
      </c>
      <c r="AG733" t="str">
        <f t="shared" si="35"/>
        <v>Low Loneliness</v>
      </c>
    </row>
    <row r="734" spans="1:33" x14ac:dyDescent="0.3">
      <c r="A734" t="s">
        <v>778</v>
      </c>
      <c r="B734">
        <v>38</v>
      </c>
      <c r="C734" t="s">
        <v>1</v>
      </c>
      <c r="D734" t="s">
        <v>2</v>
      </c>
      <c r="E734" t="s">
        <v>15</v>
      </c>
      <c r="F734" t="s">
        <v>45</v>
      </c>
      <c r="G734" t="s">
        <v>17</v>
      </c>
      <c r="H734" t="s">
        <v>33</v>
      </c>
      <c r="I734" t="s">
        <v>19</v>
      </c>
      <c r="J734" t="s">
        <v>48</v>
      </c>
      <c r="K734" t="s">
        <v>1079</v>
      </c>
      <c r="L734">
        <v>0.26</v>
      </c>
      <c r="M734">
        <v>6.65</v>
      </c>
      <c r="N734">
        <v>0.92</v>
      </c>
      <c r="O734">
        <v>2.1800000000000002</v>
      </c>
      <c r="P734">
        <v>7</v>
      </c>
      <c r="Q734">
        <v>1</v>
      </c>
      <c r="R734">
        <v>1</v>
      </c>
      <c r="S734">
        <v>8.1999999999999993</v>
      </c>
      <c r="T734" t="s">
        <v>10</v>
      </c>
      <c r="U734">
        <v>7.9</v>
      </c>
      <c r="V734">
        <v>8.1999999999999993</v>
      </c>
      <c r="W734">
        <v>8.1</v>
      </c>
      <c r="X734">
        <v>1</v>
      </c>
      <c r="Y734">
        <v>1.1000000000000001</v>
      </c>
      <c r="Z734">
        <v>1.3</v>
      </c>
      <c r="AA734">
        <v>8.4</v>
      </c>
      <c r="AB734" t="s">
        <v>11</v>
      </c>
      <c r="AC734" t="s">
        <v>10</v>
      </c>
      <c r="AD734" t="s">
        <v>12</v>
      </c>
      <c r="AE734" t="str">
        <f t="shared" si="33"/>
        <v>35-44</v>
      </c>
      <c r="AF734" t="str">
        <f t="shared" si="34"/>
        <v>Very Low Usage</v>
      </c>
      <c r="AG734" t="str">
        <f t="shared" si="35"/>
        <v>Low Loneliness</v>
      </c>
    </row>
    <row r="735" spans="1:33" x14ac:dyDescent="0.3">
      <c r="A735" t="s">
        <v>779</v>
      </c>
      <c r="B735">
        <v>37</v>
      </c>
      <c r="C735" t="s">
        <v>32</v>
      </c>
      <c r="D735" t="s">
        <v>14</v>
      </c>
      <c r="E735" t="s">
        <v>37</v>
      </c>
      <c r="F735" t="s">
        <v>16</v>
      </c>
      <c r="G735" t="s">
        <v>17</v>
      </c>
      <c r="H735" t="s">
        <v>28</v>
      </c>
      <c r="I735" t="s">
        <v>29</v>
      </c>
      <c r="J735" t="s">
        <v>8</v>
      </c>
      <c r="K735" t="s">
        <v>1079</v>
      </c>
      <c r="L735">
        <v>2.57</v>
      </c>
      <c r="M735">
        <v>3.31</v>
      </c>
      <c r="N735">
        <v>5.55</v>
      </c>
      <c r="O735">
        <v>10.74</v>
      </c>
      <c r="P735">
        <v>5</v>
      </c>
      <c r="Q735">
        <v>6.5</v>
      </c>
      <c r="R735">
        <v>7.1</v>
      </c>
      <c r="S735">
        <v>2.4</v>
      </c>
      <c r="T735" t="s">
        <v>39</v>
      </c>
      <c r="U735">
        <v>6.8</v>
      </c>
      <c r="V735">
        <v>4.8</v>
      </c>
      <c r="W735">
        <v>0.6</v>
      </c>
      <c r="X735">
        <v>6.8</v>
      </c>
      <c r="Y735">
        <v>5.8</v>
      </c>
      <c r="Z735">
        <v>6.2</v>
      </c>
      <c r="AA735">
        <v>3.7</v>
      </c>
      <c r="AB735" t="s">
        <v>44</v>
      </c>
      <c r="AC735" t="s">
        <v>10</v>
      </c>
      <c r="AD735" t="s">
        <v>45</v>
      </c>
      <c r="AE735" t="str">
        <f t="shared" si="33"/>
        <v>35-44</v>
      </c>
      <c r="AF735" t="str">
        <f t="shared" si="34"/>
        <v>Moderate Usage</v>
      </c>
      <c r="AG735" t="str">
        <f t="shared" si="35"/>
        <v>High Loneliness</v>
      </c>
    </row>
    <row r="736" spans="1:33" x14ac:dyDescent="0.3">
      <c r="A736" t="s">
        <v>780</v>
      </c>
      <c r="B736">
        <v>44</v>
      </c>
      <c r="C736" t="s">
        <v>32</v>
      </c>
      <c r="D736" t="s">
        <v>14</v>
      </c>
      <c r="E736" t="s">
        <v>3</v>
      </c>
      <c r="F736" t="s">
        <v>45</v>
      </c>
      <c r="G736" t="s">
        <v>17</v>
      </c>
      <c r="H736" t="s">
        <v>6</v>
      </c>
      <c r="I736" t="s">
        <v>35</v>
      </c>
      <c r="J736" t="s">
        <v>8</v>
      </c>
      <c r="K736" t="s">
        <v>1079</v>
      </c>
      <c r="L736">
        <v>1.89</v>
      </c>
      <c r="M736">
        <v>1.94</v>
      </c>
      <c r="N736">
        <v>4.32</v>
      </c>
      <c r="O736">
        <v>7.62</v>
      </c>
      <c r="P736">
        <v>3</v>
      </c>
      <c r="Q736">
        <v>7.5</v>
      </c>
      <c r="R736">
        <v>5.6</v>
      </c>
      <c r="S736">
        <v>4.5</v>
      </c>
      <c r="T736" t="s">
        <v>10</v>
      </c>
      <c r="U736">
        <v>5.5</v>
      </c>
      <c r="V736">
        <v>3.7</v>
      </c>
      <c r="W736">
        <v>2.2000000000000002</v>
      </c>
      <c r="X736">
        <v>6.6</v>
      </c>
      <c r="Y736">
        <v>5.8</v>
      </c>
      <c r="Z736">
        <v>5.7</v>
      </c>
      <c r="AA736">
        <v>3.5</v>
      </c>
      <c r="AB736" t="s">
        <v>44</v>
      </c>
      <c r="AC736" t="s">
        <v>39</v>
      </c>
      <c r="AD736" t="s">
        <v>45</v>
      </c>
      <c r="AE736" t="str">
        <f t="shared" si="33"/>
        <v>35-44</v>
      </c>
      <c r="AF736" t="str">
        <f t="shared" si="34"/>
        <v>Low Usage</v>
      </c>
      <c r="AG736" t="str">
        <f t="shared" si="35"/>
        <v>High Loneliness</v>
      </c>
    </row>
    <row r="737" spans="1:33" x14ac:dyDescent="0.3">
      <c r="A737" t="s">
        <v>781</v>
      </c>
      <c r="B737">
        <v>19</v>
      </c>
      <c r="C737" t="s">
        <v>32</v>
      </c>
      <c r="D737" t="s">
        <v>2</v>
      </c>
      <c r="E737" t="s">
        <v>15</v>
      </c>
      <c r="F737" t="s">
        <v>12</v>
      </c>
      <c r="G737" t="s">
        <v>17</v>
      </c>
      <c r="H737" t="s">
        <v>28</v>
      </c>
      <c r="I737" t="s">
        <v>24</v>
      </c>
      <c r="J737" t="s">
        <v>8</v>
      </c>
      <c r="K737" t="s">
        <v>30</v>
      </c>
      <c r="L737">
        <v>1.5</v>
      </c>
      <c r="M737">
        <v>6.37</v>
      </c>
      <c r="N737">
        <v>1.92</v>
      </c>
      <c r="O737">
        <v>6.36</v>
      </c>
      <c r="P737">
        <v>3</v>
      </c>
      <c r="Q737">
        <v>3.4</v>
      </c>
      <c r="R737">
        <v>3.8</v>
      </c>
      <c r="S737">
        <v>6.9</v>
      </c>
      <c r="T737" t="s">
        <v>10</v>
      </c>
      <c r="U737">
        <v>5.9</v>
      </c>
      <c r="V737">
        <v>8.1</v>
      </c>
      <c r="W737">
        <v>5.8</v>
      </c>
      <c r="X737">
        <v>2.5</v>
      </c>
      <c r="Y737">
        <v>1.4</v>
      </c>
      <c r="Z737">
        <v>3</v>
      </c>
      <c r="AA737">
        <v>6.7</v>
      </c>
      <c r="AB737" t="s">
        <v>11</v>
      </c>
      <c r="AC737" t="s">
        <v>10</v>
      </c>
      <c r="AD737" t="s">
        <v>12</v>
      </c>
      <c r="AE737" t="str">
        <f t="shared" si="33"/>
        <v>15-19</v>
      </c>
      <c r="AF737" t="str">
        <f t="shared" si="34"/>
        <v>Low Usage</v>
      </c>
      <c r="AG737" t="str">
        <f t="shared" si="35"/>
        <v>Moderate Loneliness</v>
      </c>
    </row>
    <row r="738" spans="1:33" x14ac:dyDescent="0.3">
      <c r="A738" t="s">
        <v>782</v>
      </c>
      <c r="B738">
        <v>26</v>
      </c>
      <c r="C738" t="s">
        <v>1</v>
      </c>
      <c r="D738" t="s">
        <v>2</v>
      </c>
      <c r="E738" t="s">
        <v>37</v>
      </c>
      <c r="F738" t="s">
        <v>4</v>
      </c>
      <c r="G738" t="s">
        <v>43</v>
      </c>
      <c r="H738" t="s">
        <v>18</v>
      </c>
      <c r="I738" t="s">
        <v>29</v>
      </c>
      <c r="J738" t="s">
        <v>20</v>
      </c>
      <c r="K738" t="s">
        <v>1079</v>
      </c>
      <c r="L738">
        <v>0.9</v>
      </c>
      <c r="M738">
        <v>5.42</v>
      </c>
      <c r="N738">
        <v>0.28999999999999998</v>
      </c>
      <c r="O738">
        <v>3.99</v>
      </c>
      <c r="P738">
        <v>4</v>
      </c>
      <c r="Q738">
        <v>1.9</v>
      </c>
      <c r="R738">
        <v>1.4</v>
      </c>
      <c r="S738">
        <v>8.8000000000000007</v>
      </c>
      <c r="T738" t="s">
        <v>10</v>
      </c>
      <c r="U738">
        <v>9.1</v>
      </c>
      <c r="V738">
        <v>9.8000000000000007</v>
      </c>
      <c r="W738">
        <v>4.5</v>
      </c>
      <c r="X738">
        <v>1.3</v>
      </c>
      <c r="Y738">
        <v>3</v>
      </c>
      <c r="Z738">
        <v>2.8</v>
      </c>
      <c r="AA738">
        <v>9</v>
      </c>
      <c r="AB738" t="s">
        <v>21</v>
      </c>
      <c r="AC738" t="s">
        <v>10</v>
      </c>
      <c r="AD738" t="s">
        <v>12</v>
      </c>
      <c r="AE738" t="str">
        <f t="shared" si="33"/>
        <v>25-34</v>
      </c>
      <c r="AF738" t="str">
        <f t="shared" si="34"/>
        <v>Very Low Usage</v>
      </c>
      <c r="AG738" t="str">
        <f t="shared" si="35"/>
        <v>Low Loneliness</v>
      </c>
    </row>
    <row r="739" spans="1:33" x14ac:dyDescent="0.3">
      <c r="A739" t="s">
        <v>783</v>
      </c>
      <c r="B739">
        <v>31</v>
      </c>
      <c r="C739" t="s">
        <v>32</v>
      </c>
      <c r="D739" t="s">
        <v>41</v>
      </c>
      <c r="E739" t="s">
        <v>15</v>
      </c>
      <c r="F739" t="s">
        <v>16</v>
      </c>
      <c r="G739" t="s">
        <v>5</v>
      </c>
      <c r="H739" t="s">
        <v>18</v>
      </c>
      <c r="I739" t="s">
        <v>19</v>
      </c>
      <c r="J739" t="s">
        <v>20</v>
      </c>
      <c r="K739" t="s">
        <v>25</v>
      </c>
      <c r="L739">
        <v>0</v>
      </c>
      <c r="M739">
        <v>6.71</v>
      </c>
      <c r="N739">
        <v>0.18</v>
      </c>
      <c r="O739">
        <v>2.35</v>
      </c>
      <c r="P739">
        <v>9</v>
      </c>
      <c r="Q739">
        <v>1.1000000000000001</v>
      </c>
      <c r="R739">
        <v>1</v>
      </c>
      <c r="S739">
        <v>10</v>
      </c>
      <c r="T739" t="s">
        <v>10</v>
      </c>
      <c r="U739">
        <v>8.4</v>
      </c>
      <c r="V739">
        <v>9.9</v>
      </c>
      <c r="W739">
        <v>4.3</v>
      </c>
      <c r="X739">
        <v>1</v>
      </c>
      <c r="Y739">
        <v>1</v>
      </c>
      <c r="Z739">
        <v>2.2000000000000002</v>
      </c>
      <c r="AA739">
        <v>10</v>
      </c>
      <c r="AB739" t="s">
        <v>11</v>
      </c>
      <c r="AC739" t="s">
        <v>10</v>
      </c>
      <c r="AD739" t="s">
        <v>12</v>
      </c>
      <c r="AE739" t="str">
        <f t="shared" si="33"/>
        <v>25-34</v>
      </c>
      <c r="AF739" t="str">
        <f t="shared" si="34"/>
        <v>Very Low Usage</v>
      </c>
      <c r="AG739" t="str">
        <f t="shared" si="35"/>
        <v>Low Loneliness</v>
      </c>
    </row>
    <row r="740" spans="1:33" x14ac:dyDescent="0.3">
      <c r="A740" t="s">
        <v>784</v>
      </c>
      <c r="B740">
        <v>37</v>
      </c>
      <c r="C740" t="s">
        <v>1</v>
      </c>
      <c r="D740" t="s">
        <v>2</v>
      </c>
      <c r="E740" t="s">
        <v>15</v>
      </c>
      <c r="F740" t="s">
        <v>4</v>
      </c>
      <c r="G740" t="s">
        <v>17</v>
      </c>
      <c r="H740" t="s">
        <v>33</v>
      </c>
      <c r="I740" t="s">
        <v>7</v>
      </c>
      <c r="J740" t="s">
        <v>48</v>
      </c>
      <c r="K740" t="s">
        <v>1079</v>
      </c>
      <c r="L740">
        <v>4.6100000000000003</v>
      </c>
      <c r="M740">
        <v>2.6</v>
      </c>
      <c r="N740">
        <v>4.49</v>
      </c>
      <c r="O740">
        <v>12.07</v>
      </c>
      <c r="P740">
        <v>1</v>
      </c>
      <c r="Q740">
        <v>10</v>
      </c>
      <c r="R740">
        <v>10</v>
      </c>
      <c r="S740">
        <v>1</v>
      </c>
      <c r="T740" t="s">
        <v>39</v>
      </c>
      <c r="U740">
        <v>6.4</v>
      </c>
      <c r="V740">
        <v>4.5999999999999996</v>
      </c>
      <c r="W740">
        <v>1</v>
      </c>
      <c r="X740">
        <v>7.9</v>
      </c>
      <c r="Y740">
        <v>8.9</v>
      </c>
      <c r="Z740">
        <v>8.5</v>
      </c>
      <c r="AA740">
        <v>3</v>
      </c>
      <c r="AB740" t="s">
        <v>44</v>
      </c>
      <c r="AC740" t="s">
        <v>10</v>
      </c>
      <c r="AD740" t="s">
        <v>45</v>
      </c>
      <c r="AE740" t="str">
        <f t="shared" si="33"/>
        <v>35-44</v>
      </c>
      <c r="AF740" t="str">
        <f t="shared" si="34"/>
        <v>High Usage</v>
      </c>
      <c r="AG740" t="str">
        <f t="shared" si="35"/>
        <v>High Loneliness</v>
      </c>
    </row>
    <row r="741" spans="1:33" x14ac:dyDescent="0.3">
      <c r="A741" t="s">
        <v>785</v>
      </c>
      <c r="B741">
        <v>27</v>
      </c>
      <c r="C741" t="s">
        <v>1</v>
      </c>
      <c r="D741" t="s">
        <v>47</v>
      </c>
      <c r="E741" t="s">
        <v>15</v>
      </c>
      <c r="F741" t="s">
        <v>4</v>
      </c>
      <c r="G741" t="s">
        <v>17</v>
      </c>
      <c r="H741" t="s">
        <v>28</v>
      </c>
      <c r="I741" t="s">
        <v>29</v>
      </c>
      <c r="J741" t="s">
        <v>20</v>
      </c>
      <c r="K741" t="s">
        <v>1079</v>
      </c>
      <c r="L741">
        <v>2.62</v>
      </c>
      <c r="M741">
        <v>3.94</v>
      </c>
      <c r="N741">
        <v>4.08</v>
      </c>
      <c r="O741">
        <v>8.15</v>
      </c>
      <c r="P741">
        <v>3</v>
      </c>
      <c r="Q741">
        <v>6.3</v>
      </c>
      <c r="R741">
        <v>5.2</v>
      </c>
      <c r="S741">
        <v>6.4</v>
      </c>
      <c r="T741" t="s">
        <v>10</v>
      </c>
      <c r="U741">
        <v>6.6</v>
      </c>
      <c r="V741">
        <v>8</v>
      </c>
      <c r="W741">
        <v>5.4</v>
      </c>
      <c r="X741">
        <v>5.2</v>
      </c>
      <c r="Y741">
        <v>3.7</v>
      </c>
      <c r="Z741">
        <v>8.6999999999999993</v>
      </c>
      <c r="AA741">
        <v>5.9</v>
      </c>
      <c r="AB741" t="s">
        <v>21</v>
      </c>
      <c r="AC741" t="s">
        <v>10</v>
      </c>
      <c r="AD741" t="s">
        <v>22</v>
      </c>
      <c r="AE741" t="str">
        <f t="shared" si="33"/>
        <v>25-34</v>
      </c>
      <c r="AF741" t="str">
        <f t="shared" si="34"/>
        <v>Moderate Usage</v>
      </c>
      <c r="AG741" t="str">
        <f t="shared" si="35"/>
        <v>High Loneliness</v>
      </c>
    </row>
    <row r="742" spans="1:33" x14ac:dyDescent="0.3">
      <c r="A742" t="s">
        <v>786</v>
      </c>
      <c r="B742">
        <v>37</v>
      </c>
      <c r="C742" t="s">
        <v>89</v>
      </c>
      <c r="D742" t="s">
        <v>2</v>
      </c>
      <c r="E742" t="s">
        <v>37</v>
      </c>
      <c r="F742" t="s">
        <v>4</v>
      </c>
      <c r="G742" t="s">
        <v>17</v>
      </c>
      <c r="H742" t="s">
        <v>28</v>
      </c>
      <c r="I742" t="s">
        <v>29</v>
      </c>
      <c r="J742" t="s">
        <v>20</v>
      </c>
      <c r="K742" t="s">
        <v>1079</v>
      </c>
      <c r="L742">
        <v>0</v>
      </c>
      <c r="M742">
        <v>5.82</v>
      </c>
      <c r="N742">
        <v>3.12</v>
      </c>
      <c r="O742">
        <v>5.9</v>
      </c>
      <c r="P742">
        <v>4</v>
      </c>
      <c r="Q742">
        <v>4.9000000000000004</v>
      </c>
      <c r="R742">
        <v>4</v>
      </c>
      <c r="S742">
        <v>9.8000000000000007</v>
      </c>
      <c r="T742" t="s">
        <v>10</v>
      </c>
      <c r="U742">
        <v>7.9</v>
      </c>
      <c r="V742">
        <v>5.4</v>
      </c>
      <c r="W742">
        <v>3.4</v>
      </c>
      <c r="X742">
        <v>2</v>
      </c>
      <c r="Y742">
        <v>3.5</v>
      </c>
      <c r="Z742">
        <v>5.5</v>
      </c>
      <c r="AA742">
        <v>7.4</v>
      </c>
      <c r="AB742" t="s">
        <v>21</v>
      </c>
      <c r="AC742" t="s">
        <v>10</v>
      </c>
      <c r="AD742" t="s">
        <v>12</v>
      </c>
      <c r="AE742" t="str">
        <f t="shared" si="33"/>
        <v>35-44</v>
      </c>
      <c r="AF742" t="str">
        <f t="shared" si="34"/>
        <v>Very Low Usage</v>
      </c>
      <c r="AG742" t="str">
        <f t="shared" si="35"/>
        <v>Moderate Loneliness</v>
      </c>
    </row>
    <row r="743" spans="1:33" x14ac:dyDescent="0.3">
      <c r="A743" t="s">
        <v>787</v>
      </c>
      <c r="B743">
        <v>39</v>
      </c>
      <c r="C743" t="s">
        <v>1</v>
      </c>
      <c r="D743" t="s">
        <v>2</v>
      </c>
      <c r="E743" t="s">
        <v>37</v>
      </c>
      <c r="F743" t="s">
        <v>12</v>
      </c>
      <c r="G743" t="s">
        <v>43</v>
      </c>
      <c r="H743" t="s">
        <v>6</v>
      </c>
      <c r="I743" t="s">
        <v>24</v>
      </c>
      <c r="J743" t="s">
        <v>20</v>
      </c>
      <c r="K743" t="s">
        <v>53</v>
      </c>
      <c r="L743">
        <v>2.52</v>
      </c>
      <c r="M743">
        <v>4.8600000000000003</v>
      </c>
      <c r="N743">
        <v>2.59</v>
      </c>
      <c r="O743">
        <v>7.88</v>
      </c>
      <c r="P743">
        <v>6</v>
      </c>
      <c r="Q743">
        <v>4.8</v>
      </c>
      <c r="R743">
        <v>5</v>
      </c>
      <c r="S743">
        <v>5.5</v>
      </c>
      <c r="T743" t="s">
        <v>10</v>
      </c>
      <c r="U743">
        <v>9.3000000000000007</v>
      </c>
      <c r="V743">
        <v>5.4</v>
      </c>
      <c r="W743">
        <v>3.9</v>
      </c>
      <c r="X743">
        <v>5.0999999999999996</v>
      </c>
      <c r="Y743">
        <v>3.3</v>
      </c>
      <c r="Z743">
        <v>5.3</v>
      </c>
      <c r="AA743">
        <v>9.6999999999999993</v>
      </c>
      <c r="AB743" t="s">
        <v>21</v>
      </c>
      <c r="AC743" t="s">
        <v>10</v>
      </c>
      <c r="AD743" t="s">
        <v>22</v>
      </c>
      <c r="AE743" t="str">
        <f t="shared" si="33"/>
        <v>35-44</v>
      </c>
      <c r="AF743" t="str">
        <f t="shared" si="34"/>
        <v>Moderate Usage</v>
      </c>
      <c r="AG743" t="str">
        <f t="shared" si="35"/>
        <v>Moderate Loneliness</v>
      </c>
    </row>
    <row r="744" spans="1:33" x14ac:dyDescent="0.3">
      <c r="A744" t="s">
        <v>788</v>
      </c>
      <c r="B744">
        <v>17</v>
      </c>
      <c r="C744" t="s">
        <v>32</v>
      </c>
      <c r="D744" t="s">
        <v>14</v>
      </c>
      <c r="E744" t="s">
        <v>15</v>
      </c>
      <c r="F744" t="s">
        <v>4</v>
      </c>
      <c r="G744" t="s">
        <v>17</v>
      </c>
      <c r="H744" t="s">
        <v>28</v>
      </c>
      <c r="I744" t="s">
        <v>24</v>
      </c>
      <c r="J744" t="s">
        <v>8</v>
      </c>
      <c r="K744" t="s">
        <v>53</v>
      </c>
      <c r="L744">
        <v>0</v>
      </c>
      <c r="M744">
        <v>7.09</v>
      </c>
      <c r="N744">
        <v>2.36</v>
      </c>
      <c r="O744">
        <v>4.05</v>
      </c>
      <c r="P744">
        <v>8</v>
      </c>
      <c r="Q744">
        <v>1.2</v>
      </c>
      <c r="R744">
        <v>1.1000000000000001</v>
      </c>
      <c r="S744">
        <v>7.8</v>
      </c>
      <c r="T744" t="s">
        <v>10</v>
      </c>
      <c r="U744">
        <v>7.3</v>
      </c>
      <c r="V744">
        <v>10</v>
      </c>
      <c r="W744">
        <v>6.9</v>
      </c>
      <c r="X744">
        <v>1</v>
      </c>
      <c r="Y744">
        <v>1</v>
      </c>
      <c r="Z744">
        <v>2.6</v>
      </c>
      <c r="AA744">
        <v>8.8000000000000007</v>
      </c>
      <c r="AB744" t="s">
        <v>11</v>
      </c>
      <c r="AC744" t="s">
        <v>10</v>
      </c>
      <c r="AD744" t="s">
        <v>12</v>
      </c>
      <c r="AE744" t="str">
        <f t="shared" si="33"/>
        <v>15-19</v>
      </c>
      <c r="AF744" t="str">
        <f t="shared" si="34"/>
        <v>Very Low Usage</v>
      </c>
      <c r="AG744" t="str">
        <f t="shared" si="35"/>
        <v>Low Loneliness</v>
      </c>
    </row>
    <row r="745" spans="1:33" x14ac:dyDescent="0.3">
      <c r="A745" t="s">
        <v>789</v>
      </c>
      <c r="B745">
        <v>23</v>
      </c>
      <c r="C745" t="s">
        <v>32</v>
      </c>
      <c r="D745" t="s">
        <v>14</v>
      </c>
      <c r="E745" t="s">
        <v>37</v>
      </c>
      <c r="F745" t="s">
        <v>12</v>
      </c>
      <c r="G745" t="s">
        <v>66</v>
      </c>
      <c r="H745" t="s">
        <v>6</v>
      </c>
      <c r="I745" t="s">
        <v>24</v>
      </c>
      <c r="J745" t="s">
        <v>8</v>
      </c>
      <c r="K745" t="s">
        <v>1079</v>
      </c>
      <c r="L745">
        <v>2.7</v>
      </c>
      <c r="M745">
        <v>3.77</v>
      </c>
      <c r="N745">
        <v>1.1000000000000001</v>
      </c>
      <c r="O745">
        <v>5.37</v>
      </c>
      <c r="P745">
        <v>5</v>
      </c>
      <c r="Q745">
        <v>8.6999999999999993</v>
      </c>
      <c r="R745">
        <v>5.8</v>
      </c>
      <c r="S745">
        <v>3.1</v>
      </c>
      <c r="T745" t="s">
        <v>39</v>
      </c>
      <c r="U745">
        <v>5.9</v>
      </c>
      <c r="V745">
        <v>6.4</v>
      </c>
      <c r="W745">
        <v>2.4</v>
      </c>
      <c r="X745">
        <v>5</v>
      </c>
      <c r="Y745">
        <v>4.3</v>
      </c>
      <c r="Z745">
        <v>6.2</v>
      </c>
      <c r="AA745">
        <v>4.8</v>
      </c>
      <c r="AB745" t="s">
        <v>44</v>
      </c>
      <c r="AC745" t="s">
        <v>10</v>
      </c>
      <c r="AD745" t="s">
        <v>45</v>
      </c>
      <c r="AE745" t="str">
        <f t="shared" si="33"/>
        <v>20-24</v>
      </c>
      <c r="AF745" t="str">
        <f t="shared" si="34"/>
        <v>Moderate Usage</v>
      </c>
      <c r="AG745" t="str">
        <f t="shared" si="35"/>
        <v>High Loneliness</v>
      </c>
    </row>
    <row r="746" spans="1:33" x14ac:dyDescent="0.3">
      <c r="A746" t="s">
        <v>790</v>
      </c>
      <c r="B746">
        <v>44</v>
      </c>
      <c r="C746" t="s">
        <v>32</v>
      </c>
      <c r="D746" t="s">
        <v>14</v>
      </c>
      <c r="E746" t="s">
        <v>3</v>
      </c>
      <c r="F746" t="s">
        <v>16</v>
      </c>
      <c r="G746" t="s">
        <v>5</v>
      </c>
      <c r="H746" t="s">
        <v>18</v>
      </c>
      <c r="I746" t="s">
        <v>29</v>
      </c>
      <c r="J746" t="s">
        <v>38</v>
      </c>
      <c r="K746" t="s">
        <v>9</v>
      </c>
      <c r="L746">
        <v>4</v>
      </c>
      <c r="M746">
        <v>1.76</v>
      </c>
      <c r="N746">
        <v>4.96</v>
      </c>
      <c r="O746">
        <v>11.29</v>
      </c>
      <c r="P746">
        <v>1</v>
      </c>
      <c r="Q746">
        <v>10</v>
      </c>
      <c r="R746">
        <v>10</v>
      </c>
      <c r="S746">
        <v>2.5</v>
      </c>
      <c r="T746" t="s">
        <v>39</v>
      </c>
      <c r="U746">
        <v>4.8</v>
      </c>
      <c r="V746">
        <v>3.5</v>
      </c>
      <c r="W746">
        <v>0.9</v>
      </c>
      <c r="X746">
        <v>8.1</v>
      </c>
      <c r="Y746">
        <v>8.8000000000000007</v>
      </c>
      <c r="Z746">
        <v>9</v>
      </c>
      <c r="AA746">
        <v>1</v>
      </c>
      <c r="AB746" t="s">
        <v>44</v>
      </c>
      <c r="AC746" t="s">
        <v>10</v>
      </c>
      <c r="AD746" t="s">
        <v>45</v>
      </c>
      <c r="AE746" t="str">
        <f t="shared" si="33"/>
        <v>35-44</v>
      </c>
      <c r="AF746" t="str">
        <f t="shared" si="34"/>
        <v>Moderate Usage</v>
      </c>
      <c r="AG746" t="str">
        <f t="shared" si="35"/>
        <v>High Loneliness</v>
      </c>
    </row>
    <row r="747" spans="1:33" x14ac:dyDescent="0.3">
      <c r="A747" t="s">
        <v>791</v>
      </c>
      <c r="B747">
        <v>31</v>
      </c>
      <c r="C747" t="s">
        <v>32</v>
      </c>
      <c r="D747" t="s">
        <v>2</v>
      </c>
      <c r="E747" t="s">
        <v>15</v>
      </c>
      <c r="F747" t="s">
        <v>12</v>
      </c>
      <c r="G747" t="s">
        <v>17</v>
      </c>
      <c r="H747" t="s">
        <v>33</v>
      </c>
      <c r="I747" t="s">
        <v>29</v>
      </c>
      <c r="J747" t="s">
        <v>51</v>
      </c>
      <c r="K747" t="s">
        <v>25</v>
      </c>
      <c r="L747">
        <v>0</v>
      </c>
      <c r="M747">
        <v>4.9400000000000004</v>
      </c>
      <c r="N747">
        <v>2.97</v>
      </c>
      <c r="O747">
        <v>6.94</v>
      </c>
      <c r="P747">
        <v>4</v>
      </c>
      <c r="Q747">
        <v>2.2999999999999998</v>
      </c>
      <c r="R747">
        <v>1</v>
      </c>
      <c r="S747">
        <v>9.8000000000000007</v>
      </c>
      <c r="T747" t="s">
        <v>10</v>
      </c>
      <c r="U747">
        <v>9.4</v>
      </c>
      <c r="V747">
        <v>7.9</v>
      </c>
      <c r="W747">
        <v>4</v>
      </c>
      <c r="X747">
        <v>4.3</v>
      </c>
      <c r="Y747">
        <v>4</v>
      </c>
      <c r="Z747">
        <v>3.9</v>
      </c>
      <c r="AA747">
        <v>7</v>
      </c>
      <c r="AB747" t="s">
        <v>11</v>
      </c>
      <c r="AC747" t="s">
        <v>10</v>
      </c>
      <c r="AD747" t="s">
        <v>12</v>
      </c>
      <c r="AE747" t="str">
        <f t="shared" si="33"/>
        <v>25-34</v>
      </c>
      <c r="AF747" t="str">
        <f t="shared" si="34"/>
        <v>Very Low Usage</v>
      </c>
      <c r="AG747" t="str">
        <f t="shared" si="35"/>
        <v>Low Loneliness</v>
      </c>
    </row>
    <row r="748" spans="1:33" x14ac:dyDescent="0.3">
      <c r="A748" t="s">
        <v>792</v>
      </c>
      <c r="B748">
        <v>31</v>
      </c>
      <c r="C748" t="s">
        <v>1</v>
      </c>
      <c r="D748" t="s">
        <v>14</v>
      </c>
      <c r="E748" t="s">
        <v>15</v>
      </c>
      <c r="F748" t="s">
        <v>12</v>
      </c>
      <c r="G748" t="s">
        <v>43</v>
      </c>
      <c r="H748" t="s">
        <v>33</v>
      </c>
      <c r="I748" t="s">
        <v>24</v>
      </c>
      <c r="J748" t="s">
        <v>8</v>
      </c>
      <c r="K748" t="s">
        <v>53</v>
      </c>
      <c r="L748">
        <v>4.33</v>
      </c>
      <c r="M748">
        <v>1.32</v>
      </c>
      <c r="N748">
        <v>5.43</v>
      </c>
      <c r="O748">
        <v>11.53</v>
      </c>
      <c r="P748">
        <v>3</v>
      </c>
      <c r="Q748">
        <v>8</v>
      </c>
      <c r="R748">
        <v>10</v>
      </c>
      <c r="S748">
        <v>3.5</v>
      </c>
      <c r="T748" t="s">
        <v>39</v>
      </c>
      <c r="U748">
        <v>5.3</v>
      </c>
      <c r="V748">
        <v>2.1</v>
      </c>
      <c r="W748">
        <v>0.3</v>
      </c>
      <c r="X748">
        <v>10</v>
      </c>
      <c r="Y748">
        <v>7.8</v>
      </c>
      <c r="Z748">
        <v>10</v>
      </c>
      <c r="AA748">
        <v>1</v>
      </c>
      <c r="AB748" t="s">
        <v>44</v>
      </c>
      <c r="AC748" t="s">
        <v>10</v>
      </c>
      <c r="AD748" t="s">
        <v>45</v>
      </c>
      <c r="AE748" t="str">
        <f t="shared" si="33"/>
        <v>25-34</v>
      </c>
      <c r="AF748" t="str">
        <f t="shared" si="34"/>
        <v>High Usage</v>
      </c>
      <c r="AG748" t="str">
        <f t="shared" si="35"/>
        <v>High Loneliness</v>
      </c>
    </row>
    <row r="749" spans="1:33" x14ac:dyDescent="0.3">
      <c r="A749" t="s">
        <v>793</v>
      </c>
      <c r="B749">
        <v>44</v>
      </c>
      <c r="C749" t="s">
        <v>1</v>
      </c>
      <c r="D749" t="s">
        <v>14</v>
      </c>
      <c r="E749" t="s">
        <v>37</v>
      </c>
      <c r="F749" t="s">
        <v>4</v>
      </c>
      <c r="G749" t="s">
        <v>5</v>
      </c>
      <c r="H749" t="s">
        <v>28</v>
      </c>
      <c r="I749" t="s">
        <v>29</v>
      </c>
      <c r="J749" t="s">
        <v>20</v>
      </c>
      <c r="K749" t="s">
        <v>25</v>
      </c>
      <c r="L749">
        <v>1.71</v>
      </c>
      <c r="M749">
        <v>2.84</v>
      </c>
      <c r="N749">
        <v>1.05</v>
      </c>
      <c r="O749">
        <v>4.3099999999999996</v>
      </c>
      <c r="P749">
        <v>4</v>
      </c>
      <c r="Q749">
        <v>4.5</v>
      </c>
      <c r="R749">
        <v>6.3</v>
      </c>
      <c r="S749">
        <v>7.3</v>
      </c>
      <c r="T749" t="s">
        <v>10</v>
      </c>
      <c r="U749">
        <v>7.9</v>
      </c>
      <c r="V749">
        <v>7.4</v>
      </c>
      <c r="W749">
        <v>2.4</v>
      </c>
      <c r="X749">
        <v>4.5999999999999996</v>
      </c>
      <c r="Y749">
        <v>2.8</v>
      </c>
      <c r="Z749">
        <v>4.5</v>
      </c>
      <c r="AA749">
        <v>5.3</v>
      </c>
      <c r="AB749" t="s">
        <v>11</v>
      </c>
      <c r="AC749" t="s">
        <v>10</v>
      </c>
      <c r="AD749" t="s">
        <v>12</v>
      </c>
      <c r="AE749" t="str">
        <f t="shared" si="33"/>
        <v>35-44</v>
      </c>
      <c r="AF749" t="str">
        <f t="shared" si="34"/>
        <v>Low Usage</v>
      </c>
      <c r="AG749" t="str">
        <f t="shared" si="35"/>
        <v>Moderate Loneliness</v>
      </c>
    </row>
    <row r="750" spans="1:33" x14ac:dyDescent="0.3">
      <c r="A750" t="s">
        <v>794</v>
      </c>
      <c r="B750">
        <v>34</v>
      </c>
      <c r="C750" t="s">
        <v>32</v>
      </c>
      <c r="D750" t="s">
        <v>14</v>
      </c>
      <c r="E750" t="s">
        <v>3</v>
      </c>
      <c r="F750" t="s">
        <v>4</v>
      </c>
      <c r="G750" t="s">
        <v>5</v>
      </c>
      <c r="H750" t="s">
        <v>18</v>
      </c>
      <c r="I750" t="s">
        <v>19</v>
      </c>
      <c r="J750" t="s">
        <v>51</v>
      </c>
      <c r="K750" t="s">
        <v>25</v>
      </c>
      <c r="L750">
        <v>2.78</v>
      </c>
      <c r="M750">
        <v>1.17</v>
      </c>
      <c r="N750">
        <v>5.56</v>
      </c>
      <c r="O750">
        <v>11.52</v>
      </c>
      <c r="P750">
        <v>3</v>
      </c>
      <c r="Q750">
        <v>9.4</v>
      </c>
      <c r="R750">
        <v>7.7</v>
      </c>
      <c r="S750">
        <v>3.8</v>
      </c>
      <c r="T750" t="s">
        <v>39</v>
      </c>
      <c r="U750">
        <v>3.5</v>
      </c>
      <c r="V750">
        <v>3.7</v>
      </c>
      <c r="W750">
        <v>1.6</v>
      </c>
      <c r="X750">
        <v>7.1</v>
      </c>
      <c r="Y750">
        <v>10</v>
      </c>
      <c r="Z750">
        <v>7.4</v>
      </c>
      <c r="AA750">
        <v>1.4</v>
      </c>
      <c r="AB750" t="s">
        <v>44</v>
      </c>
      <c r="AC750" t="s">
        <v>10</v>
      </c>
      <c r="AD750" t="s">
        <v>45</v>
      </c>
      <c r="AE750" t="str">
        <f t="shared" si="33"/>
        <v>25-34</v>
      </c>
      <c r="AF750" t="str">
        <f t="shared" si="34"/>
        <v>Moderate Usage</v>
      </c>
      <c r="AG750" t="str">
        <f t="shared" si="35"/>
        <v>High Loneliness</v>
      </c>
    </row>
    <row r="751" spans="1:33" x14ac:dyDescent="0.3">
      <c r="A751" t="s">
        <v>795</v>
      </c>
      <c r="B751">
        <v>30</v>
      </c>
      <c r="C751" t="s">
        <v>1</v>
      </c>
      <c r="D751" t="s">
        <v>41</v>
      </c>
      <c r="E751" t="s">
        <v>37</v>
      </c>
      <c r="F751" t="s">
        <v>16</v>
      </c>
      <c r="G751" t="s">
        <v>66</v>
      </c>
      <c r="H751" t="s">
        <v>6</v>
      </c>
      <c r="I751" t="s">
        <v>19</v>
      </c>
      <c r="J751" t="s">
        <v>20</v>
      </c>
      <c r="K751" t="s">
        <v>30</v>
      </c>
      <c r="L751">
        <v>1.84</v>
      </c>
      <c r="M751">
        <v>4.4000000000000004</v>
      </c>
      <c r="N751">
        <v>3.57</v>
      </c>
      <c r="O751">
        <v>7.48</v>
      </c>
      <c r="P751">
        <v>5</v>
      </c>
      <c r="Q751">
        <v>6.8</v>
      </c>
      <c r="R751">
        <v>6.3</v>
      </c>
      <c r="S751">
        <v>6</v>
      </c>
      <c r="T751" t="s">
        <v>10</v>
      </c>
      <c r="U751">
        <v>7.1</v>
      </c>
      <c r="V751">
        <v>7.5</v>
      </c>
      <c r="W751">
        <v>5.2</v>
      </c>
      <c r="X751">
        <v>5.8</v>
      </c>
      <c r="Y751">
        <v>3.4</v>
      </c>
      <c r="Z751">
        <v>6.9</v>
      </c>
      <c r="AA751">
        <v>3.8</v>
      </c>
      <c r="AB751" t="s">
        <v>44</v>
      </c>
      <c r="AC751" t="s">
        <v>39</v>
      </c>
      <c r="AD751" t="s">
        <v>22</v>
      </c>
      <c r="AE751" t="str">
        <f t="shared" si="33"/>
        <v>25-34</v>
      </c>
      <c r="AF751" t="str">
        <f t="shared" si="34"/>
        <v>Low Usage</v>
      </c>
      <c r="AG751" t="str">
        <f t="shared" si="35"/>
        <v>High Loneliness</v>
      </c>
    </row>
    <row r="752" spans="1:33" x14ac:dyDescent="0.3">
      <c r="A752" t="s">
        <v>796</v>
      </c>
      <c r="B752">
        <v>39</v>
      </c>
      <c r="C752" t="s">
        <v>1</v>
      </c>
      <c r="D752" t="s">
        <v>14</v>
      </c>
      <c r="E752" t="s">
        <v>15</v>
      </c>
      <c r="F752" t="s">
        <v>4</v>
      </c>
      <c r="G752" t="s">
        <v>17</v>
      </c>
      <c r="H752" t="s">
        <v>18</v>
      </c>
      <c r="I752" t="s">
        <v>29</v>
      </c>
      <c r="J752" t="s">
        <v>8</v>
      </c>
      <c r="K752" t="s">
        <v>25</v>
      </c>
      <c r="L752">
        <v>0.95</v>
      </c>
      <c r="M752">
        <v>2.4</v>
      </c>
      <c r="N752">
        <v>3.15</v>
      </c>
      <c r="O752">
        <v>6.97</v>
      </c>
      <c r="P752">
        <v>4</v>
      </c>
      <c r="Q752">
        <v>4.2</v>
      </c>
      <c r="R752">
        <v>7.4</v>
      </c>
      <c r="S752">
        <v>6.3</v>
      </c>
      <c r="T752" t="s">
        <v>10</v>
      </c>
      <c r="U752">
        <v>6.5</v>
      </c>
      <c r="V752">
        <v>5.0999999999999996</v>
      </c>
      <c r="W752">
        <v>6</v>
      </c>
      <c r="X752">
        <v>5.0999999999999996</v>
      </c>
      <c r="Y752">
        <v>4</v>
      </c>
      <c r="Z752">
        <v>5</v>
      </c>
      <c r="AA752">
        <v>5.6</v>
      </c>
      <c r="AB752" t="s">
        <v>11</v>
      </c>
      <c r="AC752" t="s">
        <v>10</v>
      </c>
      <c r="AD752" t="s">
        <v>12</v>
      </c>
      <c r="AE752" t="str">
        <f t="shared" si="33"/>
        <v>35-44</v>
      </c>
      <c r="AF752" t="str">
        <f t="shared" si="34"/>
        <v>Very Low Usage</v>
      </c>
      <c r="AG752" t="str">
        <f t="shared" si="35"/>
        <v>Moderate Loneliness</v>
      </c>
    </row>
    <row r="753" spans="1:33" x14ac:dyDescent="0.3">
      <c r="A753" t="s">
        <v>797</v>
      </c>
      <c r="B753">
        <v>36</v>
      </c>
      <c r="C753" t="s">
        <v>1</v>
      </c>
      <c r="D753" t="s">
        <v>2</v>
      </c>
      <c r="E753" t="s">
        <v>59</v>
      </c>
      <c r="F753" t="s">
        <v>4</v>
      </c>
      <c r="G753" t="s">
        <v>17</v>
      </c>
      <c r="H753" t="s">
        <v>6</v>
      </c>
      <c r="I753" t="s">
        <v>35</v>
      </c>
      <c r="J753" t="s">
        <v>8</v>
      </c>
      <c r="K753" t="s">
        <v>1079</v>
      </c>
      <c r="L753">
        <v>3.59</v>
      </c>
      <c r="M753">
        <v>1.57</v>
      </c>
      <c r="N753">
        <v>4.43</v>
      </c>
      <c r="O753">
        <v>11.5</v>
      </c>
      <c r="P753">
        <v>0</v>
      </c>
      <c r="Q753">
        <v>9.9</v>
      </c>
      <c r="R753">
        <v>9.8000000000000007</v>
      </c>
      <c r="S753">
        <v>2.7</v>
      </c>
      <c r="T753" t="s">
        <v>10</v>
      </c>
      <c r="U753">
        <v>7</v>
      </c>
      <c r="V753">
        <v>3.2</v>
      </c>
      <c r="W753">
        <v>3.7</v>
      </c>
      <c r="X753">
        <v>10</v>
      </c>
      <c r="Y753">
        <v>9.5</v>
      </c>
      <c r="Z753">
        <v>7</v>
      </c>
      <c r="AA753">
        <v>3.3</v>
      </c>
      <c r="AB753" t="s">
        <v>44</v>
      </c>
      <c r="AC753" t="s">
        <v>10</v>
      </c>
      <c r="AD753" t="s">
        <v>45</v>
      </c>
      <c r="AE753" t="str">
        <f t="shared" si="33"/>
        <v>35-44</v>
      </c>
      <c r="AF753" t="str">
        <f t="shared" si="34"/>
        <v>Moderate Usage</v>
      </c>
      <c r="AG753" t="str">
        <f t="shared" si="35"/>
        <v>High Loneliness</v>
      </c>
    </row>
    <row r="754" spans="1:33" x14ac:dyDescent="0.3">
      <c r="A754" t="s">
        <v>798</v>
      </c>
      <c r="B754">
        <v>27</v>
      </c>
      <c r="C754" t="s">
        <v>1</v>
      </c>
      <c r="D754" t="s">
        <v>14</v>
      </c>
      <c r="E754" t="s">
        <v>3</v>
      </c>
      <c r="F754" t="s">
        <v>16</v>
      </c>
      <c r="G754" t="s">
        <v>5</v>
      </c>
      <c r="H754" t="s">
        <v>18</v>
      </c>
      <c r="I754" t="s">
        <v>7</v>
      </c>
      <c r="J754" t="s">
        <v>20</v>
      </c>
      <c r="K754" t="s">
        <v>53</v>
      </c>
      <c r="L754">
        <v>1.44</v>
      </c>
      <c r="M754">
        <v>2.09</v>
      </c>
      <c r="N754">
        <v>5.28</v>
      </c>
      <c r="O754">
        <v>6.8</v>
      </c>
      <c r="P754">
        <v>2</v>
      </c>
      <c r="Q754">
        <v>8.1</v>
      </c>
      <c r="R754">
        <v>7.6</v>
      </c>
      <c r="S754">
        <v>3.4</v>
      </c>
      <c r="T754" t="s">
        <v>10</v>
      </c>
      <c r="U754">
        <v>7</v>
      </c>
      <c r="V754">
        <v>6.2</v>
      </c>
      <c r="W754">
        <v>3.3</v>
      </c>
      <c r="X754">
        <v>6</v>
      </c>
      <c r="Y754">
        <v>7.3</v>
      </c>
      <c r="Z754">
        <v>5.4</v>
      </c>
      <c r="AA754">
        <v>3.6</v>
      </c>
      <c r="AB754" t="s">
        <v>21</v>
      </c>
      <c r="AC754" t="s">
        <v>10</v>
      </c>
      <c r="AD754" t="s">
        <v>45</v>
      </c>
      <c r="AE754" t="str">
        <f t="shared" si="33"/>
        <v>25-34</v>
      </c>
      <c r="AF754" t="str">
        <f t="shared" si="34"/>
        <v>Low Usage</v>
      </c>
      <c r="AG754" t="str">
        <f t="shared" si="35"/>
        <v>High Loneliness</v>
      </c>
    </row>
    <row r="755" spans="1:33" x14ac:dyDescent="0.3">
      <c r="A755" t="s">
        <v>799</v>
      </c>
      <c r="B755">
        <v>41</v>
      </c>
      <c r="C755" t="s">
        <v>1</v>
      </c>
      <c r="D755" t="s">
        <v>2</v>
      </c>
      <c r="E755" t="s">
        <v>3</v>
      </c>
      <c r="F755" t="s">
        <v>4</v>
      </c>
      <c r="G755" t="s">
        <v>17</v>
      </c>
      <c r="H755" t="s">
        <v>28</v>
      </c>
      <c r="I755" t="s">
        <v>24</v>
      </c>
      <c r="J755" t="s">
        <v>38</v>
      </c>
      <c r="K755" t="s">
        <v>1079</v>
      </c>
      <c r="L755">
        <v>0.82</v>
      </c>
      <c r="M755">
        <v>3.13</v>
      </c>
      <c r="N755">
        <v>3.32</v>
      </c>
      <c r="O755">
        <v>6.1</v>
      </c>
      <c r="P755">
        <v>4</v>
      </c>
      <c r="Q755">
        <v>6.6</v>
      </c>
      <c r="R755">
        <v>3.5</v>
      </c>
      <c r="S755">
        <v>7.5</v>
      </c>
      <c r="T755" t="s">
        <v>10</v>
      </c>
      <c r="U755">
        <v>6.4</v>
      </c>
      <c r="V755">
        <v>6</v>
      </c>
      <c r="W755">
        <v>6</v>
      </c>
      <c r="X755">
        <v>7.3</v>
      </c>
      <c r="Y755">
        <v>1.9</v>
      </c>
      <c r="Z755">
        <v>6.5</v>
      </c>
      <c r="AA755">
        <v>2.9</v>
      </c>
      <c r="AB755" t="s">
        <v>21</v>
      </c>
      <c r="AC755" t="s">
        <v>39</v>
      </c>
      <c r="AD755" t="s">
        <v>22</v>
      </c>
      <c r="AE755" t="str">
        <f t="shared" si="33"/>
        <v>35-44</v>
      </c>
      <c r="AF755" t="str">
        <f t="shared" si="34"/>
        <v>Very Low Usage</v>
      </c>
      <c r="AG755" t="str">
        <f t="shared" si="35"/>
        <v>High Loneliness</v>
      </c>
    </row>
    <row r="756" spans="1:33" x14ac:dyDescent="0.3">
      <c r="A756" t="s">
        <v>800</v>
      </c>
      <c r="B756">
        <v>33</v>
      </c>
      <c r="C756" t="s">
        <v>1</v>
      </c>
      <c r="D756" t="s">
        <v>14</v>
      </c>
      <c r="E756" t="s">
        <v>15</v>
      </c>
      <c r="F756" t="s">
        <v>12</v>
      </c>
      <c r="G756" t="s">
        <v>17</v>
      </c>
      <c r="H756" t="s">
        <v>28</v>
      </c>
      <c r="I756" t="s">
        <v>29</v>
      </c>
      <c r="J756" t="s">
        <v>48</v>
      </c>
      <c r="K756" t="s">
        <v>1079</v>
      </c>
      <c r="L756">
        <v>0</v>
      </c>
      <c r="M756">
        <v>5.98</v>
      </c>
      <c r="N756">
        <v>0.32</v>
      </c>
      <c r="O756">
        <v>2.09</v>
      </c>
      <c r="P756">
        <v>8</v>
      </c>
      <c r="Q756">
        <v>1.2</v>
      </c>
      <c r="R756">
        <v>1</v>
      </c>
      <c r="S756">
        <v>10</v>
      </c>
      <c r="T756" t="s">
        <v>10</v>
      </c>
      <c r="U756">
        <v>9.8000000000000007</v>
      </c>
      <c r="V756">
        <v>10</v>
      </c>
      <c r="W756">
        <v>9.8000000000000007</v>
      </c>
      <c r="X756">
        <v>1</v>
      </c>
      <c r="Y756">
        <v>1</v>
      </c>
      <c r="Z756">
        <v>4.9000000000000004</v>
      </c>
      <c r="AA756">
        <v>9.8000000000000007</v>
      </c>
      <c r="AB756" t="s">
        <v>11</v>
      </c>
      <c r="AC756" t="s">
        <v>10</v>
      </c>
      <c r="AD756" t="s">
        <v>12</v>
      </c>
      <c r="AE756" t="str">
        <f t="shared" si="33"/>
        <v>25-34</v>
      </c>
      <c r="AF756" t="str">
        <f t="shared" si="34"/>
        <v>Very Low Usage</v>
      </c>
      <c r="AG756" t="str">
        <f t="shared" si="35"/>
        <v>Low Loneliness</v>
      </c>
    </row>
    <row r="757" spans="1:33" x14ac:dyDescent="0.3">
      <c r="A757" t="s">
        <v>801</v>
      </c>
      <c r="B757">
        <v>31</v>
      </c>
      <c r="C757" t="s">
        <v>32</v>
      </c>
      <c r="D757" t="s">
        <v>14</v>
      </c>
      <c r="E757" t="s">
        <v>37</v>
      </c>
      <c r="F757" t="s">
        <v>4</v>
      </c>
      <c r="G757" t="s">
        <v>17</v>
      </c>
      <c r="H757" t="s">
        <v>6</v>
      </c>
      <c r="I757" t="s">
        <v>29</v>
      </c>
      <c r="J757" t="s">
        <v>8</v>
      </c>
      <c r="K757" t="s">
        <v>1079</v>
      </c>
      <c r="L757">
        <v>0</v>
      </c>
      <c r="M757">
        <v>5.25</v>
      </c>
      <c r="N757">
        <v>0.18</v>
      </c>
      <c r="O757">
        <v>1.22</v>
      </c>
      <c r="P757">
        <v>8</v>
      </c>
      <c r="Q757">
        <v>1.5</v>
      </c>
      <c r="R757">
        <v>2.6</v>
      </c>
      <c r="S757">
        <v>8</v>
      </c>
      <c r="T757" t="s">
        <v>10</v>
      </c>
      <c r="U757">
        <v>9.6</v>
      </c>
      <c r="V757">
        <v>10</v>
      </c>
      <c r="W757">
        <v>6.1</v>
      </c>
      <c r="X757">
        <v>1</v>
      </c>
      <c r="Y757">
        <v>1</v>
      </c>
      <c r="Z757">
        <v>1.4</v>
      </c>
      <c r="AA757">
        <v>9.4</v>
      </c>
      <c r="AB757" t="s">
        <v>21</v>
      </c>
      <c r="AC757" t="s">
        <v>39</v>
      </c>
      <c r="AD757" t="s">
        <v>12</v>
      </c>
      <c r="AE757" t="str">
        <f t="shared" si="33"/>
        <v>25-34</v>
      </c>
      <c r="AF757" t="str">
        <f t="shared" si="34"/>
        <v>Very Low Usage</v>
      </c>
      <c r="AG757" t="str">
        <f t="shared" si="35"/>
        <v>Low Loneliness</v>
      </c>
    </row>
    <row r="758" spans="1:33" x14ac:dyDescent="0.3">
      <c r="A758" t="s">
        <v>802</v>
      </c>
      <c r="B758">
        <v>18</v>
      </c>
      <c r="C758" t="s">
        <v>32</v>
      </c>
      <c r="D758" t="s">
        <v>2</v>
      </c>
      <c r="E758" t="s">
        <v>37</v>
      </c>
      <c r="F758" t="s">
        <v>45</v>
      </c>
      <c r="G758" t="s">
        <v>17</v>
      </c>
      <c r="H758" t="s">
        <v>28</v>
      </c>
      <c r="I758" t="s">
        <v>19</v>
      </c>
      <c r="J758" t="s">
        <v>8</v>
      </c>
      <c r="K758" t="s">
        <v>30</v>
      </c>
      <c r="L758">
        <v>1.71</v>
      </c>
      <c r="M758">
        <v>2.0699999999999998</v>
      </c>
      <c r="N758">
        <v>3.72</v>
      </c>
      <c r="O758">
        <v>5.5</v>
      </c>
      <c r="P758">
        <v>5</v>
      </c>
      <c r="Q758">
        <v>5.5</v>
      </c>
      <c r="R758">
        <v>6.8</v>
      </c>
      <c r="S758">
        <v>5.9</v>
      </c>
      <c r="T758" t="s">
        <v>10</v>
      </c>
      <c r="U758">
        <v>8</v>
      </c>
      <c r="V758">
        <v>5.2</v>
      </c>
      <c r="W758">
        <v>2</v>
      </c>
      <c r="X758">
        <v>9.4</v>
      </c>
      <c r="Y758">
        <v>4.8</v>
      </c>
      <c r="Z758">
        <v>6.6</v>
      </c>
      <c r="AA758">
        <v>5.9</v>
      </c>
      <c r="AB758" t="s">
        <v>21</v>
      </c>
      <c r="AC758" t="s">
        <v>39</v>
      </c>
      <c r="AD758" t="s">
        <v>12</v>
      </c>
      <c r="AE758" t="str">
        <f t="shared" si="33"/>
        <v>15-19</v>
      </c>
      <c r="AF758" t="str">
        <f t="shared" si="34"/>
        <v>Low Usage</v>
      </c>
      <c r="AG758" t="str">
        <f t="shared" si="35"/>
        <v>Moderate Loneliness</v>
      </c>
    </row>
    <row r="759" spans="1:33" x14ac:dyDescent="0.3">
      <c r="A759" t="s">
        <v>803</v>
      </c>
      <c r="B759">
        <v>26</v>
      </c>
      <c r="C759" t="s">
        <v>32</v>
      </c>
      <c r="D759" t="s">
        <v>14</v>
      </c>
      <c r="E759" t="s">
        <v>59</v>
      </c>
      <c r="F759" t="s">
        <v>4</v>
      </c>
      <c r="G759" t="s">
        <v>43</v>
      </c>
      <c r="H759" t="s">
        <v>6</v>
      </c>
      <c r="I759" t="s">
        <v>29</v>
      </c>
      <c r="J759" t="s">
        <v>48</v>
      </c>
      <c r="K759" t="s">
        <v>9</v>
      </c>
      <c r="L759">
        <v>2.9</v>
      </c>
      <c r="M759">
        <v>2.2000000000000002</v>
      </c>
      <c r="N759">
        <v>4.95</v>
      </c>
      <c r="O759">
        <v>8.26</v>
      </c>
      <c r="P759">
        <v>0</v>
      </c>
      <c r="Q759">
        <v>9.1999999999999993</v>
      </c>
      <c r="R759">
        <v>8.6</v>
      </c>
      <c r="S759">
        <v>5</v>
      </c>
      <c r="T759" t="s">
        <v>39</v>
      </c>
      <c r="U759">
        <v>6.7</v>
      </c>
      <c r="V759">
        <v>2.6</v>
      </c>
      <c r="W759">
        <v>4.2</v>
      </c>
      <c r="X759">
        <v>5.7</v>
      </c>
      <c r="Y759">
        <v>8.5</v>
      </c>
      <c r="Z759">
        <v>7.7</v>
      </c>
      <c r="AA759">
        <v>2</v>
      </c>
      <c r="AB759" t="s">
        <v>44</v>
      </c>
      <c r="AC759" t="s">
        <v>10</v>
      </c>
      <c r="AD759" t="s">
        <v>45</v>
      </c>
      <c r="AE759" t="str">
        <f t="shared" si="33"/>
        <v>25-34</v>
      </c>
      <c r="AF759" t="str">
        <f t="shared" si="34"/>
        <v>Moderate Usage</v>
      </c>
      <c r="AG759" t="str">
        <f t="shared" si="35"/>
        <v>High Loneliness</v>
      </c>
    </row>
    <row r="760" spans="1:33" x14ac:dyDescent="0.3">
      <c r="A760" t="s">
        <v>804</v>
      </c>
      <c r="B760">
        <v>43</v>
      </c>
      <c r="C760" t="s">
        <v>1</v>
      </c>
      <c r="D760" t="s">
        <v>14</v>
      </c>
      <c r="E760" t="s">
        <v>3</v>
      </c>
      <c r="F760" t="s">
        <v>4</v>
      </c>
      <c r="G760" t="s">
        <v>17</v>
      </c>
      <c r="H760" t="s">
        <v>6</v>
      </c>
      <c r="I760" t="s">
        <v>254</v>
      </c>
      <c r="J760" t="s">
        <v>51</v>
      </c>
      <c r="K760" t="s">
        <v>9</v>
      </c>
      <c r="L760">
        <v>3.85</v>
      </c>
      <c r="M760">
        <v>2.9</v>
      </c>
      <c r="N760">
        <v>2.68</v>
      </c>
      <c r="O760">
        <v>8.6300000000000008</v>
      </c>
      <c r="P760">
        <v>6</v>
      </c>
      <c r="Q760">
        <v>6</v>
      </c>
      <c r="R760">
        <v>4.5</v>
      </c>
      <c r="S760">
        <v>6.3</v>
      </c>
      <c r="T760" t="s">
        <v>10</v>
      </c>
      <c r="U760">
        <v>6.7</v>
      </c>
      <c r="V760">
        <v>5.4</v>
      </c>
      <c r="W760">
        <v>2</v>
      </c>
      <c r="X760">
        <v>2.4</v>
      </c>
      <c r="Y760">
        <v>3.9</v>
      </c>
      <c r="Z760">
        <v>6.6</v>
      </c>
      <c r="AA760">
        <v>5</v>
      </c>
      <c r="AB760" t="s">
        <v>44</v>
      </c>
      <c r="AC760" t="s">
        <v>10</v>
      </c>
      <c r="AD760" t="s">
        <v>45</v>
      </c>
      <c r="AE760" t="str">
        <f t="shared" si="33"/>
        <v>35-44</v>
      </c>
      <c r="AF760" t="str">
        <f t="shared" si="34"/>
        <v>Moderate Usage</v>
      </c>
      <c r="AG760" t="str">
        <f t="shared" si="35"/>
        <v>Moderate Loneliness</v>
      </c>
    </row>
    <row r="761" spans="1:33" x14ac:dyDescent="0.3">
      <c r="A761" t="s">
        <v>805</v>
      </c>
      <c r="B761">
        <v>23</v>
      </c>
      <c r="C761" t="s">
        <v>1</v>
      </c>
      <c r="D761" t="s">
        <v>14</v>
      </c>
      <c r="E761" t="s">
        <v>37</v>
      </c>
      <c r="F761" t="s">
        <v>12</v>
      </c>
      <c r="G761" t="s">
        <v>5</v>
      </c>
      <c r="H761" t="s">
        <v>28</v>
      </c>
      <c r="I761" t="s">
        <v>29</v>
      </c>
      <c r="J761" t="s">
        <v>20</v>
      </c>
      <c r="K761" t="s">
        <v>25</v>
      </c>
      <c r="L761">
        <v>1.22</v>
      </c>
      <c r="M761">
        <v>4.01</v>
      </c>
      <c r="N761">
        <v>1.35</v>
      </c>
      <c r="O761">
        <v>4.03</v>
      </c>
      <c r="P761">
        <v>3</v>
      </c>
      <c r="Q761">
        <v>3.3</v>
      </c>
      <c r="R761">
        <v>3.4</v>
      </c>
      <c r="S761">
        <v>6.9</v>
      </c>
      <c r="T761" t="s">
        <v>10</v>
      </c>
      <c r="U761">
        <v>7.6</v>
      </c>
      <c r="V761">
        <v>6.3</v>
      </c>
      <c r="W761">
        <v>3.4</v>
      </c>
      <c r="X761">
        <v>1</v>
      </c>
      <c r="Y761">
        <v>2.1</v>
      </c>
      <c r="Z761">
        <v>4.8</v>
      </c>
      <c r="AA761">
        <v>5.8</v>
      </c>
      <c r="AB761" t="s">
        <v>21</v>
      </c>
      <c r="AC761" t="s">
        <v>10</v>
      </c>
      <c r="AD761" t="s">
        <v>12</v>
      </c>
      <c r="AE761" t="str">
        <f t="shared" si="33"/>
        <v>20-24</v>
      </c>
      <c r="AF761" t="str">
        <f t="shared" si="34"/>
        <v>Low Usage</v>
      </c>
      <c r="AG761" t="str">
        <f t="shared" si="35"/>
        <v>Moderate Loneliness</v>
      </c>
    </row>
    <row r="762" spans="1:33" x14ac:dyDescent="0.3">
      <c r="A762" t="s">
        <v>806</v>
      </c>
      <c r="B762">
        <v>33</v>
      </c>
      <c r="C762" t="s">
        <v>1</v>
      </c>
      <c r="D762" t="s">
        <v>14</v>
      </c>
      <c r="E762" t="s">
        <v>3</v>
      </c>
      <c r="F762" t="s">
        <v>12</v>
      </c>
      <c r="G762" t="s">
        <v>5</v>
      </c>
      <c r="H762" t="s">
        <v>28</v>
      </c>
      <c r="I762" t="s">
        <v>19</v>
      </c>
      <c r="J762" t="s">
        <v>48</v>
      </c>
      <c r="K762" t="s">
        <v>25</v>
      </c>
      <c r="L762">
        <v>0</v>
      </c>
      <c r="M762">
        <v>6.76</v>
      </c>
      <c r="N762">
        <v>1.99</v>
      </c>
      <c r="O762">
        <v>3.19</v>
      </c>
      <c r="P762">
        <v>8</v>
      </c>
      <c r="Q762">
        <v>4</v>
      </c>
      <c r="R762">
        <v>2.2000000000000002</v>
      </c>
      <c r="S762">
        <v>10</v>
      </c>
      <c r="T762" t="s">
        <v>10</v>
      </c>
      <c r="U762">
        <v>7.9</v>
      </c>
      <c r="V762">
        <v>7.6</v>
      </c>
      <c r="W762">
        <v>3.1</v>
      </c>
      <c r="X762">
        <v>4.0999999999999996</v>
      </c>
      <c r="Y762">
        <v>1</v>
      </c>
      <c r="Z762">
        <v>3.3</v>
      </c>
      <c r="AA762">
        <v>8.6</v>
      </c>
      <c r="AB762" t="s">
        <v>11</v>
      </c>
      <c r="AC762" t="s">
        <v>39</v>
      </c>
      <c r="AD762" t="s">
        <v>12</v>
      </c>
      <c r="AE762" t="str">
        <f t="shared" si="33"/>
        <v>25-34</v>
      </c>
      <c r="AF762" t="str">
        <f t="shared" si="34"/>
        <v>Very Low Usage</v>
      </c>
      <c r="AG762" t="str">
        <f t="shared" si="35"/>
        <v>Moderate Loneliness</v>
      </c>
    </row>
    <row r="763" spans="1:33" x14ac:dyDescent="0.3">
      <c r="A763" t="s">
        <v>807</v>
      </c>
      <c r="B763">
        <v>26</v>
      </c>
      <c r="C763" t="s">
        <v>32</v>
      </c>
      <c r="D763" t="s">
        <v>14</v>
      </c>
      <c r="E763" t="s">
        <v>37</v>
      </c>
      <c r="F763" t="s">
        <v>4</v>
      </c>
      <c r="G763" t="s">
        <v>17</v>
      </c>
      <c r="H763" t="s">
        <v>33</v>
      </c>
      <c r="I763" t="s">
        <v>19</v>
      </c>
      <c r="J763" t="s">
        <v>8</v>
      </c>
      <c r="K763" t="s">
        <v>9</v>
      </c>
      <c r="L763">
        <v>0</v>
      </c>
      <c r="M763">
        <v>5.82</v>
      </c>
      <c r="N763">
        <v>0.83</v>
      </c>
      <c r="O763">
        <v>2.92</v>
      </c>
      <c r="P763">
        <v>9</v>
      </c>
      <c r="Q763">
        <v>1.5</v>
      </c>
      <c r="R763">
        <v>2.5</v>
      </c>
      <c r="S763">
        <v>7.9</v>
      </c>
      <c r="T763" t="s">
        <v>10</v>
      </c>
      <c r="U763">
        <v>7.7</v>
      </c>
      <c r="V763">
        <v>9.1999999999999993</v>
      </c>
      <c r="W763">
        <v>6</v>
      </c>
      <c r="X763">
        <v>5.5</v>
      </c>
      <c r="Y763">
        <v>1.9</v>
      </c>
      <c r="Z763">
        <v>4</v>
      </c>
      <c r="AA763">
        <v>6.5</v>
      </c>
      <c r="AB763" t="s">
        <v>11</v>
      </c>
      <c r="AC763" t="s">
        <v>10</v>
      </c>
      <c r="AD763" t="s">
        <v>12</v>
      </c>
      <c r="AE763" t="str">
        <f t="shared" si="33"/>
        <v>25-34</v>
      </c>
      <c r="AF763" t="str">
        <f t="shared" si="34"/>
        <v>Very Low Usage</v>
      </c>
      <c r="AG763" t="str">
        <f t="shared" si="35"/>
        <v>Low Loneliness</v>
      </c>
    </row>
    <row r="764" spans="1:33" x14ac:dyDescent="0.3">
      <c r="A764" t="s">
        <v>808</v>
      </c>
      <c r="B764">
        <v>23</v>
      </c>
      <c r="C764" t="s">
        <v>32</v>
      </c>
      <c r="D764" t="s">
        <v>14</v>
      </c>
      <c r="E764" t="s">
        <v>15</v>
      </c>
      <c r="F764" t="s">
        <v>4</v>
      </c>
      <c r="G764" t="s">
        <v>17</v>
      </c>
      <c r="H764" t="s">
        <v>28</v>
      </c>
      <c r="I764" t="s">
        <v>24</v>
      </c>
      <c r="J764" t="s">
        <v>51</v>
      </c>
      <c r="K764" t="s">
        <v>53</v>
      </c>
      <c r="L764">
        <v>2.0699999999999998</v>
      </c>
      <c r="M764">
        <v>2.54</v>
      </c>
      <c r="N764">
        <v>4.5999999999999996</v>
      </c>
      <c r="O764">
        <v>7.98</v>
      </c>
      <c r="P764">
        <v>4</v>
      </c>
      <c r="Q764">
        <v>5</v>
      </c>
      <c r="R764">
        <v>5.7</v>
      </c>
      <c r="S764">
        <v>4.9000000000000004</v>
      </c>
      <c r="T764" t="s">
        <v>39</v>
      </c>
      <c r="U764">
        <v>6.4</v>
      </c>
      <c r="V764">
        <v>4</v>
      </c>
      <c r="W764">
        <v>0.4</v>
      </c>
      <c r="X764">
        <v>4.9000000000000004</v>
      </c>
      <c r="Y764">
        <v>4.7</v>
      </c>
      <c r="Z764">
        <v>4.2</v>
      </c>
      <c r="AA764">
        <v>5.0999999999999996</v>
      </c>
      <c r="AB764" t="s">
        <v>44</v>
      </c>
      <c r="AC764" t="s">
        <v>10</v>
      </c>
      <c r="AD764" t="s">
        <v>22</v>
      </c>
      <c r="AE764" t="str">
        <f t="shared" si="33"/>
        <v>20-24</v>
      </c>
      <c r="AF764" t="str">
        <f t="shared" si="34"/>
        <v>Low Usage</v>
      </c>
      <c r="AG764" t="str">
        <f t="shared" si="35"/>
        <v>Moderate Loneliness</v>
      </c>
    </row>
    <row r="765" spans="1:33" x14ac:dyDescent="0.3">
      <c r="A765" t="s">
        <v>809</v>
      </c>
      <c r="B765">
        <v>21</v>
      </c>
      <c r="C765" t="s">
        <v>1</v>
      </c>
      <c r="D765" t="s">
        <v>47</v>
      </c>
      <c r="E765" t="s">
        <v>37</v>
      </c>
      <c r="F765" t="s">
        <v>12</v>
      </c>
      <c r="G765" t="s">
        <v>43</v>
      </c>
      <c r="H765" t="s">
        <v>33</v>
      </c>
      <c r="I765" t="s">
        <v>29</v>
      </c>
      <c r="J765" t="s">
        <v>51</v>
      </c>
      <c r="K765" t="s">
        <v>53</v>
      </c>
      <c r="L765">
        <v>0.2</v>
      </c>
      <c r="M765">
        <v>6.51</v>
      </c>
      <c r="N765">
        <v>0.91</v>
      </c>
      <c r="O765">
        <v>4.4000000000000004</v>
      </c>
      <c r="P765">
        <v>3</v>
      </c>
      <c r="Q765">
        <v>2.2000000000000002</v>
      </c>
      <c r="R765">
        <v>3.3</v>
      </c>
      <c r="S765">
        <v>6.2</v>
      </c>
      <c r="T765" t="s">
        <v>10</v>
      </c>
      <c r="U765">
        <v>7.4</v>
      </c>
      <c r="V765">
        <v>10</v>
      </c>
      <c r="W765">
        <v>6.5</v>
      </c>
      <c r="X765">
        <v>3.3</v>
      </c>
      <c r="Y765">
        <v>3.8</v>
      </c>
      <c r="Z765">
        <v>2.7</v>
      </c>
      <c r="AA765">
        <v>7.3</v>
      </c>
      <c r="AB765" t="s">
        <v>11</v>
      </c>
      <c r="AC765" t="s">
        <v>10</v>
      </c>
      <c r="AD765" t="s">
        <v>12</v>
      </c>
      <c r="AE765" t="str">
        <f t="shared" si="33"/>
        <v>20-24</v>
      </c>
      <c r="AF765" t="str">
        <f t="shared" si="34"/>
        <v>Very Low Usage</v>
      </c>
      <c r="AG765" t="str">
        <f t="shared" si="35"/>
        <v>Low Loneliness</v>
      </c>
    </row>
    <row r="766" spans="1:33" x14ac:dyDescent="0.3">
      <c r="A766" t="s">
        <v>810</v>
      </c>
      <c r="B766">
        <v>42</v>
      </c>
      <c r="C766" t="s">
        <v>27</v>
      </c>
      <c r="D766" t="s">
        <v>2</v>
      </c>
      <c r="E766" t="s">
        <v>59</v>
      </c>
      <c r="F766" t="s">
        <v>45</v>
      </c>
      <c r="G766" t="s">
        <v>17</v>
      </c>
      <c r="H766" t="s">
        <v>18</v>
      </c>
      <c r="I766" t="s">
        <v>19</v>
      </c>
      <c r="J766" t="s">
        <v>8</v>
      </c>
      <c r="K766" t="s">
        <v>1079</v>
      </c>
      <c r="L766">
        <v>0</v>
      </c>
      <c r="M766">
        <v>4.55</v>
      </c>
      <c r="N766">
        <v>0.26</v>
      </c>
      <c r="O766">
        <v>1.64</v>
      </c>
      <c r="P766">
        <v>5</v>
      </c>
      <c r="Q766">
        <v>3.3</v>
      </c>
      <c r="R766">
        <v>1.4</v>
      </c>
      <c r="S766">
        <v>4.0999999999999996</v>
      </c>
      <c r="T766" t="s">
        <v>10</v>
      </c>
      <c r="U766">
        <v>9.6</v>
      </c>
      <c r="V766">
        <v>7.6</v>
      </c>
      <c r="W766">
        <v>7.9</v>
      </c>
      <c r="X766">
        <v>2.9</v>
      </c>
      <c r="Y766">
        <v>2.5</v>
      </c>
      <c r="Z766">
        <v>3.6</v>
      </c>
      <c r="AA766">
        <v>8</v>
      </c>
      <c r="AB766" t="s">
        <v>11</v>
      </c>
      <c r="AC766" t="s">
        <v>10</v>
      </c>
      <c r="AD766" t="s">
        <v>12</v>
      </c>
      <c r="AE766" t="str">
        <f t="shared" si="33"/>
        <v>35-44</v>
      </c>
      <c r="AF766" t="str">
        <f t="shared" si="34"/>
        <v>Very Low Usage</v>
      </c>
      <c r="AG766" t="str">
        <f t="shared" si="35"/>
        <v>Moderate Loneliness</v>
      </c>
    </row>
    <row r="767" spans="1:33" x14ac:dyDescent="0.3">
      <c r="A767" t="s">
        <v>811</v>
      </c>
      <c r="B767">
        <v>28</v>
      </c>
      <c r="C767" t="s">
        <v>1</v>
      </c>
      <c r="D767" t="s">
        <v>2</v>
      </c>
      <c r="E767" t="s">
        <v>37</v>
      </c>
      <c r="F767" t="s">
        <v>16</v>
      </c>
      <c r="G767" t="s">
        <v>43</v>
      </c>
      <c r="H767" t="s">
        <v>18</v>
      </c>
      <c r="I767" t="s">
        <v>29</v>
      </c>
      <c r="J767" t="s">
        <v>48</v>
      </c>
      <c r="K767" t="s">
        <v>25</v>
      </c>
      <c r="L767">
        <v>2.98</v>
      </c>
      <c r="M767">
        <v>3.46</v>
      </c>
      <c r="N767">
        <v>1.3</v>
      </c>
      <c r="O767">
        <v>7.78</v>
      </c>
      <c r="P767">
        <v>7</v>
      </c>
      <c r="Q767">
        <v>2.5</v>
      </c>
      <c r="R767">
        <v>3.7</v>
      </c>
      <c r="S767">
        <v>8.6999999999999993</v>
      </c>
      <c r="T767" t="s">
        <v>10</v>
      </c>
      <c r="U767">
        <v>7.3</v>
      </c>
      <c r="V767">
        <v>6.3</v>
      </c>
      <c r="W767">
        <v>6.7</v>
      </c>
      <c r="X767">
        <v>2.2999999999999998</v>
      </c>
      <c r="Y767">
        <v>3.9</v>
      </c>
      <c r="Z767">
        <v>5.5</v>
      </c>
      <c r="AA767">
        <v>5.0999999999999996</v>
      </c>
      <c r="AB767" t="s">
        <v>21</v>
      </c>
      <c r="AC767" t="s">
        <v>10</v>
      </c>
      <c r="AD767" t="s">
        <v>12</v>
      </c>
      <c r="AE767" t="str">
        <f t="shared" si="33"/>
        <v>25-34</v>
      </c>
      <c r="AF767" t="str">
        <f t="shared" si="34"/>
        <v>Moderate Usage</v>
      </c>
      <c r="AG767" t="str">
        <f t="shared" si="35"/>
        <v>Low Loneliness</v>
      </c>
    </row>
    <row r="768" spans="1:33" x14ac:dyDescent="0.3">
      <c r="A768" t="s">
        <v>812</v>
      </c>
      <c r="B768">
        <v>34</v>
      </c>
      <c r="C768" t="s">
        <v>32</v>
      </c>
      <c r="D768" t="s">
        <v>14</v>
      </c>
      <c r="E768" t="s">
        <v>37</v>
      </c>
      <c r="F768" t="s">
        <v>4</v>
      </c>
      <c r="G768" t="s">
        <v>43</v>
      </c>
      <c r="H768" t="s">
        <v>33</v>
      </c>
      <c r="I768" t="s">
        <v>7</v>
      </c>
      <c r="J768" t="s">
        <v>8</v>
      </c>
      <c r="K768" t="s">
        <v>1079</v>
      </c>
      <c r="L768">
        <v>3.84</v>
      </c>
      <c r="M768">
        <v>1.52</v>
      </c>
      <c r="N768">
        <v>2.84</v>
      </c>
      <c r="O768">
        <v>8.65</v>
      </c>
      <c r="P768">
        <v>2</v>
      </c>
      <c r="Q768">
        <v>9.6999999999999993</v>
      </c>
      <c r="R768">
        <v>9.8000000000000007</v>
      </c>
      <c r="S768">
        <v>2</v>
      </c>
      <c r="T768" t="s">
        <v>39</v>
      </c>
      <c r="U768">
        <v>5.6</v>
      </c>
      <c r="V768">
        <v>2.1</v>
      </c>
      <c r="W768">
        <v>0.4</v>
      </c>
      <c r="X768">
        <v>9.1</v>
      </c>
      <c r="Y768">
        <v>7.7</v>
      </c>
      <c r="Z768">
        <v>7</v>
      </c>
      <c r="AA768">
        <v>3.1</v>
      </c>
      <c r="AB768" t="s">
        <v>44</v>
      </c>
      <c r="AC768" t="s">
        <v>10</v>
      </c>
      <c r="AD768" t="s">
        <v>45</v>
      </c>
      <c r="AE768" t="str">
        <f t="shared" si="33"/>
        <v>25-34</v>
      </c>
      <c r="AF768" t="str">
        <f t="shared" si="34"/>
        <v>Moderate Usage</v>
      </c>
      <c r="AG768" t="str">
        <f t="shared" si="35"/>
        <v>High Loneliness</v>
      </c>
    </row>
    <row r="769" spans="1:33" x14ac:dyDescent="0.3">
      <c r="A769" t="s">
        <v>813</v>
      </c>
      <c r="B769">
        <v>33</v>
      </c>
      <c r="C769" t="s">
        <v>32</v>
      </c>
      <c r="D769" t="s">
        <v>41</v>
      </c>
      <c r="E769" t="s">
        <v>3</v>
      </c>
      <c r="F769" t="s">
        <v>16</v>
      </c>
      <c r="G769" t="s">
        <v>17</v>
      </c>
      <c r="H769" t="s">
        <v>28</v>
      </c>
      <c r="I769" t="s">
        <v>29</v>
      </c>
      <c r="J769" t="s">
        <v>8</v>
      </c>
      <c r="K769" t="s">
        <v>25</v>
      </c>
      <c r="L769">
        <v>2.81</v>
      </c>
      <c r="M769">
        <v>3.3</v>
      </c>
      <c r="N769">
        <v>2.95</v>
      </c>
      <c r="O769">
        <v>7.1</v>
      </c>
      <c r="P769">
        <v>5</v>
      </c>
      <c r="Q769">
        <v>7.7</v>
      </c>
      <c r="R769">
        <v>6.8</v>
      </c>
      <c r="S769">
        <v>5.9</v>
      </c>
      <c r="T769" t="s">
        <v>39</v>
      </c>
      <c r="U769">
        <v>5.5</v>
      </c>
      <c r="V769">
        <v>5.7</v>
      </c>
      <c r="W769">
        <v>0.4</v>
      </c>
      <c r="X769">
        <v>7.5</v>
      </c>
      <c r="Y769">
        <v>6.4</v>
      </c>
      <c r="Z769">
        <v>8.6</v>
      </c>
      <c r="AA769">
        <v>3.6</v>
      </c>
      <c r="AB769" t="s">
        <v>44</v>
      </c>
      <c r="AC769" t="s">
        <v>10</v>
      </c>
      <c r="AD769" t="s">
        <v>45</v>
      </c>
      <c r="AE769" t="str">
        <f t="shared" si="33"/>
        <v>25-34</v>
      </c>
      <c r="AF769" t="str">
        <f t="shared" si="34"/>
        <v>Moderate Usage</v>
      </c>
      <c r="AG769" t="str">
        <f t="shared" si="35"/>
        <v>High Loneliness</v>
      </c>
    </row>
    <row r="770" spans="1:33" x14ac:dyDescent="0.3">
      <c r="A770" t="s">
        <v>814</v>
      </c>
      <c r="B770">
        <v>40</v>
      </c>
      <c r="C770" t="s">
        <v>32</v>
      </c>
      <c r="D770" t="s">
        <v>14</v>
      </c>
      <c r="E770" t="s">
        <v>37</v>
      </c>
      <c r="F770" t="s">
        <v>12</v>
      </c>
      <c r="G770" t="s">
        <v>5</v>
      </c>
      <c r="H770" t="s">
        <v>18</v>
      </c>
      <c r="I770" t="s">
        <v>35</v>
      </c>
      <c r="J770" t="s">
        <v>8</v>
      </c>
      <c r="K770" t="s">
        <v>53</v>
      </c>
      <c r="L770">
        <v>1.0900000000000001</v>
      </c>
      <c r="M770">
        <v>5.67</v>
      </c>
      <c r="N770">
        <v>2.3199999999999998</v>
      </c>
      <c r="O770">
        <v>4.6900000000000004</v>
      </c>
      <c r="P770">
        <v>2</v>
      </c>
      <c r="Q770">
        <v>5.9</v>
      </c>
      <c r="R770">
        <v>4.4000000000000004</v>
      </c>
      <c r="S770">
        <v>4.2</v>
      </c>
      <c r="T770" t="s">
        <v>39</v>
      </c>
      <c r="U770">
        <v>6.7</v>
      </c>
      <c r="V770">
        <v>5.7</v>
      </c>
      <c r="W770">
        <v>2.7</v>
      </c>
      <c r="X770">
        <v>3.6</v>
      </c>
      <c r="Y770">
        <v>5.3</v>
      </c>
      <c r="Z770">
        <v>6.6</v>
      </c>
      <c r="AA770">
        <v>3.4</v>
      </c>
      <c r="AB770" t="s">
        <v>44</v>
      </c>
      <c r="AC770" t="s">
        <v>10</v>
      </c>
      <c r="AD770" t="s">
        <v>22</v>
      </c>
      <c r="AE770" t="str">
        <f t="shared" si="33"/>
        <v>35-44</v>
      </c>
      <c r="AF770" t="str">
        <f t="shared" si="34"/>
        <v>Low Usage</v>
      </c>
      <c r="AG770" t="str">
        <f t="shared" si="35"/>
        <v>Moderate Loneliness</v>
      </c>
    </row>
    <row r="771" spans="1:33" x14ac:dyDescent="0.3">
      <c r="A771" t="s">
        <v>815</v>
      </c>
      <c r="B771">
        <v>29</v>
      </c>
      <c r="C771" t="s">
        <v>32</v>
      </c>
      <c r="D771" t="s">
        <v>14</v>
      </c>
      <c r="E771" t="s">
        <v>37</v>
      </c>
      <c r="F771" t="s">
        <v>4</v>
      </c>
      <c r="G771" t="s">
        <v>5</v>
      </c>
      <c r="H771" t="s">
        <v>28</v>
      </c>
      <c r="I771" t="s">
        <v>7</v>
      </c>
      <c r="J771" t="s">
        <v>8</v>
      </c>
      <c r="K771" t="s">
        <v>53</v>
      </c>
      <c r="L771">
        <v>0.73</v>
      </c>
      <c r="M771">
        <v>2.25</v>
      </c>
      <c r="N771">
        <v>3.71</v>
      </c>
      <c r="O771">
        <v>7.96</v>
      </c>
      <c r="P771">
        <v>3</v>
      </c>
      <c r="Q771">
        <v>5</v>
      </c>
      <c r="R771">
        <v>4.5999999999999996</v>
      </c>
      <c r="S771">
        <v>5.8</v>
      </c>
      <c r="T771" t="s">
        <v>10</v>
      </c>
      <c r="U771">
        <v>7.5</v>
      </c>
      <c r="V771">
        <v>6.2</v>
      </c>
      <c r="W771">
        <v>5.0999999999999996</v>
      </c>
      <c r="X771">
        <v>5.3</v>
      </c>
      <c r="Y771">
        <v>3.6</v>
      </c>
      <c r="Z771">
        <v>2.8</v>
      </c>
      <c r="AA771">
        <v>6.3</v>
      </c>
      <c r="AB771" t="s">
        <v>21</v>
      </c>
      <c r="AC771" t="s">
        <v>10</v>
      </c>
      <c r="AD771" t="s">
        <v>12</v>
      </c>
      <c r="AE771" t="str">
        <f t="shared" ref="AE771:AE834" si="36">IF(B771&lt;20,"15-19",IF(B771&lt;25,"20-24",IF(B771&lt;35,"25-34","35-44")))</f>
        <v>25-34</v>
      </c>
      <c r="AF771" t="str">
        <f t="shared" ref="AF771:AF834" si="37">IF(L771&lt;=1,"Very Low Usage",IF(L771&lt;=2.5,"Low Usage",IF(L771&lt;=4,"Moderate Usage","High Usage")))</f>
        <v>Very Low Usage</v>
      </c>
      <c r="AG771" t="str">
        <f t="shared" ref="AG771:AG834" si="38">IF(Q771&lt;=3,"Low Loneliness",IF(Q771&lt;=6,"Moderate Loneliness","High Loneliness"))</f>
        <v>Moderate Loneliness</v>
      </c>
    </row>
    <row r="772" spans="1:33" x14ac:dyDescent="0.3">
      <c r="A772" t="s">
        <v>816</v>
      </c>
      <c r="B772">
        <v>30</v>
      </c>
      <c r="C772" t="s">
        <v>32</v>
      </c>
      <c r="D772" t="s">
        <v>2</v>
      </c>
      <c r="E772" t="s">
        <v>3</v>
      </c>
      <c r="F772" t="s">
        <v>16</v>
      </c>
      <c r="G772" t="s">
        <v>17</v>
      </c>
      <c r="H772" t="s">
        <v>28</v>
      </c>
      <c r="I772" t="s">
        <v>29</v>
      </c>
      <c r="J772" t="s">
        <v>8</v>
      </c>
      <c r="K772" t="s">
        <v>25</v>
      </c>
      <c r="L772">
        <v>2.17</v>
      </c>
      <c r="M772">
        <v>1.34</v>
      </c>
      <c r="N772">
        <v>3.93</v>
      </c>
      <c r="O772">
        <v>8.8000000000000007</v>
      </c>
      <c r="P772">
        <v>3</v>
      </c>
      <c r="Q772">
        <v>7.1</v>
      </c>
      <c r="R772">
        <v>4.5999999999999996</v>
      </c>
      <c r="S772">
        <v>5.5</v>
      </c>
      <c r="T772" t="s">
        <v>10</v>
      </c>
      <c r="U772">
        <v>6.7</v>
      </c>
      <c r="V772">
        <v>4.5999999999999996</v>
      </c>
      <c r="W772">
        <v>5.0999999999999996</v>
      </c>
      <c r="X772">
        <v>5.5</v>
      </c>
      <c r="Y772">
        <v>5.7</v>
      </c>
      <c r="Z772">
        <v>5.8</v>
      </c>
      <c r="AA772">
        <v>4.2</v>
      </c>
      <c r="AB772" t="s">
        <v>21</v>
      </c>
      <c r="AC772" t="s">
        <v>10</v>
      </c>
      <c r="AD772" t="s">
        <v>12</v>
      </c>
      <c r="AE772" t="str">
        <f t="shared" si="36"/>
        <v>25-34</v>
      </c>
      <c r="AF772" t="str">
        <f t="shared" si="37"/>
        <v>Low Usage</v>
      </c>
      <c r="AG772" t="str">
        <f t="shared" si="38"/>
        <v>High Loneliness</v>
      </c>
    </row>
    <row r="773" spans="1:33" x14ac:dyDescent="0.3">
      <c r="A773" t="s">
        <v>817</v>
      </c>
      <c r="B773">
        <v>35</v>
      </c>
      <c r="C773" t="s">
        <v>1</v>
      </c>
      <c r="D773" t="s">
        <v>14</v>
      </c>
      <c r="E773" t="s">
        <v>37</v>
      </c>
      <c r="F773" t="s">
        <v>16</v>
      </c>
      <c r="G773" t="s">
        <v>43</v>
      </c>
      <c r="H773" t="s">
        <v>18</v>
      </c>
      <c r="I773" t="s">
        <v>24</v>
      </c>
      <c r="J773" t="s">
        <v>20</v>
      </c>
      <c r="K773" t="s">
        <v>53</v>
      </c>
      <c r="L773">
        <v>0.9</v>
      </c>
      <c r="M773">
        <v>4.3899999999999997</v>
      </c>
      <c r="N773">
        <v>2.17</v>
      </c>
      <c r="O773">
        <v>4.3</v>
      </c>
      <c r="P773">
        <v>7</v>
      </c>
      <c r="Q773">
        <v>5.2</v>
      </c>
      <c r="R773">
        <v>5.5</v>
      </c>
      <c r="S773">
        <v>4.5999999999999996</v>
      </c>
      <c r="T773" t="s">
        <v>10</v>
      </c>
      <c r="U773">
        <v>7</v>
      </c>
      <c r="V773">
        <v>7.3</v>
      </c>
      <c r="W773">
        <v>5.0999999999999996</v>
      </c>
      <c r="X773">
        <v>4</v>
      </c>
      <c r="Y773">
        <v>1.2</v>
      </c>
      <c r="Z773">
        <v>3.6</v>
      </c>
      <c r="AA773">
        <v>4.0999999999999996</v>
      </c>
      <c r="AB773" t="s">
        <v>21</v>
      </c>
      <c r="AC773" t="s">
        <v>10</v>
      </c>
      <c r="AD773" t="s">
        <v>22</v>
      </c>
      <c r="AE773" t="str">
        <f t="shared" si="36"/>
        <v>35-44</v>
      </c>
      <c r="AF773" t="str">
        <f t="shared" si="37"/>
        <v>Very Low Usage</v>
      </c>
      <c r="AG773" t="str">
        <f t="shared" si="38"/>
        <v>Moderate Loneliness</v>
      </c>
    </row>
    <row r="774" spans="1:33" x14ac:dyDescent="0.3">
      <c r="A774" t="s">
        <v>818</v>
      </c>
      <c r="B774">
        <v>19</v>
      </c>
      <c r="C774" t="s">
        <v>32</v>
      </c>
      <c r="D774" t="s">
        <v>14</v>
      </c>
      <c r="E774" t="s">
        <v>37</v>
      </c>
      <c r="F774" t="s">
        <v>16</v>
      </c>
      <c r="G774" t="s">
        <v>43</v>
      </c>
      <c r="H774" t="s">
        <v>33</v>
      </c>
      <c r="I774" t="s">
        <v>29</v>
      </c>
      <c r="J774" t="s">
        <v>20</v>
      </c>
      <c r="K774" t="s">
        <v>1079</v>
      </c>
      <c r="L774">
        <v>1.46</v>
      </c>
      <c r="M774">
        <v>5.0199999999999996</v>
      </c>
      <c r="N774">
        <v>5.19</v>
      </c>
      <c r="O774">
        <v>8.77</v>
      </c>
      <c r="P774">
        <v>4</v>
      </c>
      <c r="Q774">
        <v>5.2</v>
      </c>
      <c r="R774">
        <v>3.2</v>
      </c>
      <c r="S774">
        <v>8.1</v>
      </c>
      <c r="T774" t="s">
        <v>39</v>
      </c>
      <c r="U774">
        <v>7.7</v>
      </c>
      <c r="V774">
        <v>6.3</v>
      </c>
      <c r="W774">
        <v>5.3</v>
      </c>
      <c r="X774">
        <v>2.9</v>
      </c>
      <c r="Y774">
        <v>5</v>
      </c>
      <c r="Z774">
        <v>6.6</v>
      </c>
      <c r="AA774">
        <v>7.5</v>
      </c>
      <c r="AB774" t="s">
        <v>21</v>
      </c>
      <c r="AC774" t="s">
        <v>39</v>
      </c>
      <c r="AD774" t="s">
        <v>12</v>
      </c>
      <c r="AE774" t="str">
        <f t="shared" si="36"/>
        <v>15-19</v>
      </c>
      <c r="AF774" t="str">
        <f t="shared" si="37"/>
        <v>Low Usage</v>
      </c>
      <c r="AG774" t="str">
        <f t="shared" si="38"/>
        <v>Moderate Loneliness</v>
      </c>
    </row>
    <row r="775" spans="1:33" x14ac:dyDescent="0.3">
      <c r="A775" t="s">
        <v>819</v>
      </c>
      <c r="B775">
        <v>17</v>
      </c>
      <c r="C775" t="s">
        <v>1</v>
      </c>
      <c r="D775" t="s">
        <v>2</v>
      </c>
      <c r="E775" t="s">
        <v>15</v>
      </c>
      <c r="F775" t="s">
        <v>4</v>
      </c>
      <c r="G775" t="s">
        <v>17</v>
      </c>
      <c r="H775" t="s">
        <v>28</v>
      </c>
      <c r="I775" t="s">
        <v>35</v>
      </c>
      <c r="J775" t="s">
        <v>20</v>
      </c>
      <c r="K775" t="s">
        <v>53</v>
      </c>
      <c r="L775">
        <v>3</v>
      </c>
      <c r="M775">
        <v>3.24</v>
      </c>
      <c r="N775">
        <v>3</v>
      </c>
      <c r="O775">
        <v>5.65</v>
      </c>
      <c r="P775">
        <v>0</v>
      </c>
      <c r="Q775">
        <v>6.5</v>
      </c>
      <c r="R775">
        <v>6</v>
      </c>
      <c r="S775">
        <v>4.3</v>
      </c>
      <c r="T775" t="s">
        <v>39</v>
      </c>
      <c r="U775">
        <v>6.8</v>
      </c>
      <c r="V775">
        <v>5.3</v>
      </c>
      <c r="W775">
        <v>6.7</v>
      </c>
      <c r="X775">
        <v>5.8</v>
      </c>
      <c r="Y775">
        <v>7.4</v>
      </c>
      <c r="Z775">
        <v>3.6</v>
      </c>
      <c r="AA775">
        <v>4.3</v>
      </c>
      <c r="AB775" t="s">
        <v>44</v>
      </c>
      <c r="AC775" t="s">
        <v>39</v>
      </c>
      <c r="AD775" t="s">
        <v>22</v>
      </c>
      <c r="AE775" t="str">
        <f t="shared" si="36"/>
        <v>15-19</v>
      </c>
      <c r="AF775" t="str">
        <f t="shared" si="37"/>
        <v>Moderate Usage</v>
      </c>
      <c r="AG775" t="str">
        <f t="shared" si="38"/>
        <v>High Loneliness</v>
      </c>
    </row>
    <row r="776" spans="1:33" x14ac:dyDescent="0.3">
      <c r="A776" t="s">
        <v>820</v>
      </c>
      <c r="B776">
        <v>26</v>
      </c>
      <c r="C776" t="s">
        <v>32</v>
      </c>
      <c r="D776" t="s">
        <v>58</v>
      </c>
      <c r="E776" t="s">
        <v>15</v>
      </c>
      <c r="F776" t="s">
        <v>45</v>
      </c>
      <c r="G776" t="s">
        <v>5</v>
      </c>
      <c r="H776" t="s">
        <v>18</v>
      </c>
      <c r="I776" t="s">
        <v>19</v>
      </c>
      <c r="J776" t="s">
        <v>8</v>
      </c>
      <c r="K776" t="s">
        <v>1079</v>
      </c>
      <c r="L776">
        <v>1.26</v>
      </c>
      <c r="M776">
        <v>4.84</v>
      </c>
      <c r="N776">
        <v>2.17</v>
      </c>
      <c r="O776">
        <v>4.0999999999999996</v>
      </c>
      <c r="P776">
        <v>8</v>
      </c>
      <c r="Q776">
        <v>4.3</v>
      </c>
      <c r="R776">
        <v>5</v>
      </c>
      <c r="S776">
        <v>7.2</v>
      </c>
      <c r="T776" t="s">
        <v>10</v>
      </c>
      <c r="U776">
        <v>7.8</v>
      </c>
      <c r="V776">
        <v>7.5</v>
      </c>
      <c r="W776">
        <v>3.6</v>
      </c>
      <c r="X776">
        <v>3.4</v>
      </c>
      <c r="Y776">
        <v>4.5999999999999996</v>
      </c>
      <c r="Z776">
        <v>5.0999999999999996</v>
      </c>
      <c r="AA776">
        <v>7</v>
      </c>
      <c r="AB776" t="s">
        <v>21</v>
      </c>
      <c r="AC776" t="s">
        <v>10</v>
      </c>
      <c r="AD776" t="s">
        <v>12</v>
      </c>
      <c r="AE776" t="str">
        <f t="shared" si="36"/>
        <v>25-34</v>
      </c>
      <c r="AF776" t="str">
        <f t="shared" si="37"/>
        <v>Low Usage</v>
      </c>
      <c r="AG776" t="str">
        <f t="shared" si="38"/>
        <v>Moderate Loneliness</v>
      </c>
    </row>
    <row r="777" spans="1:33" x14ac:dyDescent="0.3">
      <c r="A777" t="s">
        <v>821</v>
      </c>
      <c r="B777">
        <v>39</v>
      </c>
      <c r="C777" t="s">
        <v>32</v>
      </c>
      <c r="D777" t="s">
        <v>2</v>
      </c>
      <c r="E777" t="s">
        <v>15</v>
      </c>
      <c r="F777" t="s">
        <v>12</v>
      </c>
      <c r="G777" t="s">
        <v>43</v>
      </c>
      <c r="H777" t="s">
        <v>33</v>
      </c>
      <c r="I777" t="s">
        <v>29</v>
      </c>
      <c r="J777" t="s">
        <v>8</v>
      </c>
      <c r="K777" t="s">
        <v>25</v>
      </c>
      <c r="L777">
        <v>0.62</v>
      </c>
      <c r="M777">
        <v>4.18</v>
      </c>
      <c r="N777">
        <v>0.03</v>
      </c>
      <c r="O777">
        <v>1.9</v>
      </c>
      <c r="P777">
        <v>6</v>
      </c>
      <c r="Q777">
        <v>3.7</v>
      </c>
      <c r="R777">
        <v>1</v>
      </c>
      <c r="S777">
        <v>10</v>
      </c>
      <c r="T777" t="s">
        <v>10</v>
      </c>
      <c r="U777">
        <v>8.5</v>
      </c>
      <c r="V777">
        <v>10</v>
      </c>
      <c r="W777">
        <v>4.3</v>
      </c>
      <c r="X777">
        <v>3.4</v>
      </c>
      <c r="Y777">
        <v>3</v>
      </c>
      <c r="Z777">
        <v>3.1</v>
      </c>
      <c r="AA777">
        <v>8.8000000000000007</v>
      </c>
      <c r="AB777" t="s">
        <v>11</v>
      </c>
      <c r="AC777" t="s">
        <v>10</v>
      </c>
      <c r="AD777" t="s">
        <v>12</v>
      </c>
      <c r="AE777" t="str">
        <f t="shared" si="36"/>
        <v>35-44</v>
      </c>
      <c r="AF777" t="str">
        <f t="shared" si="37"/>
        <v>Very Low Usage</v>
      </c>
      <c r="AG777" t="str">
        <f t="shared" si="38"/>
        <v>Moderate Loneliness</v>
      </c>
    </row>
    <row r="778" spans="1:33" x14ac:dyDescent="0.3">
      <c r="A778" t="s">
        <v>822</v>
      </c>
      <c r="B778">
        <v>34</v>
      </c>
      <c r="C778" t="s">
        <v>32</v>
      </c>
      <c r="D778" t="s">
        <v>2</v>
      </c>
      <c r="E778" t="s">
        <v>3</v>
      </c>
      <c r="F778" t="s">
        <v>16</v>
      </c>
      <c r="G778" t="s">
        <v>66</v>
      </c>
      <c r="H778" t="s">
        <v>28</v>
      </c>
      <c r="I778" t="s">
        <v>19</v>
      </c>
      <c r="J778" t="s">
        <v>20</v>
      </c>
      <c r="K778" t="s">
        <v>1079</v>
      </c>
      <c r="L778">
        <v>3.53</v>
      </c>
      <c r="M778">
        <v>1.47</v>
      </c>
      <c r="N778">
        <v>3.86</v>
      </c>
      <c r="O778">
        <v>8.6199999999999992</v>
      </c>
      <c r="P778">
        <v>3</v>
      </c>
      <c r="Q778">
        <v>8.9</v>
      </c>
      <c r="R778">
        <v>7.9</v>
      </c>
      <c r="S778">
        <v>4.0999999999999996</v>
      </c>
      <c r="T778" t="s">
        <v>10</v>
      </c>
      <c r="U778">
        <v>5.9</v>
      </c>
      <c r="V778">
        <v>4.9000000000000004</v>
      </c>
      <c r="W778">
        <v>0.5</v>
      </c>
      <c r="X778">
        <v>7.4</v>
      </c>
      <c r="Y778">
        <v>6.9</v>
      </c>
      <c r="Z778">
        <v>8.4</v>
      </c>
      <c r="AA778">
        <v>1.9</v>
      </c>
      <c r="AB778" t="s">
        <v>44</v>
      </c>
      <c r="AC778" t="s">
        <v>10</v>
      </c>
      <c r="AD778" t="s">
        <v>45</v>
      </c>
      <c r="AE778" t="str">
        <f t="shared" si="36"/>
        <v>25-34</v>
      </c>
      <c r="AF778" t="str">
        <f t="shared" si="37"/>
        <v>Moderate Usage</v>
      </c>
      <c r="AG778" t="str">
        <f t="shared" si="38"/>
        <v>High Loneliness</v>
      </c>
    </row>
    <row r="779" spans="1:33" x14ac:dyDescent="0.3">
      <c r="A779" t="s">
        <v>823</v>
      </c>
      <c r="B779">
        <v>41</v>
      </c>
      <c r="C779" t="s">
        <v>1</v>
      </c>
      <c r="D779" t="s">
        <v>41</v>
      </c>
      <c r="E779" t="s">
        <v>3</v>
      </c>
      <c r="F779" t="s">
        <v>45</v>
      </c>
      <c r="G779" t="s">
        <v>5</v>
      </c>
      <c r="H779" t="s">
        <v>28</v>
      </c>
      <c r="I779" t="s">
        <v>29</v>
      </c>
      <c r="J779" t="s">
        <v>20</v>
      </c>
      <c r="K779" t="s">
        <v>30</v>
      </c>
      <c r="L779">
        <v>0</v>
      </c>
      <c r="M779">
        <v>6.18</v>
      </c>
      <c r="N779">
        <v>0.93</v>
      </c>
      <c r="O779">
        <v>4.1399999999999997</v>
      </c>
      <c r="P779">
        <v>4</v>
      </c>
      <c r="Q779">
        <v>1</v>
      </c>
      <c r="R779">
        <v>1</v>
      </c>
      <c r="S779">
        <v>9.6</v>
      </c>
      <c r="T779" t="s">
        <v>39</v>
      </c>
      <c r="U779">
        <v>8.1999999999999993</v>
      </c>
      <c r="V779">
        <v>10</v>
      </c>
      <c r="W779">
        <v>6.9</v>
      </c>
      <c r="X779">
        <v>1</v>
      </c>
      <c r="Y779">
        <v>1</v>
      </c>
      <c r="Z779">
        <v>2.2000000000000002</v>
      </c>
      <c r="AA779">
        <v>10</v>
      </c>
      <c r="AB779" t="s">
        <v>11</v>
      </c>
      <c r="AC779" t="s">
        <v>10</v>
      </c>
      <c r="AD779" t="s">
        <v>12</v>
      </c>
      <c r="AE779" t="str">
        <f t="shared" si="36"/>
        <v>35-44</v>
      </c>
      <c r="AF779" t="str">
        <f t="shared" si="37"/>
        <v>Very Low Usage</v>
      </c>
      <c r="AG779" t="str">
        <f t="shared" si="38"/>
        <v>Low Loneliness</v>
      </c>
    </row>
    <row r="780" spans="1:33" x14ac:dyDescent="0.3">
      <c r="A780" t="s">
        <v>824</v>
      </c>
      <c r="B780">
        <v>35</v>
      </c>
      <c r="C780" t="s">
        <v>32</v>
      </c>
      <c r="D780" t="s">
        <v>14</v>
      </c>
      <c r="E780" t="s">
        <v>15</v>
      </c>
      <c r="F780" t="s">
        <v>12</v>
      </c>
      <c r="G780" t="s">
        <v>5</v>
      </c>
      <c r="H780" t="s">
        <v>6</v>
      </c>
      <c r="I780" t="s">
        <v>254</v>
      </c>
      <c r="J780" t="s">
        <v>8</v>
      </c>
      <c r="K780" t="s">
        <v>53</v>
      </c>
      <c r="L780">
        <v>3.32</v>
      </c>
      <c r="M780">
        <v>4.09</v>
      </c>
      <c r="N780">
        <v>2.83</v>
      </c>
      <c r="O780">
        <v>6.24</v>
      </c>
      <c r="P780">
        <v>2</v>
      </c>
      <c r="Q780">
        <v>8.8000000000000007</v>
      </c>
      <c r="R780">
        <v>7.8</v>
      </c>
      <c r="S780">
        <v>5.5</v>
      </c>
      <c r="T780" t="s">
        <v>39</v>
      </c>
      <c r="U780">
        <v>5.9</v>
      </c>
      <c r="V780">
        <v>3.8</v>
      </c>
      <c r="W780">
        <v>1.9</v>
      </c>
      <c r="X780">
        <v>7.5</v>
      </c>
      <c r="Y780">
        <v>5.7</v>
      </c>
      <c r="Z780">
        <v>10</v>
      </c>
      <c r="AA780">
        <v>1</v>
      </c>
      <c r="AB780" t="s">
        <v>44</v>
      </c>
      <c r="AC780" t="s">
        <v>39</v>
      </c>
      <c r="AD780" t="s">
        <v>45</v>
      </c>
      <c r="AE780" t="str">
        <f t="shared" si="36"/>
        <v>35-44</v>
      </c>
      <c r="AF780" t="str">
        <f t="shared" si="37"/>
        <v>Moderate Usage</v>
      </c>
      <c r="AG780" t="str">
        <f t="shared" si="38"/>
        <v>High Loneliness</v>
      </c>
    </row>
    <row r="781" spans="1:33" x14ac:dyDescent="0.3">
      <c r="A781" t="s">
        <v>825</v>
      </c>
      <c r="B781">
        <v>18</v>
      </c>
      <c r="C781" t="s">
        <v>32</v>
      </c>
      <c r="D781" t="s">
        <v>14</v>
      </c>
      <c r="E781" t="s">
        <v>37</v>
      </c>
      <c r="F781" t="s">
        <v>16</v>
      </c>
      <c r="G781" t="s">
        <v>17</v>
      </c>
      <c r="H781" t="s">
        <v>33</v>
      </c>
      <c r="I781" t="s">
        <v>29</v>
      </c>
      <c r="J781" t="s">
        <v>51</v>
      </c>
      <c r="K781" t="s">
        <v>25</v>
      </c>
      <c r="L781">
        <v>2.27</v>
      </c>
      <c r="M781">
        <v>4</v>
      </c>
      <c r="N781">
        <v>2.5099999999999998</v>
      </c>
      <c r="O781">
        <v>5.35</v>
      </c>
      <c r="P781">
        <v>3</v>
      </c>
      <c r="Q781">
        <v>6.3</v>
      </c>
      <c r="R781">
        <v>5.0999999999999996</v>
      </c>
      <c r="S781">
        <v>4.9000000000000004</v>
      </c>
      <c r="T781" t="s">
        <v>10</v>
      </c>
      <c r="U781">
        <v>7.1</v>
      </c>
      <c r="V781">
        <v>6</v>
      </c>
      <c r="W781">
        <v>4.5999999999999996</v>
      </c>
      <c r="X781">
        <v>5.3</v>
      </c>
      <c r="Y781">
        <v>6.3</v>
      </c>
      <c r="Z781">
        <v>7</v>
      </c>
      <c r="AA781">
        <v>4.5999999999999996</v>
      </c>
      <c r="AB781" t="s">
        <v>21</v>
      </c>
      <c r="AC781" t="s">
        <v>10</v>
      </c>
      <c r="AD781" t="s">
        <v>45</v>
      </c>
      <c r="AE781" t="str">
        <f t="shared" si="36"/>
        <v>15-19</v>
      </c>
      <c r="AF781" t="str">
        <f t="shared" si="37"/>
        <v>Low Usage</v>
      </c>
      <c r="AG781" t="str">
        <f t="shared" si="38"/>
        <v>High Loneliness</v>
      </c>
    </row>
    <row r="782" spans="1:33" x14ac:dyDescent="0.3">
      <c r="A782" t="s">
        <v>826</v>
      </c>
      <c r="B782">
        <v>35</v>
      </c>
      <c r="C782" t="s">
        <v>32</v>
      </c>
      <c r="D782" t="s">
        <v>14</v>
      </c>
      <c r="E782" t="s">
        <v>3</v>
      </c>
      <c r="F782" t="s">
        <v>12</v>
      </c>
      <c r="G782" t="s">
        <v>66</v>
      </c>
      <c r="H782" t="s">
        <v>18</v>
      </c>
      <c r="I782" t="s">
        <v>24</v>
      </c>
      <c r="J782" t="s">
        <v>48</v>
      </c>
      <c r="K782" t="s">
        <v>1079</v>
      </c>
      <c r="L782">
        <v>0.98</v>
      </c>
      <c r="M782">
        <v>5.67</v>
      </c>
      <c r="N782">
        <v>1.86</v>
      </c>
      <c r="O782">
        <v>5.29</v>
      </c>
      <c r="P782">
        <v>4</v>
      </c>
      <c r="Q782">
        <v>3.4</v>
      </c>
      <c r="R782">
        <v>1.3</v>
      </c>
      <c r="S782">
        <v>8.1</v>
      </c>
      <c r="T782" t="s">
        <v>10</v>
      </c>
      <c r="U782">
        <v>8.6999999999999993</v>
      </c>
      <c r="V782">
        <v>9.1999999999999993</v>
      </c>
      <c r="W782">
        <v>4.5</v>
      </c>
      <c r="X782">
        <v>2.2999999999999998</v>
      </c>
      <c r="Y782">
        <v>1.1000000000000001</v>
      </c>
      <c r="Z782">
        <v>1.1000000000000001</v>
      </c>
      <c r="AA782">
        <v>7.3</v>
      </c>
      <c r="AB782" t="s">
        <v>21</v>
      </c>
      <c r="AC782" t="s">
        <v>10</v>
      </c>
      <c r="AD782" t="s">
        <v>12</v>
      </c>
      <c r="AE782" t="str">
        <f t="shared" si="36"/>
        <v>35-44</v>
      </c>
      <c r="AF782" t="str">
        <f t="shared" si="37"/>
        <v>Very Low Usage</v>
      </c>
      <c r="AG782" t="str">
        <f t="shared" si="38"/>
        <v>Moderate Loneliness</v>
      </c>
    </row>
    <row r="783" spans="1:33" x14ac:dyDescent="0.3">
      <c r="A783" t="s">
        <v>827</v>
      </c>
      <c r="B783">
        <v>37</v>
      </c>
      <c r="C783" t="s">
        <v>1</v>
      </c>
      <c r="D783" t="s">
        <v>2</v>
      </c>
      <c r="E783" t="s">
        <v>15</v>
      </c>
      <c r="F783" t="s">
        <v>4</v>
      </c>
      <c r="G783" t="s">
        <v>17</v>
      </c>
      <c r="H783" t="s">
        <v>33</v>
      </c>
      <c r="I783" t="s">
        <v>19</v>
      </c>
      <c r="J783" t="s">
        <v>51</v>
      </c>
      <c r="K783" t="s">
        <v>30</v>
      </c>
      <c r="L783">
        <v>1.71</v>
      </c>
      <c r="M783">
        <v>2.9</v>
      </c>
      <c r="N783">
        <v>2</v>
      </c>
      <c r="O783">
        <v>5.94</v>
      </c>
      <c r="P783">
        <v>5</v>
      </c>
      <c r="Q783">
        <v>6.6</v>
      </c>
      <c r="R783">
        <v>4.9000000000000004</v>
      </c>
      <c r="S783">
        <v>5.7</v>
      </c>
      <c r="T783" t="s">
        <v>10</v>
      </c>
      <c r="U783">
        <v>6.7</v>
      </c>
      <c r="V783">
        <v>5.6</v>
      </c>
      <c r="W783">
        <v>4.9000000000000004</v>
      </c>
      <c r="X783">
        <v>5.4</v>
      </c>
      <c r="Y783">
        <v>3.6</v>
      </c>
      <c r="Z783">
        <v>6.7</v>
      </c>
      <c r="AA783">
        <v>5</v>
      </c>
      <c r="AB783" t="s">
        <v>11</v>
      </c>
      <c r="AC783" t="s">
        <v>10</v>
      </c>
      <c r="AD783" t="s">
        <v>12</v>
      </c>
      <c r="AE783" t="str">
        <f t="shared" si="36"/>
        <v>35-44</v>
      </c>
      <c r="AF783" t="str">
        <f t="shared" si="37"/>
        <v>Low Usage</v>
      </c>
      <c r="AG783" t="str">
        <f t="shared" si="38"/>
        <v>High Loneliness</v>
      </c>
    </row>
    <row r="784" spans="1:33" x14ac:dyDescent="0.3">
      <c r="A784" t="s">
        <v>828</v>
      </c>
      <c r="B784">
        <v>30</v>
      </c>
      <c r="C784" t="s">
        <v>1</v>
      </c>
      <c r="D784" t="s">
        <v>14</v>
      </c>
      <c r="E784" t="s">
        <v>15</v>
      </c>
      <c r="F784" t="s">
        <v>4</v>
      </c>
      <c r="G784" t="s">
        <v>5</v>
      </c>
      <c r="H784" t="s">
        <v>28</v>
      </c>
      <c r="I784" t="s">
        <v>35</v>
      </c>
      <c r="J784" t="s">
        <v>20</v>
      </c>
      <c r="K784" t="s">
        <v>25</v>
      </c>
      <c r="L784">
        <v>0.49</v>
      </c>
      <c r="M784">
        <v>4.8899999999999997</v>
      </c>
      <c r="N784">
        <v>1.34</v>
      </c>
      <c r="O784">
        <v>3.47</v>
      </c>
      <c r="P784">
        <v>2</v>
      </c>
      <c r="Q784">
        <v>3.6</v>
      </c>
      <c r="R784">
        <v>2.2999999999999998</v>
      </c>
      <c r="S784">
        <v>5.3</v>
      </c>
      <c r="T784" t="s">
        <v>10</v>
      </c>
      <c r="U784">
        <v>7.2</v>
      </c>
      <c r="V784">
        <v>8.4</v>
      </c>
      <c r="W784">
        <v>3.9</v>
      </c>
      <c r="X784">
        <v>3.3</v>
      </c>
      <c r="Y784">
        <v>3.4</v>
      </c>
      <c r="Z784">
        <v>4.5</v>
      </c>
      <c r="AA784">
        <v>8.3000000000000007</v>
      </c>
      <c r="AB784" t="s">
        <v>21</v>
      </c>
      <c r="AC784" t="s">
        <v>10</v>
      </c>
      <c r="AD784" t="s">
        <v>12</v>
      </c>
      <c r="AE784" t="str">
        <f t="shared" si="36"/>
        <v>25-34</v>
      </c>
      <c r="AF784" t="str">
        <f t="shared" si="37"/>
        <v>Very Low Usage</v>
      </c>
      <c r="AG784" t="str">
        <f t="shared" si="38"/>
        <v>Moderate Loneliness</v>
      </c>
    </row>
    <row r="785" spans="1:33" x14ac:dyDescent="0.3">
      <c r="A785" t="s">
        <v>829</v>
      </c>
      <c r="B785">
        <v>39</v>
      </c>
      <c r="C785" t="s">
        <v>1</v>
      </c>
      <c r="D785" t="s">
        <v>58</v>
      </c>
      <c r="E785" t="s">
        <v>37</v>
      </c>
      <c r="F785" t="s">
        <v>4</v>
      </c>
      <c r="G785" t="s">
        <v>17</v>
      </c>
      <c r="H785" t="s">
        <v>18</v>
      </c>
      <c r="I785" t="s">
        <v>29</v>
      </c>
      <c r="J785" t="s">
        <v>8</v>
      </c>
      <c r="K785" t="s">
        <v>53</v>
      </c>
      <c r="L785">
        <v>3.32</v>
      </c>
      <c r="M785">
        <v>1.93</v>
      </c>
      <c r="N785">
        <v>4.09</v>
      </c>
      <c r="O785">
        <v>11.47</v>
      </c>
      <c r="P785">
        <v>1</v>
      </c>
      <c r="Q785">
        <v>6</v>
      </c>
      <c r="R785">
        <v>6.6</v>
      </c>
      <c r="S785">
        <v>2.6</v>
      </c>
      <c r="T785" t="s">
        <v>39</v>
      </c>
      <c r="U785">
        <v>5.7</v>
      </c>
      <c r="V785">
        <v>3.9</v>
      </c>
      <c r="W785">
        <v>2.8</v>
      </c>
      <c r="X785">
        <v>5.4</v>
      </c>
      <c r="Y785">
        <v>5.7</v>
      </c>
      <c r="Z785">
        <v>8.1</v>
      </c>
      <c r="AA785">
        <v>4.8</v>
      </c>
      <c r="AB785" t="s">
        <v>44</v>
      </c>
      <c r="AC785" t="s">
        <v>10</v>
      </c>
      <c r="AD785" t="s">
        <v>45</v>
      </c>
      <c r="AE785" t="str">
        <f t="shared" si="36"/>
        <v>35-44</v>
      </c>
      <c r="AF785" t="str">
        <f t="shared" si="37"/>
        <v>Moderate Usage</v>
      </c>
      <c r="AG785" t="str">
        <f t="shared" si="38"/>
        <v>Moderate Loneliness</v>
      </c>
    </row>
    <row r="786" spans="1:33" x14ac:dyDescent="0.3">
      <c r="A786" t="s">
        <v>830</v>
      </c>
      <c r="B786">
        <v>21</v>
      </c>
      <c r="C786" t="s">
        <v>1</v>
      </c>
      <c r="D786" t="s">
        <v>2</v>
      </c>
      <c r="E786" t="s">
        <v>3</v>
      </c>
      <c r="F786" t="s">
        <v>45</v>
      </c>
      <c r="G786" t="s">
        <v>17</v>
      </c>
      <c r="H786" t="s">
        <v>18</v>
      </c>
      <c r="I786" t="s">
        <v>19</v>
      </c>
      <c r="J786" t="s">
        <v>48</v>
      </c>
      <c r="K786" t="s">
        <v>9</v>
      </c>
      <c r="L786">
        <v>2.83</v>
      </c>
      <c r="M786">
        <v>4.9000000000000004</v>
      </c>
      <c r="N786">
        <v>2.0099999999999998</v>
      </c>
      <c r="O786">
        <v>7.45</v>
      </c>
      <c r="P786">
        <v>5</v>
      </c>
      <c r="Q786">
        <v>7.1</v>
      </c>
      <c r="R786">
        <v>5.7</v>
      </c>
      <c r="S786">
        <v>3.7</v>
      </c>
      <c r="T786" t="s">
        <v>39</v>
      </c>
      <c r="U786">
        <v>5.0999999999999996</v>
      </c>
      <c r="V786">
        <v>5.6</v>
      </c>
      <c r="W786">
        <v>3</v>
      </c>
      <c r="X786">
        <v>4.4000000000000004</v>
      </c>
      <c r="Y786">
        <v>6</v>
      </c>
      <c r="Z786">
        <v>6</v>
      </c>
      <c r="AA786">
        <v>2.8</v>
      </c>
      <c r="AB786" t="s">
        <v>44</v>
      </c>
      <c r="AC786" t="s">
        <v>10</v>
      </c>
      <c r="AD786" t="s">
        <v>45</v>
      </c>
      <c r="AE786" t="str">
        <f t="shared" si="36"/>
        <v>20-24</v>
      </c>
      <c r="AF786" t="str">
        <f t="shared" si="37"/>
        <v>Moderate Usage</v>
      </c>
      <c r="AG786" t="str">
        <f t="shared" si="38"/>
        <v>High Loneliness</v>
      </c>
    </row>
    <row r="787" spans="1:33" x14ac:dyDescent="0.3">
      <c r="A787" t="s">
        <v>831</v>
      </c>
      <c r="B787">
        <v>27</v>
      </c>
      <c r="C787" t="s">
        <v>32</v>
      </c>
      <c r="D787" t="s">
        <v>2</v>
      </c>
      <c r="E787" t="s">
        <v>15</v>
      </c>
      <c r="F787" t="s">
        <v>16</v>
      </c>
      <c r="G787" t="s">
        <v>17</v>
      </c>
      <c r="H787" t="s">
        <v>18</v>
      </c>
      <c r="I787" t="s">
        <v>19</v>
      </c>
      <c r="J787" t="s">
        <v>8</v>
      </c>
      <c r="K787" t="s">
        <v>30</v>
      </c>
      <c r="L787">
        <v>3.34</v>
      </c>
      <c r="M787">
        <v>2.48</v>
      </c>
      <c r="N787">
        <v>1.87</v>
      </c>
      <c r="O787">
        <v>8.43</v>
      </c>
      <c r="P787">
        <v>2</v>
      </c>
      <c r="Q787">
        <v>5.4</v>
      </c>
      <c r="R787">
        <v>5</v>
      </c>
      <c r="S787">
        <v>3.8</v>
      </c>
      <c r="T787" t="s">
        <v>10</v>
      </c>
      <c r="U787">
        <v>5.6</v>
      </c>
      <c r="V787">
        <v>6.3</v>
      </c>
      <c r="W787">
        <v>0.9</v>
      </c>
      <c r="X787">
        <v>5.4</v>
      </c>
      <c r="Y787">
        <v>2.8</v>
      </c>
      <c r="Z787">
        <v>4.5</v>
      </c>
      <c r="AA787">
        <v>3.6</v>
      </c>
      <c r="AB787" t="s">
        <v>44</v>
      </c>
      <c r="AC787" t="s">
        <v>10</v>
      </c>
      <c r="AD787" t="s">
        <v>22</v>
      </c>
      <c r="AE787" t="str">
        <f t="shared" si="36"/>
        <v>25-34</v>
      </c>
      <c r="AF787" t="str">
        <f t="shared" si="37"/>
        <v>Moderate Usage</v>
      </c>
      <c r="AG787" t="str">
        <f t="shared" si="38"/>
        <v>Moderate Loneliness</v>
      </c>
    </row>
    <row r="788" spans="1:33" x14ac:dyDescent="0.3">
      <c r="A788" t="s">
        <v>832</v>
      </c>
      <c r="B788">
        <v>35</v>
      </c>
      <c r="C788" t="s">
        <v>1</v>
      </c>
      <c r="D788" t="s">
        <v>14</v>
      </c>
      <c r="E788" t="s">
        <v>37</v>
      </c>
      <c r="F788" t="s">
        <v>4</v>
      </c>
      <c r="G788" t="s">
        <v>66</v>
      </c>
      <c r="H788" t="s">
        <v>28</v>
      </c>
      <c r="I788" t="s">
        <v>24</v>
      </c>
      <c r="J788" t="s">
        <v>20</v>
      </c>
      <c r="K788" t="s">
        <v>1079</v>
      </c>
      <c r="L788">
        <v>2.54</v>
      </c>
      <c r="M788">
        <v>2.38</v>
      </c>
      <c r="N788">
        <v>3.42</v>
      </c>
      <c r="O788">
        <v>7.91</v>
      </c>
      <c r="P788">
        <v>2</v>
      </c>
      <c r="Q788">
        <v>5.5</v>
      </c>
      <c r="R788">
        <v>6.5</v>
      </c>
      <c r="S788">
        <v>4.0999999999999996</v>
      </c>
      <c r="T788" t="s">
        <v>10</v>
      </c>
      <c r="U788">
        <v>5.6</v>
      </c>
      <c r="V788">
        <v>4.4000000000000004</v>
      </c>
      <c r="W788">
        <v>2.9</v>
      </c>
      <c r="X788">
        <v>7.5</v>
      </c>
      <c r="Y788">
        <v>5.3</v>
      </c>
      <c r="Z788">
        <v>4.8</v>
      </c>
      <c r="AA788">
        <v>7.2</v>
      </c>
      <c r="AB788" t="s">
        <v>44</v>
      </c>
      <c r="AC788" t="s">
        <v>39</v>
      </c>
      <c r="AD788" t="s">
        <v>22</v>
      </c>
      <c r="AE788" t="str">
        <f t="shared" si="36"/>
        <v>35-44</v>
      </c>
      <c r="AF788" t="str">
        <f t="shared" si="37"/>
        <v>Moderate Usage</v>
      </c>
      <c r="AG788" t="str">
        <f t="shared" si="38"/>
        <v>Moderate Loneliness</v>
      </c>
    </row>
    <row r="789" spans="1:33" x14ac:dyDescent="0.3">
      <c r="A789" t="s">
        <v>833</v>
      </c>
      <c r="B789">
        <v>24</v>
      </c>
      <c r="C789" t="s">
        <v>89</v>
      </c>
      <c r="D789" t="s">
        <v>47</v>
      </c>
      <c r="E789" t="s">
        <v>15</v>
      </c>
      <c r="F789" t="s">
        <v>16</v>
      </c>
      <c r="G789" t="s">
        <v>17</v>
      </c>
      <c r="H789" t="s">
        <v>28</v>
      </c>
      <c r="I789" t="s">
        <v>29</v>
      </c>
      <c r="J789" t="s">
        <v>8</v>
      </c>
      <c r="K789" t="s">
        <v>53</v>
      </c>
      <c r="L789">
        <v>0.52</v>
      </c>
      <c r="M789">
        <v>2.65</v>
      </c>
      <c r="N789">
        <v>3.23</v>
      </c>
      <c r="O789">
        <v>5.21</v>
      </c>
      <c r="P789">
        <v>4</v>
      </c>
      <c r="Q789">
        <v>5.9</v>
      </c>
      <c r="R789">
        <v>3.6</v>
      </c>
      <c r="S789">
        <v>7.3</v>
      </c>
      <c r="T789" t="s">
        <v>10</v>
      </c>
      <c r="U789">
        <v>6.5</v>
      </c>
      <c r="V789">
        <v>4.9000000000000004</v>
      </c>
      <c r="W789">
        <v>5</v>
      </c>
      <c r="X789">
        <v>4.0999999999999996</v>
      </c>
      <c r="Y789">
        <v>4.7</v>
      </c>
      <c r="Z789">
        <v>6.1</v>
      </c>
      <c r="AA789">
        <v>5.6</v>
      </c>
      <c r="AB789" t="s">
        <v>21</v>
      </c>
      <c r="AC789" t="s">
        <v>39</v>
      </c>
      <c r="AD789" t="s">
        <v>22</v>
      </c>
      <c r="AE789" t="str">
        <f t="shared" si="36"/>
        <v>20-24</v>
      </c>
      <c r="AF789" t="str">
        <f t="shared" si="37"/>
        <v>Very Low Usage</v>
      </c>
      <c r="AG789" t="str">
        <f t="shared" si="38"/>
        <v>Moderate Loneliness</v>
      </c>
    </row>
    <row r="790" spans="1:33" x14ac:dyDescent="0.3">
      <c r="A790" t="s">
        <v>834</v>
      </c>
      <c r="B790">
        <v>40</v>
      </c>
      <c r="C790" t="s">
        <v>1</v>
      </c>
      <c r="D790" t="s">
        <v>41</v>
      </c>
      <c r="E790" t="s">
        <v>15</v>
      </c>
      <c r="F790" t="s">
        <v>45</v>
      </c>
      <c r="G790" t="s">
        <v>5</v>
      </c>
      <c r="H790" t="s">
        <v>28</v>
      </c>
      <c r="I790" t="s">
        <v>29</v>
      </c>
      <c r="J790" t="s">
        <v>51</v>
      </c>
      <c r="K790" t="s">
        <v>9</v>
      </c>
      <c r="L790">
        <v>4.7300000000000004</v>
      </c>
      <c r="M790">
        <v>2.15</v>
      </c>
      <c r="N790">
        <v>4.57</v>
      </c>
      <c r="O790">
        <v>10.77</v>
      </c>
      <c r="P790">
        <v>1</v>
      </c>
      <c r="Q790">
        <v>8.5</v>
      </c>
      <c r="R790">
        <v>10</v>
      </c>
      <c r="S790">
        <v>1.9</v>
      </c>
      <c r="T790" t="s">
        <v>10</v>
      </c>
      <c r="U790">
        <v>6.2</v>
      </c>
      <c r="V790">
        <v>3</v>
      </c>
      <c r="W790">
        <v>0.4</v>
      </c>
      <c r="X790">
        <v>7.4</v>
      </c>
      <c r="Y790">
        <v>7.2</v>
      </c>
      <c r="Z790">
        <v>9</v>
      </c>
      <c r="AA790">
        <v>1.7</v>
      </c>
      <c r="AB790" t="s">
        <v>44</v>
      </c>
      <c r="AC790" t="s">
        <v>10</v>
      </c>
      <c r="AD790" t="s">
        <v>45</v>
      </c>
      <c r="AE790" t="str">
        <f t="shared" si="36"/>
        <v>35-44</v>
      </c>
      <c r="AF790" t="str">
        <f t="shared" si="37"/>
        <v>High Usage</v>
      </c>
      <c r="AG790" t="str">
        <f t="shared" si="38"/>
        <v>High Loneliness</v>
      </c>
    </row>
    <row r="791" spans="1:33" x14ac:dyDescent="0.3">
      <c r="A791" t="s">
        <v>835</v>
      </c>
      <c r="B791">
        <v>21</v>
      </c>
      <c r="C791" t="s">
        <v>1</v>
      </c>
      <c r="D791" t="s">
        <v>47</v>
      </c>
      <c r="E791" t="s">
        <v>15</v>
      </c>
      <c r="F791" t="s">
        <v>12</v>
      </c>
      <c r="G791" t="s">
        <v>17</v>
      </c>
      <c r="H791" t="s">
        <v>6</v>
      </c>
      <c r="I791" t="s">
        <v>29</v>
      </c>
      <c r="J791" t="s">
        <v>8</v>
      </c>
      <c r="K791" t="s">
        <v>25</v>
      </c>
      <c r="L791">
        <v>2.63</v>
      </c>
      <c r="M791">
        <v>2.7</v>
      </c>
      <c r="N791">
        <v>3.5</v>
      </c>
      <c r="O791">
        <v>9.06</v>
      </c>
      <c r="P791">
        <v>3</v>
      </c>
      <c r="Q791">
        <v>5.5</v>
      </c>
      <c r="R791">
        <v>7.3</v>
      </c>
      <c r="S791">
        <v>3.8</v>
      </c>
      <c r="T791" t="s">
        <v>39</v>
      </c>
      <c r="U791">
        <v>5.2</v>
      </c>
      <c r="V791">
        <v>1.1000000000000001</v>
      </c>
      <c r="W791">
        <v>5.4</v>
      </c>
      <c r="X791">
        <v>6</v>
      </c>
      <c r="Y791">
        <v>5.5</v>
      </c>
      <c r="Z791">
        <v>6.4</v>
      </c>
      <c r="AA791">
        <v>5.0999999999999996</v>
      </c>
      <c r="AB791" t="s">
        <v>44</v>
      </c>
      <c r="AC791" t="s">
        <v>10</v>
      </c>
      <c r="AD791" t="s">
        <v>45</v>
      </c>
      <c r="AE791" t="str">
        <f t="shared" si="36"/>
        <v>20-24</v>
      </c>
      <c r="AF791" t="str">
        <f t="shared" si="37"/>
        <v>Moderate Usage</v>
      </c>
      <c r="AG791" t="str">
        <f t="shared" si="38"/>
        <v>Moderate Loneliness</v>
      </c>
    </row>
    <row r="792" spans="1:33" x14ac:dyDescent="0.3">
      <c r="A792" t="s">
        <v>836</v>
      </c>
      <c r="B792">
        <v>28</v>
      </c>
      <c r="C792" t="s">
        <v>32</v>
      </c>
      <c r="D792" t="s">
        <v>14</v>
      </c>
      <c r="E792" t="s">
        <v>37</v>
      </c>
      <c r="F792" t="s">
        <v>45</v>
      </c>
      <c r="G792" t="s">
        <v>17</v>
      </c>
      <c r="H792" t="s">
        <v>18</v>
      </c>
      <c r="I792" t="s">
        <v>24</v>
      </c>
      <c r="J792" t="s">
        <v>38</v>
      </c>
      <c r="K792" t="s">
        <v>53</v>
      </c>
      <c r="L792">
        <v>1.1200000000000001</v>
      </c>
      <c r="M792">
        <v>6.04</v>
      </c>
      <c r="N792">
        <v>1.72</v>
      </c>
      <c r="O792">
        <v>5.61</v>
      </c>
      <c r="P792">
        <v>5</v>
      </c>
      <c r="Q792">
        <v>5</v>
      </c>
      <c r="R792">
        <v>4.5999999999999996</v>
      </c>
      <c r="S792">
        <v>6.3</v>
      </c>
      <c r="T792" t="s">
        <v>39</v>
      </c>
      <c r="U792">
        <v>7.3</v>
      </c>
      <c r="V792">
        <v>7.1</v>
      </c>
      <c r="W792">
        <v>4.5999999999999996</v>
      </c>
      <c r="X792">
        <v>1.5</v>
      </c>
      <c r="Y792">
        <v>4.0999999999999996</v>
      </c>
      <c r="Z792">
        <v>1</v>
      </c>
      <c r="AA792">
        <v>4.8</v>
      </c>
      <c r="AB792" t="s">
        <v>21</v>
      </c>
      <c r="AC792" t="s">
        <v>10</v>
      </c>
      <c r="AD792" t="s">
        <v>12</v>
      </c>
      <c r="AE792" t="str">
        <f t="shared" si="36"/>
        <v>25-34</v>
      </c>
      <c r="AF792" t="str">
        <f t="shared" si="37"/>
        <v>Low Usage</v>
      </c>
      <c r="AG792" t="str">
        <f t="shared" si="38"/>
        <v>Moderate Loneliness</v>
      </c>
    </row>
    <row r="793" spans="1:33" x14ac:dyDescent="0.3">
      <c r="A793" t="s">
        <v>837</v>
      </c>
      <c r="B793">
        <v>40</v>
      </c>
      <c r="C793" t="s">
        <v>32</v>
      </c>
      <c r="D793" t="s">
        <v>2</v>
      </c>
      <c r="E793" t="s">
        <v>3</v>
      </c>
      <c r="F793" t="s">
        <v>12</v>
      </c>
      <c r="G793" t="s">
        <v>17</v>
      </c>
      <c r="H793" t="s">
        <v>18</v>
      </c>
      <c r="I793" t="s">
        <v>29</v>
      </c>
      <c r="J793" t="s">
        <v>51</v>
      </c>
      <c r="K793" t="s">
        <v>1079</v>
      </c>
      <c r="L793">
        <v>2.7</v>
      </c>
      <c r="M793">
        <v>3.88</v>
      </c>
      <c r="N793">
        <v>4.32</v>
      </c>
      <c r="O793">
        <v>8.81</v>
      </c>
      <c r="P793">
        <v>1</v>
      </c>
      <c r="Q793">
        <v>6.3</v>
      </c>
      <c r="R793">
        <v>5.5</v>
      </c>
      <c r="S793">
        <v>7.7</v>
      </c>
      <c r="T793" t="s">
        <v>10</v>
      </c>
      <c r="U793">
        <v>7.2</v>
      </c>
      <c r="V793">
        <v>3.5</v>
      </c>
      <c r="W793">
        <v>2.1</v>
      </c>
      <c r="X793">
        <v>7.5</v>
      </c>
      <c r="Y793">
        <v>5.2</v>
      </c>
      <c r="Z793">
        <v>7.7</v>
      </c>
      <c r="AA793">
        <v>6.1</v>
      </c>
      <c r="AB793" t="s">
        <v>44</v>
      </c>
      <c r="AC793" t="s">
        <v>10</v>
      </c>
      <c r="AD793" t="s">
        <v>45</v>
      </c>
      <c r="AE793" t="str">
        <f t="shared" si="36"/>
        <v>35-44</v>
      </c>
      <c r="AF793" t="str">
        <f t="shared" si="37"/>
        <v>Moderate Usage</v>
      </c>
      <c r="AG793" t="str">
        <f t="shared" si="38"/>
        <v>High Loneliness</v>
      </c>
    </row>
    <row r="794" spans="1:33" x14ac:dyDescent="0.3">
      <c r="A794" t="s">
        <v>838</v>
      </c>
      <c r="B794">
        <v>19</v>
      </c>
      <c r="C794" t="s">
        <v>32</v>
      </c>
      <c r="D794" t="s">
        <v>14</v>
      </c>
      <c r="E794" t="s">
        <v>15</v>
      </c>
      <c r="F794" t="s">
        <v>16</v>
      </c>
      <c r="G794" t="s">
        <v>5</v>
      </c>
      <c r="H794" t="s">
        <v>28</v>
      </c>
      <c r="I794" t="s">
        <v>24</v>
      </c>
      <c r="J794" t="s">
        <v>20</v>
      </c>
      <c r="K794" t="s">
        <v>25</v>
      </c>
      <c r="L794">
        <v>2.48</v>
      </c>
      <c r="M794">
        <v>2.41</v>
      </c>
      <c r="N794">
        <v>4.08</v>
      </c>
      <c r="O794">
        <v>9.0299999999999994</v>
      </c>
      <c r="P794">
        <v>2</v>
      </c>
      <c r="Q794">
        <v>7.3</v>
      </c>
      <c r="R794">
        <v>5.3</v>
      </c>
      <c r="S794">
        <v>6.5</v>
      </c>
      <c r="T794" t="s">
        <v>10</v>
      </c>
      <c r="U794">
        <v>5.7</v>
      </c>
      <c r="V794">
        <v>8.9</v>
      </c>
      <c r="W794">
        <v>2.1</v>
      </c>
      <c r="X794">
        <v>6.5</v>
      </c>
      <c r="Y794">
        <v>5.7</v>
      </c>
      <c r="Z794">
        <v>3.8</v>
      </c>
      <c r="AA794">
        <v>3.7</v>
      </c>
      <c r="AB794" t="s">
        <v>44</v>
      </c>
      <c r="AC794" t="s">
        <v>10</v>
      </c>
      <c r="AD794" t="s">
        <v>22</v>
      </c>
      <c r="AE794" t="str">
        <f t="shared" si="36"/>
        <v>15-19</v>
      </c>
      <c r="AF794" t="str">
        <f t="shared" si="37"/>
        <v>Low Usage</v>
      </c>
      <c r="AG794" t="str">
        <f t="shared" si="38"/>
        <v>High Loneliness</v>
      </c>
    </row>
    <row r="795" spans="1:33" x14ac:dyDescent="0.3">
      <c r="A795" t="s">
        <v>839</v>
      </c>
      <c r="B795">
        <v>17</v>
      </c>
      <c r="C795" t="s">
        <v>32</v>
      </c>
      <c r="D795" t="s">
        <v>14</v>
      </c>
      <c r="E795" t="s">
        <v>37</v>
      </c>
      <c r="F795" t="s">
        <v>4</v>
      </c>
      <c r="G795" t="s">
        <v>17</v>
      </c>
      <c r="H795" t="s">
        <v>28</v>
      </c>
      <c r="I795" t="s">
        <v>29</v>
      </c>
      <c r="J795" t="s">
        <v>48</v>
      </c>
      <c r="K795" t="s">
        <v>30</v>
      </c>
      <c r="L795">
        <v>1.03</v>
      </c>
      <c r="M795">
        <v>5.16</v>
      </c>
      <c r="N795">
        <v>2.29</v>
      </c>
      <c r="O795">
        <v>6.28</v>
      </c>
      <c r="P795">
        <v>3</v>
      </c>
      <c r="Q795">
        <v>5.7</v>
      </c>
      <c r="R795">
        <v>1.9</v>
      </c>
      <c r="S795">
        <v>6.2</v>
      </c>
      <c r="T795" t="s">
        <v>10</v>
      </c>
      <c r="U795">
        <v>6.7</v>
      </c>
      <c r="V795">
        <v>8.1999999999999993</v>
      </c>
      <c r="W795">
        <v>6.4</v>
      </c>
      <c r="X795">
        <v>4.9000000000000004</v>
      </c>
      <c r="Y795">
        <v>3.2</v>
      </c>
      <c r="Z795">
        <v>7.2</v>
      </c>
      <c r="AA795">
        <v>7.1</v>
      </c>
      <c r="AB795" t="s">
        <v>21</v>
      </c>
      <c r="AC795" t="s">
        <v>39</v>
      </c>
      <c r="AD795" t="s">
        <v>22</v>
      </c>
      <c r="AE795" t="str">
        <f t="shared" si="36"/>
        <v>15-19</v>
      </c>
      <c r="AF795" t="str">
        <f t="shared" si="37"/>
        <v>Low Usage</v>
      </c>
      <c r="AG795" t="str">
        <f t="shared" si="38"/>
        <v>Moderate Loneliness</v>
      </c>
    </row>
    <row r="796" spans="1:33" x14ac:dyDescent="0.3">
      <c r="A796" t="s">
        <v>840</v>
      </c>
      <c r="B796">
        <v>37</v>
      </c>
      <c r="C796" t="s">
        <v>32</v>
      </c>
      <c r="D796" t="s">
        <v>14</v>
      </c>
      <c r="E796" t="s">
        <v>15</v>
      </c>
      <c r="F796" t="s">
        <v>12</v>
      </c>
      <c r="G796" t="s">
        <v>17</v>
      </c>
      <c r="H796" t="s">
        <v>33</v>
      </c>
      <c r="I796" t="s">
        <v>7</v>
      </c>
      <c r="J796" t="s">
        <v>20</v>
      </c>
      <c r="K796" t="s">
        <v>25</v>
      </c>
      <c r="L796">
        <v>0</v>
      </c>
      <c r="M796">
        <v>3.13</v>
      </c>
      <c r="N796">
        <v>1.88</v>
      </c>
      <c r="O796">
        <v>3.32</v>
      </c>
      <c r="P796">
        <v>4</v>
      </c>
      <c r="Q796">
        <v>4.5</v>
      </c>
      <c r="R796">
        <v>3.1</v>
      </c>
      <c r="S796">
        <v>7</v>
      </c>
      <c r="T796" t="s">
        <v>39</v>
      </c>
      <c r="U796">
        <v>6</v>
      </c>
      <c r="V796">
        <v>7.2</v>
      </c>
      <c r="W796">
        <v>3.2</v>
      </c>
      <c r="X796">
        <v>4.0999999999999996</v>
      </c>
      <c r="Y796">
        <v>3.3</v>
      </c>
      <c r="Z796">
        <v>2.7</v>
      </c>
      <c r="AA796">
        <v>6.1</v>
      </c>
      <c r="AB796" t="s">
        <v>21</v>
      </c>
      <c r="AC796" t="s">
        <v>10</v>
      </c>
      <c r="AD796" t="s">
        <v>12</v>
      </c>
      <c r="AE796" t="str">
        <f t="shared" si="36"/>
        <v>35-44</v>
      </c>
      <c r="AF796" t="str">
        <f t="shared" si="37"/>
        <v>Very Low Usage</v>
      </c>
      <c r="AG796" t="str">
        <f t="shared" si="38"/>
        <v>Moderate Loneliness</v>
      </c>
    </row>
    <row r="797" spans="1:33" x14ac:dyDescent="0.3">
      <c r="A797" t="s">
        <v>841</v>
      </c>
      <c r="B797">
        <v>43</v>
      </c>
      <c r="C797" t="s">
        <v>1</v>
      </c>
      <c r="D797" t="s">
        <v>2</v>
      </c>
      <c r="E797" t="s">
        <v>3</v>
      </c>
      <c r="F797" t="s">
        <v>4</v>
      </c>
      <c r="G797" t="s">
        <v>17</v>
      </c>
      <c r="H797" t="s">
        <v>18</v>
      </c>
      <c r="I797" t="s">
        <v>35</v>
      </c>
      <c r="J797" t="s">
        <v>51</v>
      </c>
      <c r="K797" t="s">
        <v>1079</v>
      </c>
      <c r="L797">
        <v>2.2799999999999998</v>
      </c>
      <c r="M797">
        <v>1.95</v>
      </c>
      <c r="N797">
        <v>3.75</v>
      </c>
      <c r="O797">
        <v>7.68</v>
      </c>
      <c r="P797">
        <v>2</v>
      </c>
      <c r="Q797">
        <v>5.2</v>
      </c>
      <c r="R797">
        <v>7.1</v>
      </c>
      <c r="S797">
        <v>1.8</v>
      </c>
      <c r="T797" t="s">
        <v>39</v>
      </c>
      <c r="U797">
        <v>5.3</v>
      </c>
      <c r="V797">
        <v>5.9</v>
      </c>
      <c r="W797">
        <v>3</v>
      </c>
      <c r="X797">
        <v>6</v>
      </c>
      <c r="Y797">
        <v>8.4</v>
      </c>
      <c r="Z797">
        <v>7.1</v>
      </c>
      <c r="AA797">
        <v>1.8</v>
      </c>
      <c r="AB797" t="s">
        <v>44</v>
      </c>
      <c r="AC797" t="s">
        <v>10</v>
      </c>
      <c r="AD797" t="s">
        <v>45</v>
      </c>
      <c r="AE797" t="str">
        <f t="shared" si="36"/>
        <v>35-44</v>
      </c>
      <c r="AF797" t="str">
        <f t="shared" si="37"/>
        <v>Low Usage</v>
      </c>
      <c r="AG797" t="str">
        <f t="shared" si="38"/>
        <v>Moderate Loneliness</v>
      </c>
    </row>
    <row r="798" spans="1:33" x14ac:dyDescent="0.3">
      <c r="A798" t="s">
        <v>842</v>
      </c>
      <c r="B798">
        <v>25</v>
      </c>
      <c r="C798" t="s">
        <v>89</v>
      </c>
      <c r="D798" t="s">
        <v>2</v>
      </c>
      <c r="E798" t="s">
        <v>3</v>
      </c>
      <c r="F798" t="s">
        <v>16</v>
      </c>
      <c r="G798" t="s">
        <v>17</v>
      </c>
      <c r="H798" t="s">
        <v>18</v>
      </c>
      <c r="I798" t="s">
        <v>19</v>
      </c>
      <c r="J798" t="s">
        <v>20</v>
      </c>
      <c r="K798" t="s">
        <v>25</v>
      </c>
      <c r="L798">
        <v>2.38</v>
      </c>
      <c r="M798">
        <v>4.13</v>
      </c>
      <c r="N798">
        <v>1.76</v>
      </c>
      <c r="O798">
        <v>6.58</v>
      </c>
      <c r="P798">
        <v>4</v>
      </c>
      <c r="Q798">
        <v>2.6</v>
      </c>
      <c r="R798">
        <v>4.5999999999999996</v>
      </c>
      <c r="S798">
        <v>5.8</v>
      </c>
      <c r="T798" t="s">
        <v>10</v>
      </c>
      <c r="U798">
        <v>8.1999999999999993</v>
      </c>
      <c r="V798">
        <v>7.4</v>
      </c>
      <c r="W798">
        <v>5.3</v>
      </c>
      <c r="X798">
        <v>4.0999999999999996</v>
      </c>
      <c r="Y798">
        <v>4.7</v>
      </c>
      <c r="Z798">
        <v>5.3</v>
      </c>
      <c r="AA798">
        <v>6.2</v>
      </c>
      <c r="AB798" t="s">
        <v>21</v>
      </c>
      <c r="AC798" t="s">
        <v>10</v>
      </c>
      <c r="AD798" t="s">
        <v>12</v>
      </c>
      <c r="AE798" t="str">
        <f t="shared" si="36"/>
        <v>25-34</v>
      </c>
      <c r="AF798" t="str">
        <f t="shared" si="37"/>
        <v>Low Usage</v>
      </c>
      <c r="AG798" t="str">
        <f t="shared" si="38"/>
        <v>Low Loneliness</v>
      </c>
    </row>
    <row r="799" spans="1:33" x14ac:dyDescent="0.3">
      <c r="A799" t="s">
        <v>843</v>
      </c>
      <c r="B799">
        <v>25</v>
      </c>
      <c r="C799" t="s">
        <v>89</v>
      </c>
      <c r="D799" t="s">
        <v>14</v>
      </c>
      <c r="E799" t="s">
        <v>15</v>
      </c>
      <c r="F799" t="s">
        <v>4</v>
      </c>
      <c r="G799" t="s">
        <v>66</v>
      </c>
      <c r="H799" t="s">
        <v>28</v>
      </c>
      <c r="I799" t="s">
        <v>19</v>
      </c>
      <c r="J799" t="s">
        <v>51</v>
      </c>
      <c r="K799" t="s">
        <v>1079</v>
      </c>
      <c r="L799">
        <v>2.1800000000000002</v>
      </c>
      <c r="M799">
        <v>2.58</v>
      </c>
      <c r="N799">
        <v>2.61</v>
      </c>
      <c r="O799">
        <v>5</v>
      </c>
      <c r="P799">
        <v>0</v>
      </c>
      <c r="Q799">
        <v>4.8</v>
      </c>
      <c r="R799">
        <v>6</v>
      </c>
      <c r="S799">
        <v>4.7</v>
      </c>
      <c r="T799" t="s">
        <v>10</v>
      </c>
      <c r="U799">
        <v>7.3</v>
      </c>
      <c r="V799">
        <v>4.5999999999999996</v>
      </c>
      <c r="W799">
        <v>4.5</v>
      </c>
      <c r="X799">
        <v>4.4000000000000004</v>
      </c>
      <c r="Y799">
        <v>3.1</v>
      </c>
      <c r="Z799">
        <v>5.9</v>
      </c>
      <c r="AA799">
        <v>6.6</v>
      </c>
      <c r="AB799" t="s">
        <v>21</v>
      </c>
      <c r="AC799" t="s">
        <v>39</v>
      </c>
      <c r="AD799" t="s">
        <v>22</v>
      </c>
      <c r="AE799" t="str">
        <f t="shared" si="36"/>
        <v>25-34</v>
      </c>
      <c r="AF799" t="str">
        <f t="shared" si="37"/>
        <v>Low Usage</v>
      </c>
      <c r="AG799" t="str">
        <f t="shared" si="38"/>
        <v>Moderate Loneliness</v>
      </c>
    </row>
    <row r="800" spans="1:33" x14ac:dyDescent="0.3">
      <c r="A800" t="s">
        <v>844</v>
      </c>
      <c r="B800">
        <v>32</v>
      </c>
      <c r="C800" t="s">
        <v>32</v>
      </c>
      <c r="D800" t="s">
        <v>14</v>
      </c>
      <c r="E800" t="s">
        <v>15</v>
      </c>
      <c r="F800" t="s">
        <v>12</v>
      </c>
      <c r="G800" t="s">
        <v>43</v>
      </c>
      <c r="H800" t="s">
        <v>33</v>
      </c>
      <c r="I800" t="s">
        <v>29</v>
      </c>
      <c r="J800" t="s">
        <v>20</v>
      </c>
      <c r="K800" t="s">
        <v>53</v>
      </c>
      <c r="L800">
        <v>4.8499999999999996</v>
      </c>
      <c r="M800">
        <v>3.52</v>
      </c>
      <c r="N800">
        <v>3.41</v>
      </c>
      <c r="O800">
        <v>10.73</v>
      </c>
      <c r="P800">
        <v>3</v>
      </c>
      <c r="Q800">
        <v>8</v>
      </c>
      <c r="R800">
        <v>8.6</v>
      </c>
      <c r="S800">
        <v>4.2</v>
      </c>
      <c r="T800" t="s">
        <v>39</v>
      </c>
      <c r="U800">
        <v>8</v>
      </c>
      <c r="V800">
        <v>3.2</v>
      </c>
      <c r="W800">
        <v>1.5</v>
      </c>
      <c r="X800">
        <v>6.8</v>
      </c>
      <c r="Y800">
        <v>6.5</v>
      </c>
      <c r="Z800">
        <v>7.8</v>
      </c>
      <c r="AA800">
        <v>1</v>
      </c>
      <c r="AB800" t="s">
        <v>44</v>
      </c>
      <c r="AC800" t="s">
        <v>10</v>
      </c>
      <c r="AD800" t="s">
        <v>45</v>
      </c>
      <c r="AE800" t="str">
        <f t="shared" si="36"/>
        <v>25-34</v>
      </c>
      <c r="AF800" t="str">
        <f t="shared" si="37"/>
        <v>High Usage</v>
      </c>
      <c r="AG800" t="str">
        <f t="shared" si="38"/>
        <v>High Loneliness</v>
      </c>
    </row>
    <row r="801" spans="1:33" x14ac:dyDescent="0.3">
      <c r="A801" t="s">
        <v>845</v>
      </c>
      <c r="B801">
        <v>29</v>
      </c>
      <c r="C801" t="s">
        <v>1</v>
      </c>
      <c r="D801" t="s">
        <v>2</v>
      </c>
      <c r="E801" t="s">
        <v>59</v>
      </c>
      <c r="F801" t="s">
        <v>4</v>
      </c>
      <c r="G801" t="s">
        <v>17</v>
      </c>
      <c r="H801" t="s">
        <v>28</v>
      </c>
      <c r="I801" t="s">
        <v>29</v>
      </c>
      <c r="J801" t="s">
        <v>38</v>
      </c>
      <c r="K801" t="s">
        <v>30</v>
      </c>
      <c r="L801">
        <v>3.96</v>
      </c>
      <c r="M801">
        <v>3.49</v>
      </c>
      <c r="N801">
        <v>4.93</v>
      </c>
      <c r="O801">
        <v>9.77</v>
      </c>
      <c r="P801">
        <v>0</v>
      </c>
      <c r="Q801">
        <v>10</v>
      </c>
      <c r="R801">
        <v>10</v>
      </c>
      <c r="S801">
        <v>1</v>
      </c>
      <c r="T801" t="s">
        <v>10</v>
      </c>
      <c r="U801">
        <v>4.5999999999999996</v>
      </c>
      <c r="V801">
        <v>3.2</v>
      </c>
      <c r="W801">
        <v>2.2000000000000002</v>
      </c>
      <c r="X801">
        <v>9.1</v>
      </c>
      <c r="Y801">
        <v>8.8000000000000007</v>
      </c>
      <c r="Z801">
        <v>9.5</v>
      </c>
      <c r="AA801">
        <v>1</v>
      </c>
      <c r="AB801" t="s">
        <v>44</v>
      </c>
      <c r="AC801" t="s">
        <v>39</v>
      </c>
      <c r="AD801" t="s">
        <v>45</v>
      </c>
      <c r="AE801" t="str">
        <f t="shared" si="36"/>
        <v>25-34</v>
      </c>
      <c r="AF801" t="str">
        <f t="shared" si="37"/>
        <v>Moderate Usage</v>
      </c>
      <c r="AG801" t="str">
        <f t="shared" si="38"/>
        <v>High Loneliness</v>
      </c>
    </row>
    <row r="802" spans="1:33" x14ac:dyDescent="0.3">
      <c r="A802" t="s">
        <v>846</v>
      </c>
      <c r="B802">
        <v>26</v>
      </c>
      <c r="C802" t="s">
        <v>32</v>
      </c>
      <c r="D802" t="s">
        <v>14</v>
      </c>
      <c r="E802" t="s">
        <v>15</v>
      </c>
      <c r="F802" t="s">
        <v>45</v>
      </c>
      <c r="G802" t="s">
        <v>5</v>
      </c>
      <c r="H802" t="s">
        <v>28</v>
      </c>
      <c r="I802" t="s">
        <v>29</v>
      </c>
      <c r="J802" t="s">
        <v>20</v>
      </c>
      <c r="K802" t="s">
        <v>9</v>
      </c>
      <c r="L802">
        <v>0.79</v>
      </c>
      <c r="M802">
        <v>4.28</v>
      </c>
      <c r="N802">
        <v>1.52</v>
      </c>
      <c r="O802">
        <v>5.25</v>
      </c>
      <c r="P802">
        <v>3</v>
      </c>
      <c r="Q802">
        <v>4.2</v>
      </c>
      <c r="R802">
        <v>2.2000000000000002</v>
      </c>
      <c r="S802">
        <v>9.1999999999999993</v>
      </c>
      <c r="T802" t="s">
        <v>10</v>
      </c>
      <c r="U802">
        <v>8.6999999999999993</v>
      </c>
      <c r="V802">
        <v>6.3</v>
      </c>
      <c r="W802">
        <v>4.9000000000000004</v>
      </c>
      <c r="X802">
        <v>4.8</v>
      </c>
      <c r="Y802">
        <v>3.2</v>
      </c>
      <c r="Z802">
        <v>3.6</v>
      </c>
      <c r="AA802">
        <v>8.5</v>
      </c>
      <c r="AB802" t="s">
        <v>21</v>
      </c>
      <c r="AC802" t="s">
        <v>10</v>
      </c>
      <c r="AD802" t="s">
        <v>12</v>
      </c>
      <c r="AE802" t="str">
        <f t="shared" si="36"/>
        <v>25-34</v>
      </c>
      <c r="AF802" t="str">
        <f t="shared" si="37"/>
        <v>Very Low Usage</v>
      </c>
      <c r="AG802" t="str">
        <f t="shared" si="38"/>
        <v>Moderate Loneliness</v>
      </c>
    </row>
    <row r="803" spans="1:33" x14ac:dyDescent="0.3">
      <c r="A803" t="s">
        <v>847</v>
      </c>
      <c r="B803">
        <v>23</v>
      </c>
      <c r="C803" t="s">
        <v>1</v>
      </c>
      <c r="D803" t="s">
        <v>14</v>
      </c>
      <c r="E803" t="s">
        <v>37</v>
      </c>
      <c r="F803" t="s">
        <v>4</v>
      </c>
      <c r="G803" t="s">
        <v>43</v>
      </c>
      <c r="H803" t="s">
        <v>18</v>
      </c>
      <c r="I803" t="s">
        <v>24</v>
      </c>
      <c r="J803" t="s">
        <v>20</v>
      </c>
      <c r="K803" t="s">
        <v>1079</v>
      </c>
      <c r="L803">
        <v>2.14</v>
      </c>
      <c r="M803">
        <v>3.59</v>
      </c>
      <c r="N803">
        <v>2.8</v>
      </c>
      <c r="O803">
        <v>9.09</v>
      </c>
      <c r="P803">
        <v>6</v>
      </c>
      <c r="Q803">
        <v>7.7</v>
      </c>
      <c r="R803">
        <v>4</v>
      </c>
      <c r="S803">
        <v>6.4</v>
      </c>
      <c r="T803" t="s">
        <v>10</v>
      </c>
      <c r="U803">
        <v>6.5</v>
      </c>
      <c r="V803">
        <v>7.4</v>
      </c>
      <c r="W803">
        <v>1.7</v>
      </c>
      <c r="X803">
        <v>6.5</v>
      </c>
      <c r="Y803">
        <v>4.5999999999999996</v>
      </c>
      <c r="Z803">
        <v>4.4000000000000004</v>
      </c>
      <c r="AA803">
        <v>6.9</v>
      </c>
      <c r="AB803" t="s">
        <v>21</v>
      </c>
      <c r="AC803" t="s">
        <v>39</v>
      </c>
      <c r="AD803" t="s">
        <v>22</v>
      </c>
      <c r="AE803" t="str">
        <f t="shared" si="36"/>
        <v>20-24</v>
      </c>
      <c r="AF803" t="str">
        <f t="shared" si="37"/>
        <v>Low Usage</v>
      </c>
      <c r="AG803" t="str">
        <f t="shared" si="38"/>
        <v>High Loneliness</v>
      </c>
    </row>
    <row r="804" spans="1:33" x14ac:dyDescent="0.3">
      <c r="A804" t="s">
        <v>848</v>
      </c>
      <c r="B804">
        <v>24</v>
      </c>
      <c r="C804" t="s">
        <v>1</v>
      </c>
      <c r="D804" t="s">
        <v>14</v>
      </c>
      <c r="E804" t="s">
        <v>15</v>
      </c>
      <c r="F804" t="s">
        <v>12</v>
      </c>
      <c r="G804" t="s">
        <v>17</v>
      </c>
      <c r="H804" t="s">
        <v>28</v>
      </c>
      <c r="I804" t="s">
        <v>19</v>
      </c>
      <c r="J804" t="s">
        <v>51</v>
      </c>
      <c r="K804" t="s">
        <v>1079</v>
      </c>
      <c r="L804">
        <v>1.1399999999999999</v>
      </c>
      <c r="M804">
        <v>3.79</v>
      </c>
      <c r="N804">
        <v>3.39</v>
      </c>
      <c r="O804">
        <v>5.84</v>
      </c>
      <c r="P804">
        <v>1</v>
      </c>
      <c r="Q804">
        <v>3.4</v>
      </c>
      <c r="R804">
        <v>3.5</v>
      </c>
      <c r="S804">
        <v>4.7</v>
      </c>
      <c r="T804" t="s">
        <v>10</v>
      </c>
      <c r="U804">
        <v>6.5</v>
      </c>
      <c r="V804">
        <v>7.2</v>
      </c>
      <c r="W804">
        <v>5.7</v>
      </c>
      <c r="X804">
        <v>3.6</v>
      </c>
      <c r="Y804">
        <v>4.2</v>
      </c>
      <c r="Z804">
        <v>4.3</v>
      </c>
      <c r="AA804">
        <v>6.4</v>
      </c>
      <c r="AB804" t="s">
        <v>21</v>
      </c>
      <c r="AC804" t="s">
        <v>39</v>
      </c>
      <c r="AD804" t="s">
        <v>12</v>
      </c>
      <c r="AE804" t="str">
        <f t="shared" si="36"/>
        <v>20-24</v>
      </c>
      <c r="AF804" t="str">
        <f t="shared" si="37"/>
        <v>Low Usage</v>
      </c>
      <c r="AG804" t="str">
        <f t="shared" si="38"/>
        <v>Moderate Loneliness</v>
      </c>
    </row>
    <row r="805" spans="1:33" x14ac:dyDescent="0.3">
      <c r="A805" t="s">
        <v>849</v>
      </c>
      <c r="B805">
        <v>40</v>
      </c>
      <c r="C805" t="s">
        <v>1</v>
      </c>
      <c r="D805" t="s">
        <v>47</v>
      </c>
      <c r="E805" t="s">
        <v>15</v>
      </c>
      <c r="F805" t="s">
        <v>4</v>
      </c>
      <c r="G805" t="s">
        <v>43</v>
      </c>
      <c r="H805" t="s">
        <v>28</v>
      </c>
      <c r="I805" t="s">
        <v>35</v>
      </c>
      <c r="J805" t="s">
        <v>51</v>
      </c>
      <c r="K805" t="s">
        <v>30</v>
      </c>
      <c r="L805">
        <v>1.24</v>
      </c>
      <c r="M805">
        <v>3.34</v>
      </c>
      <c r="N805">
        <v>2.2200000000000002</v>
      </c>
      <c r="O805">
        <v>4.0999999999999996</v>
      </c>
      <c r="P805">
        <v>1</v>
      </c>
      <c r="Q805">
        <v>5.4</v>
      </c>
      <c r="R805">
        <v>5.2</v>
      </c>
      <c r="S805">
        <v>5.8</v>
      </c>
      <c r="T805" t="s">
        <v>39</v>
      </c>
      <c r="U805">
        <v>9.4</v>
      </c>
      <c r="V805">
        <v>6</v>
      </c>
      <c r="W805">
        <v>3</v>
      </c>
      <c r="X805">
        <v>4.5</v>
      </c>
      <c r="Y805">
        <v>4.2</v>
      </c>
      <c r="Z805">
        <v>5.3</v>
      </c>
      <c r="AA805">
        <v>6.9</v>
      </c>
      <c r="AB805" t="s">
        <v>21</v>
      </c>
      <c r="AC805" t="s">
        <v>10</v>
      </c>
      <c r="AD805" t="s">
        <v>12</v>
      </c>
      <c r="AE805" t="str">
        <f t="shared" si="36"/>
        <v>35-44</v>
      </c>
      <c r="AF805" t="str">
        <f t="shared" si="37"/>
        <v>Low Usage</v>
      </c>
      <c r="AG805" t="str">
        <f t="shared" si="38"/>
        <v>Moderate Loneliness</v>
      </c>
    </row>
    <row r="806" spans="1:33" x14ac:dyDescent="0.3">
      <c r="A806" t="s">
        <v>850</v>
      </c>
      <c r="B806">
        <v>26</v>
      </c>
      <c r="C806" t="s">
        <v>32</v>
      </c>
      <c r="D806" t="s">
        <v>14</v>
      </c>
      <c r="E806" t="s">
        <v>37</v>
      </c>
      <c r="F806" t="s">
        <v>12</v>
      </c>
      <c r="G806" t="s">
        <v>43</v>
      </c>
      <c r="H806" t="s">
        <v>33</v>
      </c>
      <c r="I806" t="s">
        <v>19</v>
      </c>
      <c r="J806" t="s">
        <v>20</v>
      </c>
      <c r="K806" t="s">
        <v>1079</v>
      </c>
      <c r="L806">
        <v>1.75</v>
      </c>
      <c r="M806">
        <v>3.85</v>
      </c>
      <c r="N806">
        <v>2.06</v>
      </c>
      <c r="O806">
        <v>5.64</v>
      </c>
      <c r="P806">
        <v>7</v>
      </c>
      <c r="Q806">
        <v>5.3</v>
      </c>
      <c r="R806">
        <v>7.6</v>
      </c>
      <c r="S806">
        <v>6.2</v>
      </c>
      <c r="T806" t="s">
        <v>10</v>
      </c>
      <c r="U806">
        <v>6</v>
      </c>
      <c r="V806">
        <v>6</v>
      </c>
      <c r="W806">
        <v>3.3</v>
      </c>
      <c r="X806">
        <v>5.5</v>
      </c>
      <c r="Y806">
        <v>2.1</v>
      </c>
      <c r="Z806">
        <v>3.5</v>
      </c>
      <c r="AA806">
        <v>5.8</v>
      </c>
      <c r="AB806" t="s">
        <v>21</v>
      </c>
      <c r="AC806" t="s">
        <v>10</v>
      </c>
      <c r="AD806" t="s">
        <v>12</v>
      </c>
      <c r="AE806" t="str">
        <f t="shared" si="36"/>
        <v>25-34</v>
      </c>
      <c r="AF806" t="str">
        <f t="shared" si="37"/>
        <v>Low Usage</v>
      </c>
      <c r="AG806" t="str">
        <f t="shared" si="38"/>
        <v>Moderate Loneliness</v>
      </c>
    </row>
    <row r="807" spans="1:33" x14ac:dyDescent="0.3">
      <c r="A807" t="s">
        <v>851</v>
      </c>
      <c r="B807">
        <v>31</v>
      </c>
      <c r="C807" t="s">
        <v>32</v>
      </c>
      <c r="D807" t="s">
        <v>14</v>
      </c>
      <c r="E807" t="s">
        <v>37</v>
      </c>
      <c r="F807" t="s">
        <v>16</v>
      </c>
      <c r="G807" t="s">
        <v>17</v>
      </c>
      <c r="H807" t="s">
        <v>33</v>
      </c>
      <c r="I807" t="s">
        <v>24</v>
      </c>
      <c r="J807" t="s">
        <v>8</v>
      </c>
      <c r="K807" t="s">
        <v>25</v>
      </c>
      <c r="L807">
        <v>0.51</v>
      </c>
      <c r="M807">
        <v>3.22</v>
      </c>
      <c r="N807">
        <v>2.72</v>
      </c>
      <c r="O807">
        <v>4.96</v>
      </c>
      <c r="P807">
        <v>5</v>
      </c>
      <c r="Q807">
        <v>4.2</v>
      </c>
      <c r="R807">
        <v>1.9</v>
      </c>
      <c r="S807">
        <v>7.7</v>
      </c>
      <c r="T807" t="s">
        <v>10</v>
      </c>
      <c r="U807">
        <v>8.8000000000000007</v>
      </c>
      <c r="V807">
        <v>8.4</v>
      </c>
      <c r="W807">
        <v>5.0999999999999996</v>
      </c>
      <c r="X807">
        <v>2.2999999999999998</v>
      </c>
      <c r="Y807">
        <v>4.5999999999999996</v>
      </c>
      <c r="Z807">
        <v>4.5</v>
      </c>
      <c r="AA807">
        <v>7.1</v>
      </c>
      <c r="AB807" t="s">
        <v>21</v>
      </c>
      <c r="AC807" t="s">
        <v>10</v>
      </c>
      <c r="AD807" t="s">
        <v>12</v>
      </c>
      <c r="AE807" t="str">
        <f t="shared" si="36"/>
        <v>25-34</v>
      </c>
      <c r="AF807" t="str">
        <f t="shared" si="37"/>
        <v>Very Low Usage</v>
      </c>
      <c r="AG807" t="str">
        <f t="shared" si="38"/>
        <v>Moderate Loneliness</v>
      </c>
    </row>
    <row r="808" spans="1:33" x14ac:dyDescent="0.3">
      <c r="A808" t="s">
        <v>852</v>
      </c>
      <c r="B808">
        <v>43</v>
      </c>
      <c r="C808" t="s">
        <v>32</v>
      </c>
      <c r="D808" t="s">
        <v>14</v>
      </c>
      <c r="E808" t="s">
        <v>3</v>
      </c>
      <c r="F808" t="s">
        <v>16</v>
      </c>
      <c r="G808" t="s">
        <v>17</v>
      </c>
      <c r="H808" t="s">
        <v>6</v>
      </c>
      <c r="I808" t="s">
        <v>19</v>
      </c>
      <c r="J808" t="s">
        <v>20</v>
      </c>
      <c r="K808" t="s">
        <v>25</v>
      </c>
      <c r="L808">
        <v>0.28000000000000003</v>
      </c>
      <c r="M808">
        <v>5.71</v>
      </c>
      <c r="N808">
        <v>1.42</v>
      </c>
      <c r="O808">
        <v>4.3600000000000003</v>
      </c>
      <c r="P808">
        <v>5</v>
      </c>
      <c r="Q808">
        <v>4.3</v>
      </c>
      <c r="R808">
        <v>2.2999999999999998</v>
      </c>
      <c r="S808">
        <v>8.6999999999999993</v>
      </c>
      <c r="T808" t="s">
        <v>10</v>
      </c>
      <c r="U808">
        <v>7.9</v>
      </c>
      <c r="V808">
        <v>9.6999999999999993</v>
      </c>
      <c r="W808">
        <v>4.7</v>
      </c>
      <c r="X808">
        <v>2</v>
      </c>
      <c r="Y808">
        <v>1.1000000000000001</v>
      </c>
      <c r="Z808">
        <v>2.7</v>
      </c>
      <c r="AA808">
        <v>9.6999999999999993</v>
      </c>
      <c r="AB808" t="s">
        <v>21</v>
      </c>
      <c r="AC808" t="s">
        <v>39</v>
      </c>
      <c r="AD808" t="s">
        <v>12</v>
      </c>
      <c r="AE808" t="str">
        <f t="shared" si="36"/>
        <v>35-44</v>
      </c>
      <c r="AF808" t="str">
        <f t="shared" si="37"/>
        <v>Very Low Usage</v>
      </c>
      <c r="AG808" t="str">
        <f t="shared" si="38"/>
        <v>Moderate Loneliness</v>
      </c>
    </row>
    <row r="809" spans="1:33" x14ac:dyDescent="0.3">
      <c r="A809" t="s">
        <v>853</v>
      </c>
      <c r="B809">
        <v>20</v>
      </c>
      <c r="C809" t="s">
        <v>32</v>
      </c>
      <c r="D809" t="s">
        <v>41</v>
      </c>
      <c r="E809" t="s">
        <v>37</v>
      </c>
      <c r="F809" t="s">
        <v>4</v>
      </c>
      <c r="G809" t="s">
        <v>66</v>
      </c>
      <c r="H809" t="s">
        <v>18</v>
      </c>
      <c r="I809" t="s">
        <v>19</v>
      </c>
      <c r="J809" t="s">
        <v>38</v>
      </c>
      <c r="K809" t="s">
        <v>53</v>
      </c>
      <c r="L809">
        <v>2.36</v>
      </c>
      <c r="M809">
        <v>3.98</v>
      </c>
      <c r="N809">
        <v>3.89</v>
      </c>
      <c r="O809">
        <v>8.48</v>
      </c>
      <c r="P809">
        <v>2</v>
      </c>
      <c r="Q809">
        <v>10</v>
      </c>
      <c r="R809">
        <v>10</v>
      </c>
      <c r="S809">
        <v>3.6</v>
      </c>
      <c r="T809" t="s">
        <v>39</v>
      </c>
      <c r="U809">
        <v>4.8</v>
      </c>
      <c r="V809">
        <v>3.9</v>
      </c>
      <c r="W809">
        <v>3</v>
      </c>
      <c r="X809">
        <v>8.4</v>
      </c>
      <c r="Y809">
        <v>8</v>
      </c>
      <c r="Z809">
        <v>9</v>
      </c>
      <c r="AA809">
        <v>2.2000000000000002</v>
      </c>
      <c r="AB809" t="s">
        <v>44</v>
      </c>
      <c r="AC809" t="s">
        <v>39</v>
      </c>
      <c r="AD809" t="s">
        <v>45</v>
      </c>
      <c r="AE809" t="str">
        <f t="shared" si="36"/>
        <v>20-24</v>
      </c>
      <c r="AF809" t="str">
        <f t="shared" si="37"/>
        <v>Low Usage</v>
      </c>
      <c r="AG809" t="str">
        <f t="shared" si="38"/>
        <v>High Loneliness</v>
      </c>
    </row>
    <row r="810" spans="1:33" x14ac:dyDescent="0.3">
      <c r="A810" t="s">
        <v>854</v>
      </c>
      <c r="B810">
        <v>21</v>
      </c>
      <c r="C810" t="s">
        <v>1</v>
      </c>
      <c r="D810" t="s">
        <v>2</v>
      </c>
      <c r="E810" t="s">
        <v>15</v>
      </c>
      <c r="F810" t="s">
        <v>4</v>
      </c>
      <c r="G810" t="s">
        <v>5</v>
      </c>
      <c r="H810" t="s">
        <v>28</v>
      </c>
      <c r="I810" t="s">
        <v>29</v>
      </c>
      <c r="J810" t="s">
        <v>48</v>
      </c>
      <c r="K810" t="s">
        <v>9</v>
      </c>
      <c r="L810">
        <v>3.61</v>
      </c>
      <c r="M810">
        <v>1.32</v>
      </c>
      <c r="N810">
        <v>4.49</v>
      </c>
      <c r="O810">
        <v>9.8000000000000007</v>
      </c>
      <c r="P810">
        <v>3</v>
      </c>
      <c r="Q810">
        <v>6.4</v>
      </c>
      <c r="R810">
        <v>4.9000000000000004</v>
      </c>
      <c r="S810">
        <v>5.8</v>
      </c>
      <c r="T810" t="s">
        <v>10</v>
      </c>
      <c r="U810">
        <v>5.3</v>
      </c>
      <c r="V810">
        <v>5.4</v>
      </c>
      <c r="W810">
        <v>1.6</v>
      </c>
      <c r="X810">
        <v>5.6</v>
      </c>
      <c r="Y810">
        <v>5.6</v>
      </c>
      <c r="Z810">
        <v>5.7</v>
      </c>
      <c r="AA810">
        <v>4.8</v>
      </c>
      <c r="AB810" t="s">
        <v>21</v>
      </c>
      <c r="AC810" t="s">
        <v>10</v>
      </c>
      <c r="AD810" t="s">
        <v>22</v>
      </c>
      <c r="AE810" t="str">
        <f t="shared" si="36"/>
        <v>20-24</v>
      </c>
      <c r="AF810" t="str">
        <f t="shared" si="37"/>
        <v>Moderate Usage</v>
      </c>
      <c r="AG810" t="str">
        <f t="shared" si="38"/>
        <v>High Loneliness</v>
      </c>
    </row>
    <row r="811" spans="1:33" x14ac:dyDescent="0.3">
      <c r="A811" t="s">
        <v>855</v>
      </c>
      <c r="B811">
        <v>28</v>
      </c>
      <c r="C811" t="s">
        <v>1</v>
      </c>
      <c r="D811" t="s">
        <v>2</v>
      </c>
      <c r="E811" t="s">
        <v>37</v>
      </c>
      <c r="F811" t="s">
        <v>16</v>
      </c>
      <c r="G811" t="s">
        <v>17</v>
      </c>
      <c r="H811" t="s">
        <v>28</v>
      </c>
      <c r="I811" t="s">
        <v>19</v>
      </c>
      <c r="J811" t="s">
        <v>51</v>
      </c>
      <c r="K811" t="s">
        <v>25</v>
      </c>
      <c r="L811">
        <v>0.19</v>
      </c>
      <c r="M811">
        <v>3.29</v>
      </c>
      <c r="N811">
        <v>1.52</v>
      </c>
      <c r="O811">
        <v>3.8</v>
      </c>
      <c r="P811">
        <v>5</v>
      </c>
      <c r="Q811">
        <v>5.0999999999999996</v>
      </c>
      <c r="R811">
        <v>4</v>
      </c>
      <c r="S811">
        <v>7.9</v>
      </c>
      <c r="T811" t="s">
        <v>10</v>
      </c>
      <c r="U811">
        <v>7.4</v>
      </c>
      <c r="V811">
        <v>8</v>
      </c>
      <c r="W811">
        <v>3.6</v>
      </c>
      <c r="X811">
        <v>4.4000000000000004</v>
      </c>
      <c r="Y811">
        <v>2.2000000000000002</v>
      </c>
      <c r="Z811">
        <v>5</v>
      </c>
      <c r="AA811">
        <v>7.8</v>
      </c>
      <c r="AB811" t="s">
        <v>11</v>
      </c>
      <c r="AC811" t="s">
        <v>10</v>
      </c>
      <c r="AD811" t="s">
        <v>12</v>
      </c>
      <c r="AE811" t="str">
        <f t="shared" si="36"/>
        <v>25-34</v>
      </c>
      <c r="AF811" t="str">
        <f t="shared" si="37"/>
        <v>Very Low Usage</v>
      </c>
      <c r="AG811" t="str">
        <f t="shared" si="38"/>
        <v>Moderate Loneliness</v>
      </c>
    </row>
    <row r="812" spans="1:33" x14ac:dyDescent="0.3">
      <c r="A812" t="s">
        <v>856</v>
      </c>
      <c r="B812">
        <v>27</v>
      </c>
      <c r="C812" t="s">
        <v>1</v>
      </c>
      <c r="D812" t="s">
        <v>14</v>
      </c>
      <c r="E812" t="s">
        <v>3</v>
      </c>
      <c r="F812" t="s">
        <v>4</v>
      </c>
      <c r="G812" t="s">
        <v>17</v>
      </c>
      <c r="H812" t="s">
        <v>6</v>
      </c>
      <c r="I812" t="s">
        <v>19</v>
      </c>
      <c r="J812" t="s">
        <v>8</v>
      </c>
      <c r="K812" t="s">
        <v>25</v>
      </c>
      <c r="L812">
        <v>0.37</v>
      </c>
      <c r="M812">
        <v>3.07</v>
      </c>
      <c r="N812">
        <v>0.94</v>
      </c>
      <c r="O812">
        <v>2.2000000000000002</v>
      </c>
      <c r="P812">
        <v>4</v>
      </c>
      <c r="Q812">
        <v>6.2</v>
      </c>
      <c r="R812">
        <v>5.0999999999999996</v>
      </c>
      <c r="S812">
        <v>4.8</v>
      </c>
      <c r="T812" t="s">
        <v>10</v>
      </c>
      <c r="U812">
        <v>5.7</v>
      </c>
      <c r="V812">
        <v>3.3</v>
      </c>
      <c r="W812">
        <v>5.3</v>
      </c>
      <c r="X812">
        <v>5.4</v>
      </c>
      <c r="Y812">
        <v>4.5999999999999996</v>
      </c>
      <c r="Z812">
        <v>6.4</v>
      </c>
      <c r="AA812">
        <v>4.3</v>
      </c>
      <c r="AB812" t="s">
        <v>21</v>
      </c>
      <c r="AC812" t="s">
        <v>10</v>
      </c>
      <c r="AD812" t="s">
        <v>45</v>
      </c>
      <c r="AE812" t="str">
        <f t="shared" si="36"/>
        <v>25-34</v>
      </c>
      <c r="AF812" t="str">
        <f t="shared" si="37"/>
        <v>Very Low Usage</v>
      </c>
      <c r="AG812" t="str">
        <f t="shared" si="38"/>
        <v>High Loneliness</v>
      </c>
    </row>
    <row r="813" spans="1:33" x14ac:dyDescent="0.3">
      <c r="A813" t="s">
        <v>857</v>
      </c>
      <c r="B813">
        <v>22</v>
      </c>
      <c r="C813" t="s">
        <v>89</v>
      </c>
      <c r="D813" t="s">
        <v>2</v>
      </c>
      <c r="E813" t="s">
        <v>37</v>
      </c>
      <c r="F813" t="s">
        <v>16</v>
      </c>
      <c r="G813" t="s">
        <v>17</v>
      </c>
      <c r="H813" t="s">
        <v>18</v>
      </c>
      <c r="I813" t="s">
        <v>24</v>
      </c>
      <c r="J813" t="s">
        <v>20</v>
      </c>
      <c r="K813" t="s">
        <v>30</v>
      </c>
      <c r="L813">
        <v>3.87</v>
      </c>
      <c r="M813">
        <v>2.5299999999999998</v>
      </c>
      <c r="N813">
        <v>3.62</v>
      </c>
      <c r="O813">
        <v>10.33</v>
      </c>
      <c r="P813">
        <v>1</v>
      </c>
      <c r="Q813">
        <v>7.7</v>
      </c>
      <c r="R813">
        <v>8.8000000000000007</v>
      </c>
      <c r="S813">
        <v>2</v>
      </c>
      <c r="T813" t="s">
        <v>39</v>
      </c>
      <c r="U813">
        <v>5.5</v>
      </c>
      <c r="V813">
        <v>5</v>
      </c>
      <c r="W813">
        <v>1.8</v>
      </c>
      <c r="X813">
        <v>4.7</v>
      </c>
      <c r="Y813">
        <v>6.9</v>
      </c>
      <c r="Z813">
        <v>7.9</v>
      </c>
      <c r="AA813">
        <v>4.2</v>
      </c>
      <c r="AB813" t="s">
        <v>44</v>
      </c>
      <c r="AC813" t="s">
        <v>10</v>
      </c>
      <c r="AD813" t="s">
        <v>45</v>
      </c>
      <c r="AE813" t="str">
        <f t="shared" si="36"/>
        <v>20-24</v>
      </c>
      <c r="AF813" t="str">
        <f t="shared" si="37"/>
        <v>Moderate Usage</v>
      </c>
      <c r="AG813" t="str">
        <f t="shared" si="38"/>
        <v>High Loneliness</v>
      </c>
    </row>
    <row r="814" spans="1:33" x14ac:dyDescent="0.3">
      <c r="A814" t="s">
        <v>858</v>
      </c>
      <c r="B814">
        <v>24</v>
      </c>
      <c r="C814" t="s">
        <v>1</v>
      </c>
      <c r="D814" t="s">
        <v>14</v>
      </c>
      <c r="E814" t="s">
        <v>3</v>
      </c>
      <c r="F814" t="s">
        <v>16</v>
      </c>
      <c r="G814" t="s">
        <v>5</v>
      </c>
      <c r="H814" t="s">
        <v>33</v>
      </c>
      <c r="I814" t="s">
        <v>35</v>
      </c>
      <c r="J814" t="s">
        <v>48</v>
      </c>
      <c r="K814" t="s">
        <v>25</v>
      </c>
      <c r="L814">
        <v>0.17</v>
      </c>
      <c r="M814">
        <v>5.76</v>
      </c>
      <c r="N814">
        <v>3.33</v>
      </c>
      <c r="O814">
        <v>7.12</v>
      </c>
      <c r="P814">
        <v>6</v>
      </c>
      <c r="Q814">
        <v>3.3</v>
      </c>
      <c r="R814">
        <v>2.1</v>
      </c>
      <c r="S814">
        <v>7.3</v>
      </c>
      <c r="T814" t="s">
        <v>10</v>
      </c>
      <c r="U814">
        <v>5.8</v>
      </c>
      <c r="V814">
        <v>7.8</v>
      </c>
      <c r="W814">
        <v>3.4</v>
      </c>
      <c r="X814">
        <v>1.8</v>
      </c>
      <c r="Y814">
        <v>4</v>
      </c>
      <c r="Z814">
        <v>4.0999999999999996</v>
      </c>
      <c r="AA814">
        <v>7.8</v>
      </c>
      <c r="AB814" t="s">
        <v>11</v>
      </c>
      <c r="AC814" t="s">
        <v>10</v>
      </c>
      <c r="AD814" t="s">
        <v>12</v>
      </c>
      <c r="AE814" t="str">
        <f t="shared" si="36"/>
        <v>20-24</v>
      </c>
      <c r="AF814" t="str">
        <f t="shared" si="37"/>
        <v>Very Low Usage</v>
      </c>
      <c r="AG814" t="str">
        <f t="shared" si="38"/>
        <v>Moderate Loneliness</v>
      </c>
    </row>
    <row r="815" spans="1:33" x14ac:dyDescent="0.3">
      <c r="A815" t="s">
        <v>859</v>
      </c>
      <c r="B815">
        <v>23</v>
      </c>
      <c r="C815" t="s">
        <v>32</v>
      </c>
      <c r="D815" t="s">
        <v>2</v>
      </c>
      <c r="E815" t="s">
        <v>3</v>
      </c>
      <c r="F815" t="s">
        <v>16</v>
      </c>
      <c r="G815" t="s">
        <v>5</v>
      </c>
      <c r="H815" t="s">
        <v>28</v>
      </c>
      <c r="I815" t="s">
        <v>29</v>
      </c>
      <c r="J815" t="s">
        <v>51</v>
      </c>
      <c r="K815" t="s">
        <v>53</v>
      </c>
      <c r="L815">
        <v>1.63</v>
      </c>
      <c r="M815">
        <v>4.58</v>
      </c>
      <c r="N815">
        <v>2.39</v>
      </c>
      <c r="O815">
        <v>4.83</v>
      </c>
      <c r="P815">
        <v>3</v>
      </c>
      <c r="Q815">
        <v>4.9000000000000004</v>
      </c>
      <c r="R815">
        <v>4.7</v>
      </c>
      <c r="S815">
        <v>4.9000000000000004</v>
      </c>
      <c r="T815" t="s">
        <v>10</v>
      </c>
      <c r="U815">
        <v>7.2</v>
      </c>
      <c r="V815">
        <v>5.2</v>
      </c>
      <c r="W815">
        <v>3.9</v>
      </c>
      <c r="X815">
        <v>6.6</v>
      </c>
      <c r="Y815">
        <v>1.8</v>
      </c>
      <c r="Z815">
        <v>3.7</v>
      </c>
      <c r="AA815">
        <v>4.2</v>
      </c>
      <c r="AB815" t="s">
        <v>21</v>
      </c>
      <c r="AC815" t="s">
        <v>10</v>
      </c>
      <c r="AD815" t="s">
        <v>12</v>
      </c>
      <c r="AE815" t="str">
        <f t="shared" si="36"/>
        <v>20-24</v>
      </c>
      <c r="AF815" t="str">
        <f t="shared" si="37"/>
        <v>Low Usage</v>
      </c>
      <c r="AG815" t="str">
        <f t="shared" si="38"/>
        <v>Moderate Loneliness</v>
      </c>
    </row>
    <row r="816" spans="1:33" x14ac:dyDescent="0.3">
      <c r="A816" t="s">
        <v>860</v>
      </c>
      <c r="B816">
        <v>32</v>
      </c>
      <c r="C816" t="s">
        <v>32</v>
      </c>
      <c r="D816" t="s">
        <v>58</v>
      </c>
      <c r="E816" t="s">
        <v>37</v>
      </c>
      <c r="F816" t="s">
        <v>4</v>
      </c>
      <c r="G816" t="s">
        <v>66</v>
      </c>
      <c r="H816" t="s">
        <v>18</v>
      </c>
      <c r="I816" t="s">
        <v>29</v>
      </c>
      <c r="J816" t="s">
        <v>8</v>
      </c>
      <c r="K816" t="s">
        <v>1079</v>
      </c>
      <c r="L816">
        <v>0</v>
      </c>
      <c r="M816">
        <v>3.84</v>
      </c>
      <c r="N816">
        <v>0.59</v>
      </c>
      <c r="O816">
        <v>1.02</v>
      </c>
      <c r="P816">
        <v>5</v>
      </c>
      <c r="Q816">
        <v>1.9</v>
      </c>
      <c r="R816">
        <v>2.6</v>
      </c>
      <c r="S816">
        <v>8.9</v>
      </c>
      <c r="T816" t="s">
        <v>10</v>
      </c>
      <c r="U816">
        <v>6.6</v>
      </c>
      <c r="V816">
        <v>9.6999999999999993</v>
      </c>
      <c r="W816">
        <v>6.3</v>
      </c>
      <c r="X816">
        <v>2.2999999999999998</v>
      </c>
      <c r="Y816">
        <v>1</v>
      </c>
      <c r="Z816">
        <v>4.2</v>
      </c>
      <c r="AA816">
        <v>8.4</v>
      </c>
      <c r="AB816" t="s">
        <v>11</v>
      </c>
      <c r="AC816" t="s">
        <v>10</v>
      </c>
      <c r="AD816" t="s">
        <v>12</v>
      </c>
      <c r="AE816" t="str">
        <f t="shared" si="36"/>
        <v>25-34</v>
      </c>
      <c r="AF816" t="str">
        <f t="shared" si="37"/>
        <v>Very Low Usage</v>
      </c>
      <c r="AG816" t="str">
        <f t="shared" si="38"/>
        <v>Low Loneliness</v>
      </c>
    </row>
    <row r="817" spans="1:33" x14ac:dyDescent="0.3">
      <c r="A817" t="s">
        <v>861</v>
      </c>
      <c r="B817">
        <v>41</v>
      </c>
      <c r="C817" t="s">
        <v>1</v>
      </c>
      <c r="D817" t="s">
        <v>2</v>
      </c>
      <c r="E817" t="s">
        <v>59</v>
      </c>
      <c r="F817" t="s">
        <v>4</v>
      </c>
      <c r="G817" t="s">
        <v>17</v>
      </c>
      <c r="H817" t="s">
        <v>28</v>
      </c>
      <c r="I817" t="s">
        <v>19</v>
      </c>
      <c r="J817" t="s">
        <v>51</v>
      </c>
      <c r="K817" t="s">
        <v>25</v>
      </c>
      <c r="L817">
        <v>1.86</v>
      </c>
      <c r="M817">
        <v>3.46</v>
      </c>
      <c r="N817">
        <v>2.41</v>
      </c>
      <c r="O817">
        <v>5.87</v>
      </c>
      <c r="P817">
        <v>3</v>
      </c>
      <c r="Q817">
        <v>3.7</v>
      </c>
      <c r="R817">
        <v>4.0999999999999996</v>
      </c>
      <c r="S817">
        <v>6.2</v>
      </c>
      <c r="T817" t="s">
        <v>10</v>
      </c>
      <c r="U817">
        <v>7</v>
      </c>
      <c r="V817">
        <v>7.4</v>
      </c>
      <c r="W817">
        <v>1.8</v>
      </c>
      <c r="X817">
        <v>1</v>
      </c>
      <c r="Y817">
        <v>3.4</v>
      </c>
      <c r="Z817">
        <v>4.0999999999999996</v>
      </c>
      <c r="AA817">
        <v>4.5999999999999996</v>
      </c>
      <c r="AB817" t="s">
        <v>21</v>
      </c>
      <c r="AC817" t="s">
        <v>10</v>
      </c>
      <c r="AD817" t="s">
        <v>22</v>
      </c>
      <c r="AE817" t="str">
        <f t="shared" si="36"/>
        <v>35-44</v>
      </c>
      <c r="AF817" t="str">
        <f t="shared" si="37"/>
        <v>Low Usage</v>
      </c>
      <c r="AG817" t="str">
        <f t="shared" si="38"/>
        <v>Moderate Loneliness</v>
      </c>
    </row>
    <row r="818" spans="1:33" x14ac:dyDescent="0.3">
      <c r="A818" t="s">
        <v>862</v>
      </c>
      <c r="B818">
        <v>40</v>
      </c>
      <c r="C818" t="s">
        <v>32</v>
      </c>
      <c r="D818" t="s">
        <v>58</v>
      </c>
      <c r="E818" t="s">
        <v>37</v>
      </c>
      <c r="F818" t="s">
        <v>45</v>
      </c>
      <c r="G818" t="s">
        <v>5</v>
      </c>
      <c r="H818" t="s">
        <v>18</v>
      </c>
      <c r="I818" t="s">
        <v>19</v>
      </c>
      <c r="J818" t="s">
        <v>20</v>
      </c>
      <c r="K818" t="s">
        <v>53</v>
      </c>
      <c r="L818">
        <v>3.65</v>
      </c>
      <c r="M818">
        <v>2.42</v>
      </c>
      <c r="N818">
        <v>4.13</v>
      </c>
      <c r="O818">
        <v>8.56</v>
      </c>
      <c r="P818">
        <v>5</v>
      </c>
      <c r="Q818">
        <v>6.5</v>
      </c>
      <c r="R818">
        <v>5.3</v>
      </c>
      <c r="S818">
        <v>6.9</v>
      </c>
      <c r="T818" t="s">
        <v>10</v>
      </c>
      <c r="U818">
        <v>5.3</v>
      </c>
      <c r="V818">
        <v>4.2</v>
      </c>
      <c r="W818">
        <v>5.7</v>
      </c>
      <c r="X818">
        <v>3.9</v>
      </c>
      <c r="Y818">
        <v>7.1</v>
      </c>
      <c r="Z818">
        <v>5.8</v>
      </c>
      <c r="AA818">
        <v>4.9000000000000004</v>
      </c>
      <c r="AB818" t="s">
        <v>21</v>
      </c>
      <c r="AC818" t="s">
        <v>10</v>
      </c>
      <c r="AD818" t="s">
        <v>45</v>
      </c>
      <c r="AE818" t="str">
        <f t="shared" si="36"/>
        <v>35-44</v>
      </c>
      <c r="AF818" t="str">
        <f t="shared" si="37"/>
        <v>Moderate Usage</v>
      </c>
      <c r="AG818" t="str">
        <f t="shared" si="38"/>
        <v>High Loneliness</v>
      </c>
    </row>
    <row r="819" spans="1:33" x14ac:dyDescent="0.3">
      <c r="A819" t="s">
        <v>863</v>
      </c>
      <c r="B819">
        <v>16</v>
      </c>
      <c r="C819" t="s">
        <v>32</v>
      </c>
      <c r="D819" t="s">
        <v>47</v>
      </c>
      <c r="E819" t="s">
        <v>3</v>
      </c>
      <c r="F819" t="s">
        <v>4</v>
      </c>
      <c r="G819" t="s">
        <v>5</v>
      </c>
      <c r="H819" t="s">
        <v>6</v>
      </c>
      <c r="I819" t="s">
        <v>29</v>
      </c>
      <c r="J819" t="s">
        <v>8</v>
      </c>
      <c r="K819" t="s">
        <v>53</v>
      </c>
      <c r="L819">
        <v>0</v>
      </c>
      <c r="M819">
        <v>5.16</v>
      </c>
      <c r="N819">
        <v>1.3</v>
      </c>
      <c r="O819">
        <v>2.0299999999999998</v>
      </c>
      <c r="P819">
        <v>7</v>
      </c>
      <c r="Q819">
        <v>2.9</v>
      </c>
      <c r="R819">
        <v>1.9</v>
      </c>
      <c r="S819">
        <v>7.6</v>
      </c>
      <c r="T819" t="s">
        <v>10</v>
      </c>
      <c r="U819">
        <v>8.9</v>
      </c>
      <c r="V819">
        <v>8.6</v>
      </c>
      <c r="W819">
        <v>8</v>
      </c>
      <c r="X819">
        <v>3.1</v>
      </c>
      <c r="Y819">
        <v>2.5</v>
      </c>
      <c r="Z819">
        <v>1.8</v>
      </c>
      <c r="AA819">
        <v>7.7</v>
      </c>
      <c r="AB819" t="s">
        <v>11</v>
      </c>
      <c r="AC819" t="s">
        <v>10</v>
      </c>
      <c r="AD819" t="s">
        <v>12</v>
      </c>
      <c r="AE819" t="str">
        <f t="shared" si="36"/>
        <v>15-19</v>
      </c>
      <c r="AF819" t="str">
        <f t="shared" si="37"/>
        <v>Very Low Usage</v>
      </c>
      <c r="AG819" t="str">
        <f t="shared" si="38"/>
        <v>Low Loneliness</v>
      </c>
    </row>
    <row r="820" spans="1:33" x14ac:dyDescent="0.3">
      <c r="A820" t="s">
        <v>864</v>
      </c>
      <c r="B820">
        <v>19</v>
      </c>
      <c r="C820" t="s">
        <v>32</v>
      </c>
      <c r="D820" t="s">
        <v>14</v>
      </c>
      <c r="E820" t="s">
        <v>3</v>
      </c>
      <c r="F820" t="s">
        <v>16</v>
      </c>
      <c r="G820" t="s">
        <v>17</v>
      </c>
      <c r="H820" t="s">
        <v>6</v>
      </c>
      <c r="I820" t="s">
        <v>24</v>
      </c>
      <c r="J820" t="s">
        <v>8</v>
      </c>
      <c r="K820" t="s">
        <v>25</v>
      </c>
      <c r="L820">
        <v>1.88</v>
      </c>
      <c r="M820">
        <v>4.22</v>
      </c>
      <c r="N820">
        <v>2.9</v>
      </c>
      <c r="O820">
        <v>5.38</v>
      </c>
      <c r="P820">
        <v>6</v>
      </c>
      <c r="Q820">
        <v>5.4</v>
      </c>
      <c r="R820">
        <v>1.5</v>
      </c>
      <c r="S820">
        <v>5.0999999999999996</v>
      </c>
      <c r="T820" t="s">
        <v>10</v>
      </c>
      <c r="U820">
        <v>5.2</v>
      </c>
      <c r="V820">
        <v>6.9</v>
      </c>
      <c r="W820">
        <v>4.4000000000000004</v>
      </c>
      <c r="X820">
        <v>3.4</v>
      </c>
      <c r="Y820">
        <v>1.6</v>
      </c>
      <c r="Z820">
        <v>3.8</v>
      </c>
      <c r="AA820">
        <v>5.3</v>
      </c>
      <c r="AB820" t="s">
        <v>44</v>
      </c>
      <c r="AC820" t="s">
        <v>10</v>
      </c>
      <c r="AD820" t="s">
        <v>12</v>
      </c>
      <c r="AE820" t="str">
        <f t="shared" si="36"/>
        <v>15-19</v>
      </c>
      <c r="AF820" t="str">
        <f t="shared" si="37"/>
        <v>Low Usage</v>
      </c>
      <c r="AG820" t="str">
        <f t="shared" si="38"/>
        <v>Moderate Loneliness</v>
      </c>
    </row>
    <row r="821" spans="1:33" x14ac:dyDescent="0.3">
      <c r="A821" t="s">
        <v>865</v>
      </c>
      <c r="B821">
        <v>43</v>
      </c>
      <c r="C821" t="s">
        <v>32</v>
      </c>
      <c r="D821" t="s">
        <v>58</v>
      </c>
      <c r="E821" t="s">
        <v>15</v>
      </c>
      <c r="F821" t="s">
        <v>12</v>
      </c>
      <c r="G821" t="s">
        <v>17</v>
      </c>
      <c r="H821" t="s">
        <v>18</v>
      </c>
      <c r="I821" t="s">
        <v>254</v>
      </c>
      <c r="J821" t="s">
        <v>8</v>
      </c>
      <c r="K821" t="s">
        <v>25</v>
      </c>
      <c r="L821">
        <v>3.11</v>
      </c>
      <c r="M821">
        <v>1.75</v>
      </c>
      <c r="N821">
        <v>3.11</v>
      </c>
      <c r="O821">
        <v>8.02</v>
      </c>
      <c r="P821">
        <v>3</v>
      </c>
      <c r="Q821">
        <v>7.1</v>
      </c>
      <c r="R821">
        <v>5.4</v>
      </c>
      <c r="S821">
        <v>5.2</v>
      </c>
      <c r="T821" t="s">
        <v>10</v>
      </c>
      <c r="U821">
        <v>6.2</v>
      </c>
      <c r="V821">
        <v>5</v>
      </c>
      <c r="W821">
        <v>2.7</v>
      </c>
      <c r="X821">
        <v>2.9</v>
      </c>
      <c r="Y821">
        <v>5.5</v>
      </c>
      <c r="Z821">
        <v>8.3000000000000007</v>
      </c>
      <c r="AA821">
        <v>2.2999999999999998</v>
      </c>
      <c r="AB821" t="s">
        <v>44</v>
      </c>
      <c r="AC821" t="s">
        <v>10</v>
      </c>
      <c r="AD821" t="s">
        <v>45</v>
      </c>
      <c r="AE821" t="str">
        <f t="shared" si="36"/>
        <v>35-44</v>
      </c>
      <c r="AF821" t="str">
        <f t="shared" si="37"/>
        <v>Moderate Usage</v>
      </c>
      <c r="AG821" t="str">
        <f t="shared" si="38"/>
        <v>High Loneliness</v>
      </c>
    </row>
    <row r="822" spans="1:33" x14ac:dyDescent="0.3">
      <c r="A822" t="s">
        <v>866</v>
      </c>
      <c r="B822">
        <v>19</v>
      </c>
      <c r="C822" t="s">
        <v>1</v>
      </c>
      <c r="D822" t="s">
        <v>14</v>
      </c>
      <c r="E822" t="s">
        <v>37</v>
      </c>
      <c r="F822" t="s">
        <v>16</v>
      </c>
      <c r="G822" t="s">
        <v>66</v>
      </c>
      <c r="H822" t="s">
        <v>18</v>
      </c>
      <c r="I822" t="s">
        <v>35</v>
      </c>
      <c r="J822" t="s">
        <v>20</v>
      </c>
      <c r="K822" t="s">
        <v>53</v>
      </c>
      <c r="L822">
        <v>0.15</v>
      </c>
      <c r="M822">
        <v>2.91</v>
      </c>
      <c r="N822">
        <v>3.69</v>
      </c>
      <c r="O822">
        <v>5.43</v>
      </c>
      <c r="P822">
        <v>3</v>
      </c>
      <c r="Q822">
        <v>8.3000000000000007</v>
      </c>
      <c r="R822">
        <v>7.4</v>
      </c>
      <c r="S822">
        <v>4.9000000000000004</v>
      </c>
      <c r="T822" t="s">
        <v>39</v>
      </c>
      <c r="U822">
        <v>7.1</v>
      </c>
      <c r="V822">
        <v>7.4</v>
      </c>
      <c r="W822">
        <v>3.3</v>
      </c>
      <c r="X822">
        <v>6.9</v>
      </c>
      <c r="Y822">
        <v>6.1</v>
      </c>
      <c r="Z822">
        <v>6.2</v>
      </c>
      <c r="AA822">
        <v>3.9</v>
      </c>
      <c r="AB822" t="s">
        <v>21</v>
      </c>
      <c r="AC822" t="s">
        <v>39</v>
      </c>
      <c r="AD822" t="s">
        <v>22</v>
      </c>
      <c r="AE822" t="str">
        <f t="shared" si="36"/>
        <v>15-19</v>
      </c>
      <c r="AF822" t="str">
        <f t="shared" si="37"/>
        <v>Very Low Usage</v>
      </c>
      <c r="AG822" t="str">
        <f t="shared" si="38"/>
        <v>High Loneliness</v>
      </c>
    </row>
    <row r="823" spans="1:33" x14ac:dyDescent="0.3">
      <c r="A823" t="s">
        <v>867</v>
      </c>
      <c r="B823">
        <v>20</v>
      </c>
      <c r="C823" t="s">
        <v>1</v>
      </c>
      <c r="D823" t="s">
        <v>2</v>
      </c>
      <c r="E823" t="s">
        <v>15</v>
      </c>
      <c r="F823" t="s">
        <v>4</v>
      </c>
      <c r="G823" t="s">
        <v>43</v>
      </c>
      <c r="H823" t="s">
        <v>6</v>
      </c>
      <c r="I823" t="s">
        <v>29</v>
      </c>
      <c r="J823" t="s">
        <v>8</v>
      </c>
      <c r="K823" t="s">
        <v>25</v>
      </c>
      <c r="L823">
        <v>0</v>
      </c>
      <c r="M823">
        <v>5.85</v>
      </c>
      <c r="N823">
        <v>1.52</v>
      </c>
      <c r="O823">
        <v>3.9</v>
      </c>
      <c r="P823">
        <v>5</v>
      </c>
      <c r="Q823">
        <v>5.0999999999999996</v>
      </c>
      <c r="R823">
        <v>1.5</v>
      </c>
      <c r="S823">
        <v>7.4</v>
      </c>
      <c r="T823" t="s">
        <v>10</v>
      </c>
      <c r="U823">
        <v>8.1</v>
      </c>
      <c r="V823">
        <v>8.6</v>
      </c>
      <c r="W823">
        <v>6.7</v>
      </c>
      <c r="X823">
        <v>3.1</v>
      </c>
      <c r="Y823">
        <v>4.2</v>
      </c>
      <c r="Z823">
        <v>2.7</v>
      </c>
      <c r="AA823">
        <v>8</v>
      </c>
      <c r="AB823" t="s">
        <v>11</v>
      </c>
      <c r="AC823" t="s">
        <v>10</v>
      </c>
      <c r="AD823" t="s">
        <v>12</v>
      </c>
      <c r="AE823" t="str">
        <f t="shared" si="36"/>
        <v>20-24</v>
      </c>
      <c r="AF823" t="str">
        <f t="shared" si="37"/>
        <v>Very Low Usage</v>
      </c>
      <c r="AG823" t="str">
        <f t="shared" si="38"/>
        <v>Moderate Loneliness</v>
      </c>
    </row>
    <row r="824" spans="1:33" x14ac:dyDescent="0.3">
      <c r="A824" t="s">
        <v>868</v>
      </c>
      <c r="B824">
        <v>33</v>
      </c>
      <c r="C824" t="s">
        <v>32</v>
      </c>
      <c r="D824" t="s">
        <v>14</v>
      </c>
      <c r="E824" t="s">
        <v>15</v>
      </c>
      <c r="F824" t="s">
        <v>12</v>
      </c>
      <c r="G824" t="s">
        <v>5</v>
      </c>
      <c r="H824" t="s">
        <v>33</v>
      </c>
      <c r="I824" t="s">
        <v>7</v>
      </c>
      <c r="J824" t="s">
        <v>8</v>
      </c>
      <c r="K824" t="s">
        <v>30</v>
      </c>
      <c r="L824">
        <v>0.96</v>
      </c>
      <c r="M824">
        <v>2.96</v>
      </c>
      <c r="N824">
        <v>2.48</v>
      </c>
      <c r="O824">
        <v>4.87</v>
      </c>
      <c r="P824">
        <v>5</v>
      </c>
      <c r="Q824">
        <v>5.3</v>
      </c>
      <c r="R824">
        <v>4.8</v>
      </c>
      <c r="S824">
        <v>6.3</v>
      </c>
      <c r="T824" t="s">
        <v>10</v>
      </c>
      <c r="U824">
        <v>5.6</v>
      </c>
      <c r="V824">
        <v>5.7</v>
      </c>
      <c r="W824">
        <v>4.2</v>
      </c>
      <c r="X824">
        <v>4.3</v>
      </c>
      <c r="Y824">
        <v>4.4000000000000004</v>
      </c>
      <c r="Z824">
        <v>5.3</v>
      </c>
      <c r="AA824">
        <v>4.8</v>
      </c>
      <c r="AB824" t="s">
        <v>44</v>
      </c>
      <c r="AC824" t="s">
        <v>10</v>
      </c>
      <c r="AD824" t="s">
        <v>12</v>
      </c>
      <c r="AE824" t="str">
        <f t="shared" si="36"/>
        <v>25-34</v>
      </c>
      <c r="AF824" t="str">
        <f t="shared" si="37"/>
        <v>Very Low Usage</v>
      </c>
      <c r="AG824" t="str">
        <f t="shared" si="38"/>
        <v>Moderate Loneliness</v>
      </c>
    </row>
    <row r="825" spans="1:33" x14ac:dyDescent="0.3">
      <c r="A825" t="s">
        <v>869</v>
      </c>
      <c r="B825">
        <v>22</v>
      </c>
      <c r="C825" t="s">
        <v>32</v>
      </c>
      <c r="D825" t="s">
        <v>14</v>
      </c>
      <c r="E825" t="s">
        <v>15</v>
      </c>
      <c r="F825" t="s">
        <v>12</v>
      </c>
      <c r="G825" t="s">
        <v>5</v>
      </c>
      <c r="H825" t="s">
        <v>28</v>
      </c>
      <c r="I825" t="s">
        <v>24</v>
      </c>
      <c r="J825" t="s">
        <v>51</v>
      </c>
      <c r="K825" t="s">
        <v>1079</v>
      </c>
      <c r="L825">
        <v>2.58</v>
      </c>
      <c r="M825">
        <v>3.19</v>
      </c>
      <c r="N825">
        <v>3.32</v>
      </c>
      <c r="O825">
        <v>6.68</v>
      </c>
      <c r="P825">
        <v>3</v>
      </c>
      <c r="Q825">
        <v>7.4</v>
      </c>
      <c r="R825">
        <v>6</v>
      </c>
      <c r="S825">
        <v>4.5</v>
      </c>
      <c r="T825" t="s">
        <v>10</v>
      </c>
      <c r="U825">
        <v>5</v>
      </c>
      <c r="V825">
        <v>4.7</v>
      </c>
      <c r="W825">
        <v>3.7</v>
      </c>
      <c r="X825">
        <v>7.1</v>
      </c>
      <c r="Y825">
        <v>3.8</v>
      </c>
      <c r="Z825">
        <v>6</v>
      </c>
      <c r="AA825">
        <v>3.2</v>
      </c>
      <c r="AB825" t="s">
        <v>44</v>
      </c>
      <c r="AC825" t="s">
        <v>10</v>
      </c>
      <c r="AD825" t="s">
        <v>45</v>
      </c>
      <c r="AE825" t="str">
        <f t="shared" si="36"/>
        <v>20-24</v>
      </c>
      <c r="AF825" t="str">
        <f t="shared" si="37"/>
        <v>Moderate Usage</v>
      </c>
      <c r="AG825" t="str">
        <f t="shared" si="38"/>
        <v>High Loneliness</v>
      </c>
    </row>
    <row r="826" spans="1:33" x14ac:dyDescent="0.3">
      <c r="A826" t="s">
        <v>870</v>
      </c>
      <c r="B826">
        <v>30</v>
      </c>
      <c r="C826" t="s">
        <v>1</v>
      </c>
      <c r="D826" t="s">
        <v>2</v>
      </c>
      <c r="E826" t="s">
        <v>37</v>
      </c>
      <c r="F826" t="s">
        <v>16</v>
      </c>
      <c r="G826" t="s">
        <v>17</v>
      </c>
      <c r="H826" t="s">
        <v>18</v>
      </c>
      <c r="I826" t="s">
        <v>19</v>
      </c>
      <c r="J826" t="s">
        <v>8</v>
      </c>
      <c r="K826" t="s">
        <v>25</v>
      </c>
      <c r="L826">
        <v>1.91</v>
      </c>
      <c r="M826">
        <v>5.58</v>
      </c>
      <c r="N826">
        <v>2.0699999999999998</v>
      </c>
      <c r="O826">
        <v>5.96</v>
      </c>
      <c r="P826">
        <v>2</v>
      </c>
      <c r="Q826">
        <v>7.8</v>
      </c>
      <c r="R826">
        <v>5.6</v>
      </c>
      <c r="S826">
        <v>7.8</v>
      </c>
      <c r="T826" t="s">
        <v>10</v>
      </c>
      <c r="U826">
        <v>7.6</v>
      </c>
      <c r="V826">
        <v>5.3</v>
      </c>
      <c r="W826">
        <v>5.9</v>
      </c>
      <c r="X826">
        <v>3.8</v>
      </c>
      <c r="Y826">
        <v>4.5999999999999996</v>
      </c>
      <c r="Z826">
        <v>6.1</v>
      </c>
      <c r="AA826">
        <v>5.8</v>
      </c>
      <c r="AB826" t="s">
        <v>21</v>
      </c>
      <c r="AC826" t="s">
        <v>10</v>
      </c>
      <c r="AD826" t="s">
        <v>22</v>
      </c>
      <c r="AE826" t="str">
        <f t="shared" si="36"/>
        <v>25-34</v>
      </c>
      <c r="AF826" t="str">
        <f t="shared" si="37"/>
        <v>Low Usage</v>
      </c>
      <c r="AG826" t="str">
        <f t="shared" si="38"/>
        <v>High Loneliness</v>
      </c>
    </row>
    <row r="827" spans="1:33" x14ac:dyDescent="0.3">
      <c r="A827" t="s">
        <v>871</v>
      </c>
      <c r="B827">
        <v>27</v>
      </c>
      <c r="C827" t="s">
        <v>32</v>
      </c>
      <c r="D827" t="s">
        <v>14</v>
      </c>
      <c r="E827" t="s">
        <v>15</v>
      </c>
      <c r="F827" t="s">
        <v>16</v>
      </c>
      <c r="G827" t="s">
        <v>5</v>
      </c>
      <c r="H827" t="s">
        <v>28</v>
      </c>
      <c r="I827" t="s">
        <v>19</v>
      </c>
      <c r="J827" t="s">
        <v>8</v>
      </c>
      <c r="K827" t="s">
        <v>1079</v>
      </c>
      <c r="L827">
        <v>3.2</v>
      </c>
      <c r="M827">
        <v>4.79</v>
      </c>
      <c r="N827">
        <v>2.21</v>
      </c>
      <c r="O827">
        <v>6.36</v>
      </c>
      <c r="P827">
        <v>3</v>
      </c>
      <c r="Q827">
        <v>8.6</v>
      </c>
      <c r="R827">
        <v>8.6999999999999993</v>
      </c>
      <c r="S827">
        <v>2.6</v>
      </c>
      <c r="T827" t="s">
        <v>39</v>
      </c>
      <c r="U827">
        <v>6.1</v>
      </c>
      <c r="V827">
        <v>5</v>
      </c>
      <c r="W827">
        <v>4.4000000000000004</v>
      </c>
      <c r="X827">
        <v>5.9</v>
      </c>
      <c r="Y827">
        <v>6.2</v>
      </c>
      <c r="Z827">
        <v>7.1</v>
      </c>
      <c r="AA827">
        <v>2.7</v>
      </c>
      <c r="AB827" t="s">
        <v>44</v>
      </c>
      <c r="AC827" t="s">
        <v>39</v>
      </c>
      <c r="AD827" t="s">
        <v>45</v>
      </c>
      <c r="AE827" t="str">
        <f t="shared" si="36"/>
        <v>25-34</v>
      </c>
      <c r="AF827" t="str">
        <f t="shared" si="37"/>
        <v>Moderate Usage</v>
      </c>
      <c r="AG827" t="str">
        <f t="shared" si="38"/>
        <v>High Loneliness</v>
      </c>
    </row>
    <row r="828" spans="1:33" x14ac:dyDescent="0.3">
      <c r="A828" t="s">
        <v>872</v>
      </c>
      <c r="B828">
        <v>15</v>
      </c>
      <c r="C828" t="s">
        <v>32</v>
      </c>
      <c r="D828" t="s">
        <v>2</v>
      </c>
      <c r="E828" t="s">
        <v>37</v>
      </c>
      <c r="F828" t="s">
        <v>4</v>
      </c>
      <c r="G828" t="s">
        <v>5</v>
      </c>
      <c r="H828" t="s">
        <v>18</v>
      </c>
      <c r="I828" t="s">
        <v>7</v>
      </c>
      <c r="J828" t="s">
        <v>20</v>
      </c>
      <c r="K828" t="s">
        <v>53</v>
      </c>
      <c r="L828">
        <v>0.49</v>
      </c>
      <c r="M828">
        <v>2.4900000000000002</v>
      </c>
      <c r="N828">
        <v>1.89</v>
      </c>
      <c r="O828">
        <v>4.8899999999999997</v>
      </c>
      <c r="P828">
        <v>5</v>
      </c>
      <c r="Q828">
        <v>4.5999999999999996</v>
      </c>
      <c r="R828">
        <v>2.5</v>
      </c>
      <c r="S828">
        <v>6.4</v>
      </c>
      <c r="T828" t="s">
        <v>10</v>
      </c>
      <c r="U828">
        <v>6.4</v>
      </c>
      <c r="V828">
        <v>7</v>
      </c>
      <c r="W828">
        <v>3.3</v>
      </c>
      <c r="X828">
        <v>2.7</v>
      </c>
      <c r="Y828">
        <v>3.3</v>
      </c>
      <c r="Z828">
        <v>4.3</v>
      </c>
      <c r="AA828">
        <v>8.1999999999999993</v>
      </c>
      <c r="AB828" t="s">
        <v>11</v>
      </c>
      <c r="AC828" t="s">
        <v>10</v>
      </c>
      <c r="AD828" t="s">
        <v>12</v>
      </c>
      <c r="AE828" t="str">
        <f t="shared" si="36"/>
        <v>15-19</v>
      </c>
      <c r="AF828" t="str">
        <f t="shared" si="37"/>
        <v>Very Low Usage</v>
      </c>
      <c r="AG828" t="str">
        <f t="shared" si="38"/>
        <v>Moderate Loneliness</v>
      </c>
    </row>
    <row r="829" spans="1:33" x14ac:dyDescent="0.3">
      <c r="A829" t="s">
        <v>873</v>
      </c>
      <c r="B829">
        <v>36</v>
      </c>
      <c r="C829" t="s">
        <v>32</v>
      </c>
      <c r="D829" t="s">
        <v>2</v>
      </c>
      <c r="E829" t="s">
        <v>59</v>
      </c>
      <c r="F829" t="s">
        <v>12</v>
      </c>
      <c r="G829" t="s">
        <v>5</v>
      </c>
      <c r="H829" t="s">
        <v>18</v>
      </c>
      <c r="I829" t="s">
        <v>19</v>
      </c>
      <c r="J829" t="s">
        <v>20</v>
      </c>
      <c r="K829" t="s">
        <v>1079</v>
      </c>
      <c r="L829">
        <v>1.87</v>
      </c>
      <c r="M829">
        <v>3.66</v>
      </c>
      <c r="N829">
        <v>1.62</v>
      </c>
      <c r="O829">
        <v>3.83</v>
      </c>
      <c r="P829">
        <v>4</v>
      </c>
      <c r="Q829">
        <v>3.7</v>
      </c>
      <c r="R829">
        <v>5</v>
      </c>
      <c r="S829">
        <v>5.3</v>
      </c>
      <c r="T829" t="s">
        <v>39</v>
      </c>
      <c r="U829">
        <v>7.4</v>
      </c>
      <c r="V829">
        <v>5.5</v>
      </c>
      <c r="W829">
        <v>4.8</v>
      </c>
      <c r="X829">
        <v>3.1</v>
      </c>
      <c r="Y829">
        <v>5.7</v>
      </c>
      <c r="Z829">
        <v>4.5999999999999996</v>
      </c>
      <c r="AA829">
        <v>6.5</v>
      </c>
      <c r="AB829" t="s">
        <v>21</v>
      </c>
      <c r="AC829" t="s">
        <v>10</v>
      </c>
      <c r="AD829" t="s">
        <v>22</v>
      </c>
      <c r="AE829" t="str">
        <f t="shared" si="36"/>
        <v>35-44</v>
      </c>
      <c r="AF829" t="str">
        <f t="shared" si="37"/>
        <v>Low Usage</v>
      </c>
      <c r="AG829" t="str">
        <f t="shared" si="38"/>
        <v>Moderate Loneliness</v>
      </c>
    </row>
    <row r="830" spans="1:33" x14ac:dyDescent="0.3">
      <c r="A830" t="s">
        <v>874</v>
      </c>
      <c r="B830">
        <v>34</v>
      </c>
      <c r="C830" t="s">
        <v>1</v>
      </c>
      <c r="D830" t="s">
        <v>14</v>
      </c>
      <c r="E830" t="s">
        <v>37</v>
      </c>
      <c r="F830" t="s">
        <v>16</v>
      </c>
      <c r="G830" t="s">
        <v>66</v>
      </c>
      <c r="H830" t="s">
        <v>18</v>
      </c>
      <c r="I830" t="s">
        <v>19</v>
      </c>
      <c r="J830" t="s">
        <v>48</v>
      </c>
      <c r="K830" t="s">
        <v>1079</v>
      </c>
      <c r="L830">
        <v>0</v>
      </c>
      <c r="M830">
        <v>8.1999999999999993</v>
      </c>
      <c r="N830">
        <v>1.93</v>
      </c>
      <c r="O830">
        <v>1.77</v>
      </c>
      <c r="P830">
        <v>7</v>
      </c>
      <c r="Q830">
        <v>1.8</v>
      </c>
      <c r="R830">
        <v>1.4</v>
      </c>
      <c r="S830">
        <v>10</v>
      </c>
      <c r="T830" t="s">
        <v>10</v>
      </c>
      <c r="U830">
        <v>7.3</v>
      </c>
      <c r="V830">
        <v>8.8000000000000007</v>
      </c>
      <c r="W830">
        <v>7.1</v>
      </c>
      <c r="X830">
        <v>2.7</v>
      </c>
      <c r="Y830">
        <v>1.9</v>
      </c>
      <c r="Z830">
        <v>2.7</v>
      </c>
      <c r="AA830">
        <v>7.9</v>
      </c>
      <c r="AB830" t="s">
        <v>21</v>
      </c>
      <c r="AC830" t="s">
        <v>10</v>
      </c>
      <c r="AD830" t="s">
        <v>12</v>
      </c>
      <c r="AE830" t="str">
        <f t="shared" si="36"/>
        <v>25-34</v>
      </c>
      <c r="AF830" t="str">
        <f t="shared" si="37"/>
        <v>Very Low Usage</v>
      </c>
      <c r="AG830" t="str">
        <f t="shared" si="38"/>
        <v>Low Loneliness</v>
      </c>
    </row>
    <row r="831" spans="1:33" x14ac:dyDescent="0.3">
      <c r="A831" t="s">
        <v>875</v>
      </c>
      <c r="B831">
        <v>31</v>
      </c>
      <c r="C831" t="s">
        <v>32</v>
      </c>
      <c r="D831" t="s">
        <v>14</v>
      </c>
      <c r="E831" t="s">
        <v>37</v>
      </c>
      <c r="F831" t="s">
        <v>12</v>
      </c>
      <c r="G831" t="s">
        <v>5</v>
      </c>
      <c r="H831" t="s">
        <v>28</v>
      </c>
      <c r="I831" t="s">
        <v>19</v>
      </c>
      <c r="J831" t="s">
        <v>20</v>
      </c>
      <c r="K831" t="s">
        <v>1079</v>
      </c>
      <c r="L831">
        <v>0</v>
      </c>
      <c r="M831">
        <v>6.24</v>
      </c>
      <c r="N831">
        <v>0.86</v>
      </c>
      <c r="O831">
        <v>1.25</v>
      </c>
      <c r="P831">
        <v>6</v>
      </c>
      <c r="Q831">
        <v>1</v>
      </c>
      <c r="R831">
        <v>1.9</v>
      </c>
      <c r="S831">
        <v>8.3000000000000007</v>
      </c>
      <c r="T831" t="s">
        <v>39</v>
      </c>
      <c r="U831">
        <v>7.5</v>
      </c>
      <c r="V831">
        <v>9.5</v>
      </c>
      <c r="W831">
        <v>6.3</v>
      </c>
      <c r="X831">
        <v>1.9</v>
      </c>
      <c r="Y831">
        <v>1.3</v>
      </c>
      <c r="Z831">
        <v>2.5</v>
      </c>
      <c r="AA831">
        <v>10</v>
      </c>
      <c r="AB831" t="s">
        <v>21</v>
      </c>
      <c r="AC831" t="s">
        <v>10</v>
      </c>
      <c r="AD831" t="s">
        <v>12</v>
      </c>
      <c r="AE831" t="str">
        <f t="shared" si="36"/>
        <v>25-34</v>
      </c>
      <c r="AF831" t="str">
        <f t="shared" si="37"/>
        <v>Very Low Usage</v>
      </c>
      <c r="AG831" t="str">
        <f t="shared" si="38"/>
        <v>Low Loneliness</v>
      </c>
    </row>
    <row r="832" spans="1:33" x14ac:dyDescent="0.3">
      <c r="A832" t="s">
        <v>876</v>
      </c>
      <c r="B832">
        <v>21</v>
      </c>
      <c r="C832" t="s">
        <v>32</v>
      </c>
      <c r="D832" t="s">
        <v>2</v>
      </c>
      <c r="E832" t="s">
        <v>37</v>
      </c>
      <c r="F832" t="s">
        <v>4</v>
      </c>
      <c r="G832" t="s">
        <v>17</v>
      </c>
      <c r="H832" t="s">
        <v>28</v>
      </c>
      <c r="I832" t="s">
        <v>24</v>
      </c>
      <c r="J832" t="s">
        <v>51</v>
      </c>
      <c r="K832" t="s">
        <v>25</v>
      </c>
      <c r="L832">
        <v>3.14</v>
      </c>
      <c r="M832">
        <v>3.16</v>
      </c>
      <c r="N832">
        <v>4.7</v>
      </c>
      <c r="O832">
        <v>9.42</v>
      </c>
      <c r="P832">
        <v>2</v>
      </c>
      <c r="Q832">
        <v>8.4</v>
      </c>
      <c r="R832">
        <v>6.4</v>
      </c>
      <c r="S832">
        <v>4.9000000000000004</v>
      </c>
      <c r="T832" t="s">
        <v>10</v>
      </c>
      <c r="U832">
        <v>5.7</v>
      </c>
      <c r="V832">
        <v>5.3</v>
      </c>
      <c r="W832">
        <v>4</v>
      </c>
      <c r="X832">
        <v>5.5</v>
      </c>
      <c r="Y832">
        <v>7.6</v>
      </c>
      <c r="Z832">
        <v>6.3</v>
      </c>
      <c r="AA832">
        <v>4.3</v>
      </c>
      <c r="AB832" t="s">
        <v>21</v>
      </c>
      <c r="AC832" t="s">
        <v>10</v>
      </c>
      <c r="AD832" t="s">
        <v>45</v>
      </c>
      <c r="AE832" t="str">
        <f t="shared" si="36"/>
        <v>20-24</v>
      </c>
      <c r="AF832" t="str">
        <f t="shared" si="37"/>
        <v>Moderate Usage</v>
      </c>
      <c r="AG832" t="str">
        <f t="shared" si="38"/>
        <v>High Loneliness</v>
      </c>
    </row>
    <row r="833" spans="1:33" x14ac:dyDescent="0.3">
      <c r="A833" t="s">
        <v>877</v>
      </c>
      <c r="B833">
        <v>39</v>
      </c>
      <c r="C833" t="s">
        <v>1</v>
      </c>
      <c r="D833" t="s">
        <v>14</v>
      </c>
      <c r="E833" t="s">
        <v>3</v>
      </c>
      <c r="F833" t="s">
        <v>12</v>
      </c>
      <c r="G833" t="s">
        <v>43</v>
      </c>
      <c r="H833" t="s">
        <v>18</v>
      </c>
      <c r="I833" t="s">
        <v>29</v>
      </c>
      <c r="J833" t="s">
        <v>20</v>
      </c>
      <c r="K833" t="s">
        <v>25</v>
      </c>
      <c r="L833">
        <v>0.67</v>
      </c>
      <c r="M833">
        <v>5.29</v>
      </c>
      <c r="N833">
        <v>2.19</v>
      </c>
      <c r="O833">
        <v>4.57</v>
      </c>
      <c r="P833">
        <v>4</v>
      </c>
      <c r="Q833">
        <v>4.2</v>
      </c>
      <c r="R833">
        <v>7.1</v>
      </c>
      <c r="S833">
        <v>4.4000000000000004</v>
      </c>
      <c r="T833" t="s">
        <v>39</v>
      </c>
      <c r="U833">
        <v>6.3</v>
      </c>
      <c r="V833">
        <v>6.6</v>
      </c>
      <c r="W833">
        <v>3.5</v>
      </c>
      <c r="X833">
        <v>5.4</v>
      </c>
      <c r="Y833">
        <v>3.7</v>
      </c>
      <c r="Z833">
        <v>4.5</v>
      </c>
      <c r="AA833">
        <v>4.4000000000000004</v>
      </c>
      <c r="AB833" t="s">
        <v>21</v>
      </c>
      <c r="AC833" t="s">
        <v>10</v>
      </c>
      <c r="AD833" t="s">
        <v>12</v>
      </c>
      <c r="AE833" t="str">
        <f t="shared" si="36"/>
        <v>35-44</v>
      </c>
      <c r="AF833" t="str">
        <f t="shared" si="37"/>
        <v>Very Low Usage</v>
      </c>
      <c r="AG833" t="str">
        <f t="shared" si="38"/>
        <v>Moderate Loneliness</v>
      </c>
    </row>
    <row r="834" spans="1:33" x14ac:dyDescent="0.3">
      <c r="A834" t="s">
        <v>878</v>
      </c>
      <c r="B834">
        <v>27</v>
      </c>
      <c r="C834" t="s">
        <v>1</v>
      </c>
      <c r="D834" t="s">
        <v>47</v>
      </c>
      <c r="E834" t="s">
        <v>15</v>
      </c>
      <c r="F834" t="s">
        <v>12</v>
      </c>
      <c r="G834" t="s">
        <v>17</v>
      </c>
      <c r="H834" t="s">
        <v>6</v>
      </c>
      <c r="I834" t="s">
        <v>35</v>
      </c>
      <c r="J834" t="s">
        <v>8</v>
      </c>
      <c r="K834" t="s">
        <v>30</v>
      </c>
      <c r="L834">
        <v>0.27</v>
      </c>
      <c r="M834">
        <v>4.7300000000000004</v>
      </c>
      <c r="N834">
        <v>2.02</v>
      </c>
      <c r="O834">
        <v>4.43</v>
      </c>
      <c r="P834">
        <v>7</v>
      </c>
      <c r="Q834">
        <v>3.9</v>
      </c>
      <c r="R834">
        <v>3.2</v>
      </c>
      <c r="S834">
        <v>8.1</v>
      </c>
      <c r="T834" t="s">
        <v>10</v>
      </c>
      <c r="U834">
        <v>6.6</v>
      </c>
      <c r="V834">
        <v>8.1</v>
      </c>
      <c r="W834">
        <v>2.7</v>
      </c>
      <c r="X834">
        <v>1.7</v>
      </c>
      <c r="Y834">
        <v>1.6</v>
      </c>
      <c r="Z834">
        <v>3.6</v>
      </c>
      <c r="AA834">
        <v>8.3000000000000007</v>
      </c>
      <c r="AB834" t="s">
        <v>11</v>
      </c>
      <c r="AC834" t="s">
        <v>10</v>
      </c>
      <c r="AD834" t="s">
        <v>12</v>
      </c>
      <c r="AE834" t="str">
        <f t="shared" si="36"/>
        <v>25-34</v>
      </c>
      <c r="AF834" t="str">
        <f t="shared" si="37"/>
        <v>Very Low Usage</v>
      </c>
      <c r="AG834" t="str">
        <f t="shared" si="38"/>
        <v>Moderate Loneliness</v>
      </c>
    </row>
    <row r="835" spans="1:33" x14ac:dyDescent="0.3">
      <c r="A835" t="s">
        <v>879</v>
      </c>
      <c r="B835">
        <v>18</v>
      </c>
      <c r="C835" t="s">
        <v>89</v>
      </c>
      <c r="D835" t="s">
        <v>2</v>
      </c>
      <c r="E835" t="s">
        <v>3</v>
      </c>
      <c r="F835" t="s">
        <v>12</v>
      </c>
      <c r="G835" t="s">
        <v>17</v>
      </c>
      <c r="H835" t="s">
        <v>33</v>
      </c>
      <c r="I835" t="s">
        <v>24</v>
      </c>
      <c r="J835" t="s">
        <v>8</v>
      </c>
      <c r="K835" t="s">
        <v>25</v>
      </c>
      <c r="L835">
        <v>0.21</v>
      </c>
      <c r="M835">
        <v>5.88</v>
      </c>
      <c r="N835">
        <v>0</v>
      </c>
      <c r="O835">
        <v>1.65</v>
      </c>
      <c r="P835">
        <v>6</v>
      </c>
      <c r="Q835">
        <v>3.7</v>
      </c>
      <c r="R835">
        <v>4.0999999999999996</v>
      </c>
      <c r="S835">
        <v>7.3</v>
      </c>
      <c r="T835" t="s">
        <v>10</v>
      </c>
      <c r="U835">
        <v>8</v>
      </c>
      <c r="V835">
        <v>10</v>
      </c>
      <c r="W835">
        <v>8.1</v>
      </c>
      <c r="X835">
        <v>3.2</v>
      </c>
      <c r="Y835">
        <v>2.1</v>
      </c>
      <c r="Z835">
        <v>3.7</v>
      </c>
      <c r="AA835">
        <v>10</v>
      </c>
      <c r="AB835" t="s">
        <v>11</v>
      </c>
      <c r="AC835" t="s">
        <v>10</v>
      </c>
      <c r="AD835" t="s">
        <v>12</v>
      </c>
      <c r="AE835" t="str">
        <f t="shared" ref="AE835:AE898" si="39">IF(B835&lt;20,"15-19",IF(B835&lt;25,"20-24",IF(B835&lt;35,"25-34","35-44")))</f>
        <v>15-19</v>
      </c>
      <c r="AF835" t="str">
        <f t="shared" ref="AF835:AF898" si="40">IF(L835&lt;=1,"Very Low Usage",IF(L835&lt;=2.5,"Low Usage",IF(L835&lt;=4,"Moderate Usage","High Usage")))</f>
        <v>Very Low Usage</v>
      </c>
      <c r="AG835" t="str">
        <f t="shared" ref="AG835:AG898" si="41">IF(Q835&lt;=3,"Low Loneliness",IF(Q835&lt;=6,"Moderate Loneliness","High Loneliness"))</f>
        <v>Moderate Loneliness</v>
      </c>
    </row>
    <row r="836" spans="1:33" x14ac:dyDescent="0.3">
      <c r="A836" t="s">
        <v>880</v>
      </c>
      <c r="B836">
        <v>18</v>
      </c>
      <c r="C836" t="s">
        <v>1</v>
      </c>
      <c r="D836" t="s">
        <v>58</v>
      </c>
      <c r="E836" t="s">
        <v>37</v>
      </c>
      <c r="F836" t="s">
        <v>4</v>
      </c>
      <c r="G836" t="s">
        <v>17</v>
      </c>
      <c r="H836" t="s">
        <v>28</v>
      </c>
      <c r="I836" t="s">
        <v>24</v>
      </c>
      <c r="J836" t="s">
        <v>20</v>
      </c>
      <c r="K836" t="s">
        <v>53</v>
      </c>
      <c r="L836">
        <v>2.2799999999999998</v>
      </c>
      <c r="M836">
        <v>2.88</v>
      </c>
      <c r="N836">
        <v>2.2200000000000002</v>
      </c>
      <c r="O836">
        <v>5.66</v>
      </c>
      <c r="P836">
        <v>3</v>
      </c>
      <c r="Q836">
        <v>5.9</v>
      </c>
      <c r="R836">
        <v>5.4</v>
      </c>
      <c r="S836">
        <v>5.2</v>
      </c>
      <c r="T836" t="s">
        <v>10</v>
      </c>
      <c r="U836">
        <v>7.8</v>
      </c>
      <c r="V836">
        <v>6.5</v>
      </c>
      <c r="W836">
        <v>1</v>
      </c>
      <c r="X836">
        <v>6.5</v>
      </c>
      <c r="Y836">
        <v>4.2</v>
      </c>
      <c r="Z836">
        <v>7</v>
      </c>
      <c r="AA836">
        <v>5.6</v>
      </c>
      <c r="AB836" t="s">
        <v>21</v>
      </c>
      <c r="AC836" t="s">
        <v>10</v>
      </c>
      <c r="AD836" t="s">
        <v>45</v>
      </c>
      <c r="AE836" t="str">
        <f t="shared" si="39"/>
        <v>15-19</v>
      </c>
      <c r="AF836" t="str">
        <f t="shared" si="40"/>
        <v>Low Usage</v>
      </c>
      <c r="AG836" t="str">
        <f t="shared" si="41"/>
        <v>Moderate Loneliness</v>
      </c>
    </row>
    <row r="837" spans="1:33" x14ac:dyDescent="0.3">
      <c r="A837" t="s">
        <v>881</v>
      </c>
      <c r="B837">
        <v>20</v>
      </c>
      <c r="C837" t="s">
        <v>32</v>
      </c>
      <c r="D837" t="s">
        <v>2</v>
      </c>
      <c r="E837" t="s">
        <v>37</v>
      </c>
      <c r="F837" t="s">
        <v>12</v>
      </c>
      <c r="G837" t="s">
        <v>17</v>
      </c>
      <c r="H837" t="s">
        <v>6</v>
      </c>
      <c r="I837" t="s">
        <v>29</v>
      </c>
      <c r="J837" t="s">
        <v>20</v>
      </c>
      <c r="K837" t="s">
        <v>53</v>
      </c>
      <c r="L837">
        <v>0</v>
      </c>
      <c r="M837">
        <v>5.86</v>
      </c>
      <c r="N837">
        <v>0</v>
      </c>
      <c r="O837">
        <v>3.43</v>
      </c>
      <c r="P837">
        <v>5</v>
      </c>
      <c r="Q837">
        <v>2</v>
      </c>
      <c r="R837">
        <v>1</v>
      </c>
      <c r="S837">
        <v>9.9</v>
      </c>
      <c r="T837" t="s">
        <v>10</v>
      </c>
      <c r="U837">
        <v>6.8</v>
      </c>
      <c r="V837">
        <v>8.8000000000000007</v>
      </c>
      <c r="W837">
        <v>8.3000000000000007</v>
      </c>
      <c r="X837">
        <v>1</v>
      </c>
      <c r="Y837">
        <v>1</v>
      </c>
      <c r="Z837">
        <v>3.6</v>
      </c>
      <c r="AA837">
        <v>7.9</v>
      </c>
      <c r="AB837" t="s">
        <v>21</v>
      </c>
      <c r="AC837" t="s">
        <v>10</v>
      </c>
      <c r="AD837" t="s">
        <v>12</v>
      </c>
      <c r="AE837" t="str">
        <f t="shared" si="39"/>
        <v>20-24</v>
      </c>
      <c r="AF837" t="str">
        <f t="shared" si="40"/>
        <v>Very Low Usage</v>
      </c>
      <c r="AG837" t="str">
        <f t="shared" si="41"/>
        <v>Low Loneliness</v>
      </c>
    </row>
    <row r="838" spans="1:33" x14ac:dyDescent="0.3">
      <c r="A838" t="s">
        <v>882</v>
      </c>
      <c r="B838">
        <v>42</v>
      </c>
      <c r="C838" t="s">
        <v>32</v>
      </c>
      <c r="D838" t="s">
        <v>2</v>
      </c>
      <c r="E838" t="s">
        <v>15</v>
      </c>
      <c r="F838" t="s">
        <v>4</v>
      </c>
      <c r="G838" t="s">
        <v>43</v>
      </c>
      <c r="H838" t="s">
        <v>6</v>
      </c>
      <c r="I838" t="s">
        <v>24</v>
      </c>
      <c r="J838" t="s">
        <v>48</v>
      </c>
      <c r="K838" t="s">
        <v>25</v>
      </c>
      <c r="L838">
        <v>3.22</v>
      </c>
      <c r="M838">
        <v>3.33</v>
      </c>
      <c r="N838">
        <v>4.57</v>
      </c>
      <c r="O838">
        <v>10.96</v>
      </c>
      <c r="P838">
        <v>4</v>
      </c>
      <c r="Q838">
        <v>7.4</v>
      </c>
      <c r="R838">
        <v>6.8</v>
      </c>
      <c r="S838">
        <v>1.7</v>
      </c>
      <c r="T838" t="s">
        <v>39</v>
      </c>
      <c r="U838">
        <v>6</v>
      </c>
      <c r="V838">
        <v>6.2</v>
      </c>
      <c r="W838">
        <v>2.7</v>
      </c>
      <c r="X838">
        <v>7</v>
      </c>
      <c r="Y838">
        <v>5.0999999999999996</v>
      </c>
      <c r="Z838">
        <v>6.9</v>
      </c>
      <c r="AA838">
        <v>2.6</v>
      </c>
      <c r="AB838" t="s">
        <v>21</v>
      </c>
      <c r="AC838" t="s">
        <v>10</v>
      </c>
      <c r="AD838" t="s">
        <v>45</v>
      </c>
      <c r="AE838" t="str">
        <f t="shared" si="39"/>
        <v>35-44</v>
      </c>
      <c r="AF838" t="str">
        <f t="shared" si="40"/>
        <v>Moderate Usage</v>
      </c>
      <c r="AG838" t="str">
        <f t="shared" si="41"/>
        <v>High Loneliness</v>
      </c>
    </row>
    <row r="839" spans="1:33" x14ac:dyDescent="0.3">
      <c r="A839" t="s">
        <v>883</v>
      </c>
      <c r="B839">
        <v>33</v>
      </c>
      <c r="C839" t="s">
        <v>1</v>
      </c>
      <c r="D839" t="s">
        <v>2</v>
      </c>
      <c r="E839" t="s">
        <v>15</v>
      </c>
      <c r="F839" t="s">
        <v>4</v>
      </c>
      <c r="G839" t="s">
        <v>5</v>
      </c>
      <c r="H839" t="s">
        <v>28</v>
      </c>
      <c r="I839" t="s">
        <v>29</v>
      </c>
      <c r="J839" t="s">
        <v>20</v>
      </c>
      <c r="K839" t="s">
        <v>53</v>
      </c>
      <c r="L839">
        <v>1.63</v>
      </c>
      <c r="M839">
        <v>4.37</v>
      </c>
      <c r="N839">
        <v>2.4900000000000002</v>
      </c>
      <c r="O839">
        <v>7.11</v>
      </c>
      <c r="P839">
        <v>4</v>
      </c>
      <c r="Q839">
        <v>7</v>
      </c>
      <c r="R839">
        <v>6.9</v>
      </c>
      <c r="S839">
        <v>5.4</v>
      </c>
      <c r="T839" t="s">
        <v>10</v>
      </c>
      <c r="U839">
        <v>6.5</v>
      </c>
      <c r="V839">
        <v>4.4000000000000004</v>
      </c>
      <c r="W839">
        <v>5.3</v>
      </c>
      <c r="X839">
        <v>4.3</v>
      </c>
      <c r="Y839">
        <v>3.4</v>
      </c>
      <c r="Z839">
        <v>3.3</v>
      </c>
      <c r="AA839">
        <v>4.7</v>
      </c>
      <c r="AB839" t="s">
        <v>44</v>
      </c>
      <c r="AC839" t="s">
        <v>10</v>
      </c>
      <c r="AD839" t="s">
        <v>45</v>
      </c>
      <c r="AE839" t="str">
        <f t="shared" si="39"/>
        <v>25-34</v>
      </c>
      <c r="AF839" t="str">
        <f t="shared" si="40"/>
        <v>Low Usage</v>
      </c>
      <c r="AG839" t="str">
        <f t="shared" si="41"/>
        <v>High Loneliness</v>
      </c>
    </row>
    <row r="840" spans="1:33" x14ac:dyDescent="0.3">
      <c r="A840" t="s">
        <v>884</v>
      </c>
      <c r="B840">
        <v>43</v>
      </c>
      <c r="C840" t="s">
        <v>32</v>
      </c>
      <c r="D840" t="s">
        <v>14</v>
      </c>
      <c r="E840" t="s">
        <v>15</v>
      </c>
      <c r="F840" t="s">
        <v>4</v>
      </c>
      <c r="G840" t="s">
        <v>43</v>
      </c>
      <c r="H840" t="s">
        <v>28</v>
      </c>
      <c r="I840" t="s">
        <v>29</v>
      </c>
      <c r="J840" t="s">
        <v>20</v>
      </c>
      <c r="K840" t="s">
        <v>53</v>
      </c>
      <c r="L840">
        <v>0</v>
      </c>
      <c r="M840">
        <v>5.17</v>
      </c>
      <c r="N840">
        <v>2.37</v>
      </c>
      <c r="O840">
        <v>4.68</v>
      </c>
      <c r="P840">
        <v>5</v>
      </c>
      <c r="Q840">
        <v>2.6</v>
      </c>
      <c r="R840">
        <v>1</v>
      </c>
      <c r="S840">
        <v>8.3000000000000007</v>
      </c>
      <c r="T840" t="s">
        <v>10</v>
      </c>
      <c r="U840">
        <v>8.4</v>
      </c>
      <c r="V840">
        <v>8.4</v>
      </c>
      <c r="W840">
        <v>5.8</v>
      </c>
      <c r="X840">
        <v>2.9</v>
      </c>
      <c r="Y840">
        <v>2.2999999999999998</v>
      </c>
      <c r="Z840">
        <v>5.4</v>
      </c>
      <c r="AA840">
        <v>10</v>
      </c>
      <c r="AB840" t="s">
        <v>11</v>
      </c>
      <c r="AC840" t="s">
        <v>39</v>
      </c>
      <c r="AD840" t="s">
        <v>12</v>
      </c>
      <c r="AE840" t="str">
        <f t="shared" si="39"/>
        <v>35-44</v>
      </c>
      <c r="AF840" t="str">
        <f t="shared" si="40"/>
        <v>Very Low Usage</v>
      </c>
      <c r="AG840" t="str">
        <f t="shared" si="41"/>
        <v>Low Loneliness</v>
      </c>
    </row>
    <row r="841" spans="1:33" x14ac:dyDescent="0.3">
      <c r="A841" t="s">
        <v>885</v>
      </c>
      <c r="B841">
        <v>26</v>
      </c>
      <c r="C841" t="s">
        <v>1</v>
      </c>
      <c r="D841" t="s">
        <v>14</v>
      </c>
      <c r="E841" t="s">
        <v>15</v>
      </c>
      <c r="F841" t="s">
        <v>4</v>
      </c>
      <c r="G841" t="s">
        <v>5</v>
      </c>
      <c r="H841" t="s">
        <v>33</v>
      </c>
      <c r="I841" t="s">
        <v>19</v>
      </c>
      <c r="J841" t="s">
        <v>8</v>
      </c>
      <c r="K841" t="s">
        <v>30</v>
      </c>
      <c r="L841">
        <v>1.52</v>
      </c>
      <c r="M841">
        <v>3.4</v>
      </c>
      <c r="N841">
        <v>0</v>
      </c>
      <c r="O841">
        <v>3.91</v>
      </c>
      <c r="P841">
        <v>7</v>
      </c>
      <c r="Q841">
        <v>6</v>
      </c>
      <c r="R841">
        <v>4.0999999999999996</v>
      </c>
      <c r="S841">
        <v>6.4</v>
      </c>
      <c r="T841" t="s">
        <v>10</v>
      </c>
      <c r="U841">
        <v>7.8</v>
      </c>
      <c r="V841">
        <v>7.1</v>
      </c>
      <c r="W841">
        <v>5.3</v>
      </c>
      <c r="X841">
        <v>5.4</v>
      </c>
      <c r="Y841">
        <v>4.3</v>
      </c>
      <c r="Z841">
        <v>5.2</v>
      </c>
      <c r="AA841">
        <v>4.3</v>
      </c>
      <c r="AB841" t="s">
        <v>44</v>
      </c>
      <c r="AC841" t="s">
        <v>10</v>
      </c>
      <c r="AD841" t="s">
        <v>12</v>
      </c>
      <c r="AE841" t="str">
        <f t="shared" si="39"/>
        <v>25-34</v>
      </c>
      <c r="AF841" t="str">
        <f t="shared" si="40"/>
        <v>Low Usage</v>
      </c>
      <c r="AG841" t="str">
        <f t="shared" si="41"/>
        <v>Moderate Loneliness</v>
      </c>
    </row>
    <row r="842" spans="1:33" x14ac:dyDescent="0.3">
      <c r="A842" t="s">
        <v>886</v>
      </c>
      <c r="B842">
        <v>36</v>
      </c>
      <c r="C842" t="s">
        <v>32</v>
      </c>
      <c r="D842" t="s">
        <v>47</v>
      </c>
      <c r="E842" t="s">
        <v>3</v>
      </c>
      <c r="F842" t="s">
        <v>16</v>
      </c>
      <c r="G842" t="s">
        <v>17</v>
      </c>
      <c r="H842" t="s">
        <v>6</v>
      </c>
      <c r="I842" t="s">
        <v>19</v>
      </c>
      <c r="J842" t="s">
        <v>8</v>
      </c>
      <c r="K842" t="s">
        <v>1079</v>
      </c>
      <c r="L842">
        <v>4.24</v>
      </c>
      <c r="M842">
        <v>0</v>
      </c>
      <c r="N842">
        <v>6.7</v>
      </c>
      <c r="O842">
        <v>12.13</v>
      </c>
      <c r="P842">
        <v>1</v>
      </c>
      <c r="Q842">
        <v>10</v>
      </c>
      <c r="R842">
        <v>10</v>
      </c>
      <c r="S842">
        <v>1</v>
      </c>
      <c r="T842" t="s">
        <v>39</v>
      </c>
      <c r="U842">
        <v>5</v>
      </c>
      <c r="V842">
        <v>2.5</v>
      </c>
      <c r="W842">
        <v>1.5</v>
      </c>
      <c r="X842">
        <v>10</v>
      </c>
      <c r="Y842">
        <v>10</v>
      </c>
      <c r="Z842">
        <v>9</v>
      </c>
      <c r="AA842">
        <v>1.9</v>
      </c>
      <c r="AB842" t="s">
        <v>44</v>
      </c>
      <c r="AC842" t="s">
        <v>10</v>
      </c>
      <c r="AD842" t="s">
        <v>45</v>
      </c>
      <c r="AE842" t="str">
        <f t="shared" si="39"/>
        <v>35-44</v>
      </c>
      <c r="AF842" t="str">
        <f t="shared" si="40"/>
        <v>High Usage</v>
      </c>
      <c r="AG842" t="str">
        <f t="shared" si="41"/>
        <v>High Loneliness</v>
      </c>
    </row>
    <row r="843" spans="1:33" x14ac:dyDescent="0.3">
      <c r="A843" t="s">
        <v>887</v>
      </c>
      <c r="B843">
        <v>21</v>
      </c>
      <c r="C843" t="s">
        <v>1</v>
      </c>
      <c r="D843" t="s">
        <v>2</v>
      </c>
      <c r="E843" t="s">
        <v>3</v>
      </c>
      <c r="F843" t="s">
        <v>12</v>
      </c>
      <c r="G843" t="s">
        <v>43</v>
      </c>
      <c r="H843" t="s">
        <v>6</v>
      </c>
      <c r="I843" t="s">
        <v>24</v>
      </c>
      <c r="J843" t="s">
        <v>20</v>
      </c>
      <c r="K843" t="s">
        <v>25</v>
      </c>
      <c r="L843">
        <v>3.02</v>
      </c>
      <c r="M843">
        <v>2.2999999999999998</v>
      </c>
      <c r="N843">
        <v>3.62</v>
      </c>
      <c r="O843">
        <v>8.7799999999999994</v>
      </c>
      <c r="P843">
        <v>1</v>
      </c>
      <c r="Q843">
        <v>5.6</v>
      </c>
      <c r="R843">
        <v>8.1999999999999993</v>
      </c>
      <c r="S843">
        <v>2.9</v>
      </c>
      <c r="T843" t="s">
        <v>39</v>
      </c>
      <c r="U843">
        <v>5.6</v>
      </c>
      <c r="V843">
        <v>5.0999999999999996</v>
      </c>
      <c r="W843">
        <v>1.6</v>
      </c>
      <c r="X843">
        <v>6.3</v>
      </c>
      <c r="Y843">
        <v>7.1</v>
      </c>
      <c r="Z843">
        <v>7</v>
      </c>
      <c r="AA843">
        <v>3.6</v>
      </c>
      <c r="AB843" t="s">
        <v>44</v>
      </c>
      <c r="AC843" t="s">
        <v>39</v>
      </c>
      <c r="AD843" t="s">
        <v>45</v>
      </c>
      <c r="AE843" t="str">
        <f t="shared" si="39"/>
        <v>20-24</v>
      </c>
      <c r="AF843" t="str">
        <f t="shared" si="40"/>
        <v>Moderate Usage</v>
      </c>
      <c r="AG843" t="str">
        <f t="shared" si="41"/>
        <v>Moderate Loneliness</v>
      </c>
    </row>
    <row r="844" spans="1:33" x14ac:dyDescent="0.3">
      <c r="A844" t="s">
        <v>888</v>
      </c>
      <c r="B844">
        <v>41</v>
      </c>
      <c r="C844" t="s">
        <v>32</v>
      </c>
      <c r="D844" t="s">
        <v>47</v>
      </c>
      <c r="E844" t="s">
        <v>15</v>
      </c>
      <c r="F844" t="s">
        <v>4</v>
      </c>
      <c r="G844" t="s">
        <v>17</v>
      </c>
      <c r="H844" t="s">
        <v>6</v>
      </c>
      <c r="I844" t="s">
        <v>29</v>
      </c>
      <c r="J844" t="s">
        <v>20</v>
      </c>
      <c r="K844" t="s">
        <v>1079</v>
      </c>
      <c r="L844">
        <v>0.14000000000000001</v>
      </c>
      <c r="M844">
        <v>5.86</v>
      </c>
      <c r="N844">
        <v>2.0099999999999998</v>
      </c>
      <c r="O844">
        <v>3.21</v>
      </c>
      <c r="P844">
        <v>5</v>
      </c>
      <c r="Q844">
        <v>3.3</v>
      </c>
      <c r="R844">
        <v>1.6</v>
      </c>
      <c r="S844">
        <v>9.1999999999999993</v>
      </c>
      <c r="T844" t="s">
        <v>10</v>
      </c>
      <c r="U844">
        <v>8.1</v>
      </c>
      <c r="V844">
        <v>7.3</v>
      </c>
      <c r="W844">
        <v>5.2</v>
      </c>
      <c r="X844">
        <v>3.8</v>
      </c>
      <c r="Y844">
        <v>2</v>
      </c>
      <c r="Z844">
        <v>3.1</v>
      </c>
      <c r="AA844">
        <v>8.6999999999999993</v>
      </c>
      <c r="AB844" t="s">
        <v>11</v>
      </c>
      <c r="AC844" t="s">
        <v>10</v>
      </c>
      <c r="AD844" t="s">
        <v>12</v>
      </c>
      <c r="AE844" t="str">
        <f t="shared" si="39"/>
        <v>35-44</v>
      </c>
      <c r="AF844" t="str">
        <f t="shared" si="40"/>
        <v>Very Low Usage</v>
      </c>
      <c r="AG844" t="str">
        <f t="shared" si="41"/>
        <v>Moderate Loneliness</v>
      </c>
    </row>
    <row r="845" spans="1:33" x14ac:dyDescent="0.3">
      <c r="A845" t="s">
        <v>889</v>
      </c>
      <c r="B845">
        <v>24</v>
      </c>
      <c r="C845" t="s">
        <v>1</v>
      </c>
      <c r="D845" t="s">
        <v>47</v>
      </c>
      <c r="E845" t="s">
        <v>37</v>
      </c>
      <c r="F845" t="s">
        <v>12</v>
      </c>
      <c r="G845" t="s">
        <v>17</v>
      </c>
      <c r="H845" t="s">
        <v>18</v>
      </c>
      <c r="I845" t="s">
        <v>19</v>
      </c>
      <c r="J845" t="s">
        <v>20</v>
      </c>
      <c r="K845" t="s">
        <v>53</v>
      </c>
      <c r="L845">
        <v>2.02</v>
      </c>
      <c r="M845">
        <v>3.67</v>
      </c>
      <c r="N845">
        <v>2.15</v>
      </c>
      <c r="O845">
        <v>5.12</v>
      </c>
      <c r="P845">
        <v>2</v>
      </c>
      <c r="Q845">
        <v>6.6</v>
      </c>
      <c r="R845">
        <v>5.2</v>
      </c>
      <c r="S845">
        <v>6</v>
      </c>
      <c r="T845" t="s">
        <v>10</v>
      </c>
      <c r="U845">
        <v>5</v>
      </c>
      <c r="V845">
        <v>4.5</v>
      </c>
      <c r="W845">
        <v>2.9</v>
      </c>
      <c r="X845">
        <v>7.4</v>
      </c>
      <c r="Y845">
        <v>6.7</v>
      </c>
      <c r="Z845">
        <v>5.2</v>
      </c>
      <c r="AA845">
        <v>3.1</v>
      </c>
      <c r="AB845" t="s">
        <v>21</v>
      </c>
      <c r="AC845" t="s">
        <v>10</v>
      </c>
      <c r="AD845" t="s">
        <v>45</v>
      </c>
      <c r="AE845" t="str">
        <f t="shared" si="39"/>
        <v>20-24</v>
      </c>
      <c r="AF845" t="str">
        <f t="shared" si="40"/>
        <v>Low Usage</v>
      </c>
      <c r="AG845" t="str">
        <f t="shared" si="41"/>
        <v>High Loneliness</v>
      </c>
    </row>
    <row r="846" spans="1:33" x14ac:dyDescent="0.3">
      <c r="A846" t="s">
        <v>890</v>
      </c>
      <c r="B846">
        <v>40</v>
      </c>
      <c r="C846" t="s">
        <v>1</v>
      </c>
      <c r="D846" t="s">
        <v>58</v>
      </c>
      <c r="E846" t="s">
        <v>37</v>
      </c>
      <c r="F846" t="s">
        <v>12</v>
      </c>
      <c r="G846" t="s">
        <v>5</v>
      </c>
      <c r="H846" t="s">
        <v>18</v>
      </c>
      <c r="I846" t="s">
        <v>29</v>
      </c>
      <c r="J846" t="s">
        <v>8</v>
      </c>
      <c r="K846" t="s">
        <v>1079</v>
      </c>
      <c r="L846">
        <v>0</v>
      </c>
      <c r="M846">
        <v>4.5599999999999996</v>
      </c>
      <c r="N846">
        <v>1.61</v>
      </c>
      <c r="O846">
        <v>1.99</v>
      </c>
      <c r="P846">
        <v>8</v>
      </c>
      <c r="Q846">
        <v>2.8</v>
      </c>
      <c r="R846">
        <v>2.1</v>
      </c>
      <c r="S846">
        <v>7.5</v>
      </c>
      <c r="T846" t="s">
        <v>10</v>
      </c>
      <c r="U846">
        <v>6.1</v>
      </c>
      <c r="V846">
        <v>9.1999999999999993</v>
      </c>
      <c r="W846">
        <v>6.7</v>
      </c>
      <c r="X846">
        <v>3.6</v>
      </c>
      <c r="Y846">
        <v>1</v>
      </c>
      <c r="Z846">
        <v>3.3</v>
      </c>
      <c r="AA846">
        <v>8.4</v>
      </c>
      <c r="AB846" t="s">
        <v>11</v>
      </c>
      <c r="AC846" t="s">
        <v>10</v>
      </c>
      <c r="AD846" t="s">
        <v>12</v>
      </c>
      <c r="AE846" t="str">
        <f t="shared" si="39"/>
        <v>35-44</v>
      </c>
      <c r="AF846" t="str">
        <f t="shared" si="40"/>
        <v>Very Low Usage</v>
      </c>
      <c r="AG846" t="str">
        <f t="shared" si="41"/>
        <v>Low Loneliness</v>
      </c>
    </row>
    <row r="847" spans="1:33" x14ac:dyDescent="0.3">
      <c r="A847" t="s">
        <v>891</v>
      </c>
      <c r="B847">
        <v>33</v>
      </c>
      <c r="C847" t="s">
        <v>27</v>
      </c>
      <c r="D847" t="s">
        <v>58</v>
      </c>
      <c r="E847" t="s">
        <v>3</v>
      </c>
      <c r="F847" t="s">
        <v>4</v>
      </c>
      <c r="G847" t="s">
        <v>17</v>
      </c>
      <c r="H847" t="s">
        <v>28</v>
      </c>
      <c r="I847" t="s">
        <v>254</v>
      </c>
      <c r="J847" t="s">
        <v>48</v>
      </c>
      <c r="K847" t="s">
        <v>30</v>
      </c>
      <c r="L847">
        <v>0.51</v>
      </c>
      <c r="M847">
        <v>3.6</v>
      </c>
      <c r="N847">
        <v>0.75</v>
      </c>
      <c r="O847">
        <v>3.67</v>
      </c>
      <c r="P847">
        <v>7</v>
      </c>
      <c r="Q847">
        <v>1.5</v>
      </c>
      <c r="R847">
        <v>1</v>
      </c>
      <c r="S847">
        <v>10</v>
      </c>
      <c r="T847" t="s">
        <v>10</v>
      </c>
      <c r="U847">
        <v>10</v>
      </c>
      <c r="V847">
        <v>8.6999999999999993</v>
      </c>
      <c r="W847">
        <v>5.9</v>
      </c>
      <c r="X847">
        <v>1.1000000000000001</v>
      </c>
      <c r="Y847">
        <v>1</v>
      </c>
      <c r="Z847">
        <v>2.5</v>
      </c>
      <c r="AA847">
        <v>7.5</v>
      </c>
      <c r="AB847" t="s">
        <v>11</v>
      </c>
      <c r="AC847" t="s">
        <v>39</v>
      </c>
      <c r="AD847" t="s">
        <v>12</v>
      </c>
      <c r="AE847" t="str">
        <f t="shared" si="39"/>
        <v>25-34</v>
      </c>
      <c r="AF847" t="str">
        <f t="shared" si="40"/>
        <v>Very Low Usage</v>
      </c>
      <c r="AG847" t="str">
        <f t="shared" si="41"/>
        <v>Low Loneliness</v>
      </c>
    </row>
    <row r="848" spans="1:33" x14ac:dyDescent="0.3">
      <c r="A848" t="s">
        <v>892</v>
      </c>
      <c r="B848">
        <v>21</v>
      </c>
      <c r="C848" t="s">
        <v>1</v>
      </c>
      <c r="D848" t="s">
        <v>2</v>
      </c>
      <c r="E848" t="s">
        <v>37</v>
      </c>
      <c r="F848" t="s">
        <v>4</v>
      </c>
      <c r="G848" t="s">
        <v>17</v>
      </c>
      <c r="H848" t="s">
        <v>28</v>
      </c>
      <c r="I848" t="s">
        <v>19</v>
      </c>
      <c r="J848" t="s">
        <v>51</v>
      </c>
      <c r="K848" t="s">
        <v>1079</v>
      </c>
      <c r="L848">
        <v>1.71</v>
      </c>
      <c r="M848">
        <v>3.93</v>
      </c>
      <c r="N848">
        <v>1.24</v>
      </c>
      <c r="O848">
        <v>5.1100000000000003</v>
      </c>
      <c r="P848">
        <v>5</v>
      </c>
      <c r="Q848">
        <v>4.9000000000000004</v>
      </c>
      <c r="R848">
        <v>5.6</v>
      </c>
      <c r="S848">
        <v>2.8</v>
      </c>
      <c r="T848" t="s">
        <v>10</v>
      </c>
      <c r="U848">
        <v>6.3</v>
      </c>
      <c r="V848">
        <v>7.7</v>
      </c>
      <c r="W848">
        <v>4.5</v>
      </c>
      <c r="X848">
        <v>5.3</v>
      </c>
      <c r="Y848">
        <v>3</v>
      </c>
      <c r="Z848">
        <v>4.8</v>
      </c>
      <c r="AA848">
        <v>5.0999999999999996</v>
      </c>
      <c r="AB848" t="s">
        <v>21</v>
      </c>
      <c r="AC848" t="s">
        <v>10</v>
      </c>
      <c r="AD848" t="s">
        <v>22</v>
      </c>
      <c r="AE848" t="str">
        <f t="shared" si="39"/>
        <v>20-24</v>
      </c>
      <c r="AF848" t="str">
        <f t="shared" si="40"/>
        <v>Low Usage</v>
      </c>
      <c r="AG848" t="str">
        <f t="shared" si="41"/>
        <v>Moderate Loneliness</v>
      </c>
    </row>
    <row r="849" spans="1:33" x14ac:dyDescent="0.3">
      <c r="A849" t="s">
        <v>893</v>
      </c>
      <c r="B849">
        <v>44</v>
      </c>
      <c r="C849" t="s">
        <v>32</v>
      </c>
      <c r="D849" t="s">
        <v>14</v>
      </c>
      <c r="E849" t="s">
        <v>3</v>
      </c>
      <c r="F849" t="s">
        <v>16</v>
      </c>
      <c r="G849" t="s">
        <v>5</v>
      </c>
      <c r="H849" t="s">
        <v>18</v>
      </c>
      <c r="I849" t="s">
        <v>24</v>
      </c>
      <c r="J849" t="s">
        <v>8</v>
      </c>
      <c r="K849" t="s">
        <v>1079</v>
      </c>
      <c r="L849">
        <v>0.85</v>
      </c>
      <c r="M849">
        <v>4.32</v>
      </c>
      <c r="N849">
        <v>1.84</v>
      </c>
      <c r="O849">
        <v>4.3899999999999997</v>
      </c>
      <c r="P849">
        <v>6</v>
      </c>
      <c r="Q849">
        <v>6.3</v>
      </c>
      <c r="R849">
        <v>6.7</v>
      </c>
      <c r="S849">
        <v>5.2</v>
      </c>
      <c r="T849" t="s">
        <v>10</v>
      </c>
      <c r="U849">
        <v>6.2</v>
      </c>
      <c r="V849">
        <v>5.2</v>
      </c>
      <c r="W849">
        <v>1.8</v>
      </c>
      <c r="X849">
        <v>7.3</v>
      </c>
      <c r="Y849">
        <v>6.8</v>
      </c>
      <c r="Z849">
        <v>2.9</v>
      </c>
      <c r="AA849">
        <v>5.8</v>
      </c>
      <c r="AB849" t="s">
        <v>21</v>
      </c>
      <c r="AC849" t="s">
        <v>10</v>
      </c>
      <c r="AD849" t="s">
        <v>12</v>
      </c>
      <c r="AE849" t="str">
        <f t="shared" si="39"/>
        <v>35-44</v>
      </c>
      <c r="AF849" t="str">
        <f t="shared" si="40"/>
        <v>Very Low Usage</v>
      </c>
      <c r="AG849" t="str">
        <f t="shared" si="41"/>
        <v>High Loneliness</v>
      </c>
    </row>
    <row r="850" spans="1:33" x14ac:dyDescent="0.3">
      <c r="A850" t="s">
        <v>894</v>
      </c>
      <c r="B850">
        <v>17</v>
      </c>
      <c r="C850" t="s">
        <v>1</v>
      </c>
      <c r="D850" t="s">
        <v>2</v>
      </c>
      <c r="E850" t="s">
        <v>15</v>
      </c>
      <c r="F850" t="s">
        <v>4</v>
      </c>
      <c r="G850" t="s">
        <v>5</v>
      </c>
      <c r="H850" t="s">
        <v>33</v>
      </c>
      <c r="I850" t="s">
        <v>29</v>
      </c>
      <c r="J850" t="s">
        <v>20</v>
      </c>
      <c r="K850" t="s">
        <v>25</v>
      </c>
      <c r="L850">
        <v>3.26</v>
      </c>
      <c r="M850">
        <v>2.63</v>
      </c>
      <c r="N850">
        <v>2.09</v>
      </c>
      <c r="O850">
        <v>6.91</v>
      </c>
      <c r="P850">
        <v>1</v>
      </c>
      <c r="Q850">
        <v>5.9</v>
      </c>
      <c r="R850">
        <v>3.7</v>
      </c>
      <c r="S850">
        <v>2.7</v>
      </c>
      <c r="T850" t="s">
        <v>10</v>
      </c>
      <c r="U850">
        <v>6.9</v>
      </c>
      <c r="V850">
        <v>4.7</v>
      </c>
      <c r="W850">
        <v>1.1000000000000001</v>
      </c>
      <c r="X850">
        <v>5.8</v>
      </c>
      <c r="Y850">
        <v>5.6</v>
      </c>
      <c r="Z850">
        <v>6.1</v>
      </c>
      <c r="AA850">
        <v>3.1</v>
      </c>
      <c r="AB850" t="s">
        <v>21</v>
      </c>
      <c r="AC850" t="s">
        <v>10</v>
      </c>
      <c r="AD850" t="s">
        <v>45</v>
      </c>
      <c r="AE850" t="str">
        <f t="shared" si="39"/>
        <v>15-19</v>
      </c>
      <c r="AF850" t="str">
        <f t="shared" si="40"/>
        <v>Moderate Usage</v>
      </c>
      <c r="AG850" t="str">
        <f t="shared" si="41"/>
        <v>Moderate Loneliness</v>
      </c>
    </row>
    <row r="851" spans="1:33" x14ac:dyDescent="0.3">
      <c r="A851" t="s">
        <v>895</v>
      </c>
      <c r="B851">
        <v>27</v>
      </c>
      <c r="C851" t="s">
        <v>32</v>
      </c>
      <c r="D851" t="s">
        <v>14</v>
      </c>
      <c r="E851" t="s">
        <v>3</v>
      </c>
      <c r="F851" t="s">
        <v>45</v>
      </c>
      <c r="G851" t="s">
        <v>17</v>
      </c>
      <c r="H851" t="s">
        <v>18</v>
      </c>
      <c r="I851" t="s">
        <v>29</v>
      </c>
      <c r="J851" t="s">
        <v>38</v>
      </c>
      <c r="K851" t="s">
        <v>9</v>
      </c>
      <c r="L851">
        <v>2.99</v>
      </c>
      <c r="M851">
        <v>1.65</v>
      </c>
      <c r="N851">
        <v>3.71</v>
      </c>
      <c r="O851">
        <v>6.86</v>
      </c>
      <c r="P851">
        <v>4</v>
      </c>
      <c r="Q851">
        <v>5.4</v>
      </c>
      <c r="R851">
        <v>6.5</v>
      </c>
      <c r="S851">
        <v>4.8</v>
      </c>
      <c r="T851" t="s">
        <v>39</v>
      </c>
      <c r="U851">
        <v>6.7</v>
      </c>
      <c r="V851">
        <v>3.1</v>
      </c>
      <c r="W851">
        <v>3.1</v>
      </c>
      <c r="X851">
        <v>7.8</v>
      </c>
      <c r="Y851">
        <v>6.5</v>
      </c>
      <c r="Z851">
        <v>5.0999999999999996</v>
      </c>
      <c r="AA851">
        <v>4.8</v>
      </c>
      <c r="AB851" t="s">
        <v>44</v>
      </c>
      <c r="AC851" t="s">
        <v>10</v>
      </c>
      <c r="AD851" t="s">
        <v>45</v>
      </c>
      <c r="AE851" t="str">
        <f t="shared" si="39"/>
        <v>25-34</v>
      </c>
      <c r="AF851" t="str">
        <f t="shared" si="40"/>
        <v>Moderate Usage</v>
      </c>
      <c r="AG851" t="str">
        <f t="shared" si="41"/>
        <v>Moderate Loneliness</v>
      </c>
    </row>
    <row r="852" spans="1:33" x14ac:dyDescent="0.3">
      <c r="A852" t="s">
        <v>896</v>
      </c>
      <c r="B852">
        <v>27</v>
      </c>
      <c r="C852" t="s">
        <v>1</v>
      </c>
      <c r="D852" t="s">
        <v>2</v>
      </c>
      <c r="E852" t="s">
        <v>37</v>
      </c>
      <c r="F852" t="s">
        <v>12</v>
      </c>
      <c r="G852" t="s">
        <v>66</v>
      </c>
      <c r="H852" t="s">
        <v>33</v>
      </c>
      <c r="I852" t="s">
        <v>254</v>
      </c>
      <c r="J852" t="s">
        <v>8</v>
      </c>
      <c r="K852" t="s">
        <v>53</v>
      </c>
      <c r="L852">
        <v>2.5099999999999998</v>
      </c>
      <c r="M852">
        <v>2.87</v>
      </c>
      <c r="N852">
        <v>2.36</v>
      </c>
      <c r="O852">
        <v>7.12</v>
      </c>
      <c r="P852">
        <v>4</v>
      </c>
      <c r="Q852">
        <v>6.5</v>
      </c>
      <c r="R852">
        <v>3.3</v>
      </c>
      <c r="S852">
        <v>4.7</v>
      </c>
      <c r="T852" t="s">
        <v>10</v>
      </c>
      <c r="U852">
        <v>7.5</v>
      </c>
      <c r="V852">
        <v>6.7</v>
      </c>
      <c r="W852">
        <v>3.7</v>
      </c>
      <c r="X852">
        <v>5.7</v>
      </c>
      <c r="Y852">
        <v>4.3</v>
      </c>
      <c r="Z852">
        <v>5.2</v>
      </c>
      <c r="AA852">
        <v>5.0999999999999996</v>
      </c>
      <c r="AB852" t="s">
        <v>44</v>
      </c>
      <c r="AC852" t="s">
        <v>10</v>
      </c>
      <c r="AD852" t="s">
        <v>45</v>
      </c>
      <c r="AE852" t="str">
        <f t="shared" si="39"/>
        <v>25-34</v>
      </c>
      <c r="AF852" t="str">
        <f t="shared" si="40"/>
        <v>Moderate Usage</v>
      </c>
      <c r="AG852" t="str">
        <f t="shared" si="41"/>
        <v>High Loneliness</v>
      </c>
    </row>
    <row r="853" spans="1:33" x14ac:dyDescent="0.3">
      <c r="A853" t="s">
        <v>897</v>
      </c>
      <c r="B853">
        <v>32</v>
      </c>
      <c r="C853" t="s">
        <v>27</v>
      </c>
      <c r="D853" t="s">
        <v>2</v>
      </c>
      <c r="E853" t="s">
        <v>3</v>
      </c>
      <c r="F853" t="s">
        <v>12</v>
      </c>
      <c r="G853" t="s">
        <v>5</v>
      </c>
      <c r="H853" t="s">
        <v>28</v>
      </c>
      <c r="I853" t="s">
        <v>29</v>
      </c>
      <c r="J853" t="s">
        <v>20</v>
      </c>
      <c r="K853" t="s">
        <v>1079</v>
      </c>
      <c r="L853">
        <v>0.11</v>
      </c>
      <c r="M853">
        <v>6.1</v>
      </c>
      <c r="N853">
        <v>0</v>
      </c>
      <c r="O853">
        <v>1.8</v>
      </c>
      <c r="P853">
        <v>6</v>
      </c>
      <c r="Q853">
        <v>2.7</v>
      </c>
      <c r="R853">
        <v>1</v>
      </c>
      <c r="S853">
        <v>7.9</v>
      </c>
      <c r="T853" t="s">
        <v>10</v>
      </c>
      <c r="U853">
        <v>9</v>
      </c>
      <c r="V853">
        <v>9.8000000000000007</v>
      </c>
      <c r="W853">
        <v>4.4000000000000004</v>
      </c>
      <c r="X853">
        <v>1</v>
      </c>
      <c r="Y853">
        <v>1.6</v>
      </c>
      <c r="Z853">
        <v>2.5</v>
      </c>
      <c r="AA853">
        <v>7.9</v>
      </c>
      <c r="AB853" t="s">
        <v>11</v>
      </c>
      <c r="AC853" t="s">
        <v>10</v>
      </c>
      <c r="AD853" t="s">
        <v>12</v>
      </c>
      <c r="AE853" t="str">
        <f t="shared" si="39"/>
        <v>25-34</v>
      </c>
      <c r="AF853" t="str">
        <f t="shared" si="40"/>
        <v>Very Low Usage</v>
      </c>
      <c r="AG853" t="str">
        <f t="shared" si="41"/>
        <v>Low Loneliness</v>
      </c>
    </row>
    <row r="854" spans="1:33" x14ac:dyDescent="0.3">
      <c r="A854" t="s">
        <v>898</v>
      </c>
      <c r="B854">
        <v>42</v>
      </c>
      <c r="C854" t="s">
        <v>1</v>
      </c>
      <c r="D854" t="s">
        <v>2</v>
      </c>
      <c r="E854" t="s">
        <v>15</v>
      </c>
      <c r="F854" t="s">
        <v>12</v>
      </c>
      <c r="G854" t="s">
        <v>43</v>
      </c>
      <c r="H854" t="s">
        <v>18</v>
      </c>
      <c r="I854" t="s">
        <v>19</v>
      </c>
      <c r="J854" t="s">
        <v>8</v>
      </c>
      <c r="K854" t="s">
        <v>1079</v>
      </c>
      <c r="L854">
        <v>1.43</v>
      </c>
      <c r="M854">
        <v>5.31</v>
      </c>
      <c r="N854">
        <v>2.81</v>
      </c>
      <c r="O854">
        <v>7.14</v>
      </c>
      <c r="P854">
        <v>4</v>
      </c>
      <c r="Q854">
        <v>4.0999999999999996</v>
      </c>
      <c r="R854">
        <v>3.8</v>
      </c>
      <c r="S854">
        <v>5.2</v>
      </c>
      <c r="T854" t="s">
        <v>10</v>
      </c>
      <c r="U854">
        <v>5.7</v>
      </c>
      <c r="V854">
        <v>3.9</v>
      </c>
      <c r="W854">
        <v>4.9000000000000004</v>
      </c>
      <c r="X854">
        <v>3.5</v>
      </c>
      <c r="Y854">
        <v>4.8</v>
      </c>
      <c r="Z854">
        <v>4.2</v>
      </c>
      <c r="AA854">
        <v>5.2</v>
      </c>
      <c r="AB854" t="s">
        <v>21</v>
      </c>
      <c r="AC854" t="s">
        <v>39</v>
      </c>
      <c r="AD854" t="s">
        <v>12</v>
      </c>
      <c r="AE854" t="str">
        <f t="shared" si="39"/>
        <v>35-44</v>
      </c>
      <c r="AF854" t="str">
        <f t="shared" si="40"/>
        <v>Low Usage</v>
      </c>
      <c r="AG854" t="str">
        <f t="shared" si="41"/>
        <v>Moderate Loneliness</v>
      </c>
    </row>
    <row r="855" spans="1:33" x14ac:dyDescent="0.3">
      <c r="A855" t="s">
        <v>899</v>
      </c>
      <c r="B855">
        <v>44</v>
      </c>
      <c r="C855" t="s">
        <v>1</v>
      </c>
      <c r="D855" t="s">
        <v>14</v>
      </c>
      <c r="E855" t="s">
        <v>37</v>
      </c>
      <c r="F855" t="s">
        <v>12</v>
      </c>
      <c r="G855" t="s">
        <v>17</v>
      </c>
      <c r="H855" t="s">
        <v>28</v>
      </c>
      <c r="I855" t="s">
        <v>24</v>
      </c>
      <c r="J855" t="s">
        <v>20</v>
      </c>
      <c r="K855" t="s">
        <v>9</v>
      </c>
      <c r="L855">
        <v>3.26</v>
      </c>
      <c r="M855">
        <v>2.68</v>
      </c>
      <c r="N855">
        <v>1.3</v>
      </c>
      <c r="O855">
        <v>6.7</v>
      </c>
      <c r="P855">
        <v>4</v>
      </c>
      <c r="Q855">
        <v>6.9</v>
      </c>
      <c r="R855">
        <v>5.3</v>
      </c>
      <c r="S855">
        <v>3</v>
      </c>
      <c r="T855" t="s">
        <v>39</v>
      </c>
      <c r="U855">
        <v>7.5</v>
      </c>
      <c r="V855">
        <v>5.3</v>
      </c>
      <c r="W855">
        <v>3.8</v>
      </c>
      <c r="X855">
        <v>4.7</v>
      </c>
      <c r="Y855">
        <v>4.0999999999999996</v>
      </c>
      <c r="Z855">
        <v>6.1</v>
      </c>
      <c r="AA855">
        <v>4.5999999999999996</v>
      </c>
      <c r="AB855" t="s">
        <v>21</v>
      </c>
      <c r="AC855" t="s">
        <v>10</v>
      </c>
      <c r="AD855" t="s">
        <v>45</v>
      </c>
      <c r="AE855" t="str">
        <f t="shared" si="39"/>
        <v>35-44</v>
      </c>
      <c r="AF855" t="str">
        <f t="shared" si="40"/>
        <v>Moderate Usage</v>
      </c>
      <c r="AG855" t="str">
        <f t="shared" si="41"/>
        <v>High Loneliness</v>
      </c>
    </row>
    <row r="856" spans="1:33" x14ac:dyDescent="0.3">
      <c r="A856" t="s">
        <v>900</v>
      </c>
      <c r="B856">
        <v>40</v>
      </c>
      <c r="C856" t="s">
        <v>1</v>
      </c>
      <c r="D856" t="s">
        <v>14</v>
      </c>
      <c r="E856" t="s">
        <v>15</v>
      </c>
      <c r="F856" t="s">
        <v>4</v>
      </c>
      <c r="G856" t="s">
        <v>5</v>
      </c>
      <c r="H856" t="s">
        <v>18</v>
      </c>
      <c r="I856" t="s">
        <v>29</v>
      </c>
      <c r="J856" t="s">
        <v>8</v>
      </c>
      <c r="K856" t="s">
        <v>9</v>
      </c>
      <c r="L856">
        <v>1.7</v>
      </c>
      <c r="M856">
        <v>4.57</v>
      </c>
      <c r="N856">
        <v>4.2699999999999996</v>
      </c>
      <c r="O856">
        <v>8.68</v>
      </c>
      <c r="P856">
        <v>5</v>
      </c>
      <c r="Q856">
        <v>7</v>
      </c>
      <c r="R856">
        <v>8.1999999999999993</v>
      </c>
      <c r="S856">
        <v>5.2</v>
      </c>
      <c r="T856" t="s">
        <v>10</v>
      </c>
      <c r="U856">
        <v>7.1</v>
      </c>
      <c r="V856">
        <v>5.2</v>
      </c>
      <c r="W856">
        <v>3.7</v>
      </c>
      <c r="X856">
        <v>5.3</v>
      </c>
      <c r="Y856">
        <v>4.9000000000000004</v>
      </c>
      <c r="Z856">
        <v>5.9</v>
      </c>
      <c r="AA856">
        <v>5.0999999999999996</v>
      </c>
      <c r="AB856" t="s">
        <v>21</v>
      </c>
      <c r="AC856" t="s">
        <v>10</v>
      </c>
      <c r="AD856" t="s">
        <v>22</v>
      </c>
      <c r="AE856" t="str">
        <f t="shared" si="39"/>
        <v>35-44</v>
      </c>
      <c r="AF856" t="str">
        <f t="shared" si="40"/>
        <v>Low Usage</v>
      </c>
      <c r="AG856" t="str">
        <f t="shared" si="41"/>
        <v>High Loneliness</v>
      </c>
    </row>
    <row r="857" spans="1:33" x14ac:dyDescent="0.3">
      <c r="A857" t="s">
        <v>901</v>
      </c>
      <c r="B857">
        <v>34</v>
      </c>
      <c r="C857" t="s">
        <v>1</v>
      </c>
      <c r="D857" t="s">
        <v>2</v>
      </c>
      <c r="E857" t="s">
        <v>15</v>
      </c>
      <c r="F857" t="s">
        <v>16</v>
      </c>
      <c r="G857" t="s">
        <v>43</v>
      </c>
      <c r="H857" t="s">
        <v>33</v>
      </c>
      <c r="I857" t="s">
        <v>7</v>
      </c>
      <c r="J857" t="s">
        <v>38</v>
      </c>
      <c r="K857" t="s">
        <v>53</v>
      </c>
      <c r="L857">
        <v>2.41</v>
      </c>
      <c r="M857">
        <v>4.74</v>
      </c>
      <c r="N857">
        <v>4.67</v>
      </c>
      <c r="O857">
        <v>9.08</v>
      </c>
      <c r="P857">
        <v>2</v>
      </c>
      <c r="Q857">
        <v>6.5</v>
      </c>
      <c r="R857">
        <v>6</v>
      </c>
      <c r="S857">
        <v>6.9</v>
      </c>
      <c r="T857" t="s">
        <v>39</v>
      </c>
      <c r="U857">
        <v>7.2</v>
      </c>
      <c r="V857">
        <v>7.1</v>
      </c>
      <c r="W857">
        <v>3.8</v>
      </c>
      <c r="X857">
        <v>4.7</v>
      </c>
      <c r="Y857">
        <v>4.5</v>
      </c>
      <c r="Z857">
        <v>4.7</v>
      </c>
      <c r="AA857">
        <v>5.7</v>
      </c>
      <c r="AB857" t="s">
        <v>21</v>
      </c>
      <c r="AC857" t="s">
        <v>10</v>
      </c>
      <c r="AD857" t="s">
        <v>12</v>
      </c>
      <c r="AE857" t="str">
        <f t="shared" si="39"/>
        <v>25-34</v>
      </c>
      <c r="AF857" t="str">
        <f t="shared" si="40"/>
        <v>Low Usage</v>
      </c>
      <c r="AG857" t="str">
        <f t="shared" si="41"/>
        <v>High Loneliness</v>
      </c>
    </row>
    <row r="858" spans="1:33" x14ac:dyDescent="0.3">
      <c r="A858" t="s">
        <v>902</v>
      </c>
      <c r="B858">
        <v>42</v>
      </c>
      <c r="C858" t="s">
        <v>32</v>
      </c>
      <c r="D858" t="s">
        <v>14</v>
      </c>
      <c r="E858" t="s">
        <v>37</v>
      </c>
      <c r="F858" t="s">
        <v>12</v>
      </c>
      <c r="G858" t="s">
        <v>5</v>
      </c>
      <c r="H858" t="s">
        <v>33</v>
      </c>
      <c r="I858" t="s">
        <v>19</v>
      </c>
      <c r="J858" t="s">
        <v>48</v>
      </c>
      <c r="K858" t="s">
        <v>25</v>
      </c>
      <c r="L858">
        <v>2.1</v>
      </c>
      <c r="M858">
        <v>2.46</v>
      </c>
      <c r="N858">
        <v>1.52</v>
      </c>
      <c r="O858">
        <v>5.8</v>
      </c>
      <c r="P858">
        <v>6</v>
      </c>
      <c r="Q858">
        <v>6</v>
      </c>
      <c r="R858">
        <v>6.9</v>
      </c>
      <c r="S858">
        <v>7.9</v>
      </c>
      <c r="T858" t="s">
        <v>10</v>
      </c>
      <c r="U858">
        <v>7.1</v>
      </c>
      <c r="V858">
        <v>5.8</v>
      </c>
      <c r="W858">
        <v>1.7</v>
      </c>
      <c r="X858">
        <v>5.4</v>
      </c>
      <c r="Y858">
        <v>4.3</v>
      </c>
      <c r="Z858">
        <v>4.3</v>
      </c>
      <c r="AA858">
        <v>5.0999999999999996</v>
      </c>
      <c r="AB858" t="s">
        <v>21</v>
      </c>
      <c r="AC858" t="s">
        <v>10</v>
      </c>
      <c r="AD858" t="s">
        <v>22</v>
      </c>
      <c r="AE858" t="str">
        <f t="shared" si="39"/>
        <v>35-44</v>
      </c>
      <c r="AF858" t="str">
        <f t="shared" si="40"/>
        <v>Low Usage</v>
      </c>
      <c r="AG858" t="str">
        <f t="shared" si="41"/>
        <v>Moderate Loneliness</v>
      </c>
    </row>
    <row r="859" spans="1:33" x14ac:dyDescent="0.3">
      <c r="A859" t="s">
        <v>903</v>
      </c>
      <c r="B859">
        <v>22</v>
      </c>
      <c r="C859" t="s">
        <v>1</v>
      </c>
      <c r="D859" t="s">
        <v>58</v>
      </c>
      <c r="E859" t="s">
        <v>59</v>
      </c>
      <c r="F859" t="s">
        <v>45</v>
      </c>
      <c r="G859" t="s">
        <v>5</v>
      </c>
      <c r="H859" t="s">
        <v>6</v>
      </c>
      <c r="I859" t="s">
        <v>29</v>
      </c>
      <c r="J859" t="s">
        <v>51</v>
      </c>
      <c r="K859" t="s">
        <v>1079</v>
      </c>
      <c r="L859">
        <v>0.8</v>
      </c>
      <c r="M859">
        <v>4.91</v>
      </c>
      <c r="N859">
        <v>3.86</v>
      </c>
      <c r="O859">
        <v>7.6</v>
      </c>
      <c r="P859">
        <v>5</v>
      </c>
      <c r="Q859">
        <v>6.2</v>
      </c>
      <c r="R859">
        <v>5.0999999999999996</v>
      </c>
      <c r="S859">
        <v>5.2</v>
      </c>
      <c r="T859" t="s">
        <v>10</v>
      </c>
      <c r="U859">
        <v>4.8</v>
      </c>
      <c r="V859">
        <v>5</v>
      </c>
      <c r="W859">
        <v>1.7</v>
      </c>
      <c r="X859">
        <v>6.8</v>
      </c>
      <c r="Y859">
        <v>6.3</v>
      </c>
      <c r="Z859">
        <v>3.5</v>
      </c>
      <c r="AA859">
        <v>5</v>
      </c>
      <c r="AB859" t="s">
        <v>21</v>
      </c>
      <c r="AC859" t="s">
        <v>10</v>
      </c>
      <c r="AD859" t="s">
        <v>12</v>
      </c>
      <c r="AE859" t="str">
        <f t="shared" si="39"/>
        <v>20-24</v>
      </c>
      <c r="AF859" t="str">
        <f t="shared" si="40"/>
        <v>Very Low Usage</v>
      </c>
      <c r="AG859" t="str">
        <f t="shared" si="41"/>
        <v>High Loneliness</v>
      </c>
    </row>
    <row r="860" spans="1:33" x14ac:dyDescent="0.3">
      <c r="A860" t="s">
        <v>904</v>
      </c>
      <c r="B860">
        <v>43</v>
      </c>
      <c r="C860" t="s">
        <v>32</v>
      </c>
      <c r="D860" t="s">
        <v>14</v>
      </c>
      <c r="E860" t="s">
        <v>59</v>
      </c>
      <c r="F860" t="s">
        <v>16</v>
      </c>
      <c r="G860" t="s">
        <v>17</v>
      </c>
      <c r="H860" t="s">
        <v>28</v>
      </c>
      <c r="I860" t="s">
        <v>29</v>
      </c>
      <c r="J860" t="s">
        <v>48</v>
      </c>
      <c r="K860" t="s">
        <v>53</v>
      </c>
      <c r="L860">
        <v>0</v>
      </c>
      <c r="M860">
        <v>6.46</v>
      </c>
      <c r="N860">
        <v>0.88</v>
      </c>
      <c r="O860">
        <v>2.69</v>
      </c>
      <c r="P860">
        <v>7</v>
      </c>
      <c r="Q860">
        <v>1.3</v>
      </c>
      <c r="R860">
        <v>1</v>
      </c>
      <c r="S860">
        <v>10</v>
      </c>
      <c r="T860" t="s">
        <v>10</v>
      </c>
      <c r="U860">
        <v>8.1999999999999993</v>
      </c>
      <c r="V860">
        <v>10</v>
      </c>
      <c r="W860">
        <v>6.9</v>
      </c>
      <c r="X860">
        <v>1</v>
      </c>
      <c r="Y860">
        <v>1</v>
      </c>
      <c r="Z860">
        <v>2.1</v>
      </c>
      <c r="AA860">
        <v>9.6999999999999993</v>
      </c>
      <c r="AB860" t="s">
        <v>11</v>
      </c>
      <c r="AC860" t="s">
        <v>10</v>
      </c>
      <c r="AD860" t="s">
        <v>12</v>
      </c>
      <c r="AE860" t="str">
        <f t="shared" si="39"/>
        <v>35-44</v>
      </c>
      <c r="AF860" t="str">
        <f t="shared" si="40"/>
        <v>Very Low Usage</v>
      </c>
      <c r="AG860" t="str">
        <f t="shared" si="41"/>
        <v>Low Loneliness</v>
      </c>
    </row>
    <row r="861" spans="1:33" x14ac:dyDescent="0.3">
      <c r="A861" t="s">
        <v>905</v>
      </c>
      <c r="B861">
        <v>23</v>
      </c>
      <c r="C861" t="s">
        <v>1</v>
      </c>
      <c r="D861" t="s">
        <v>14</v>
      </c>
      <c r="E861" t="s">
        <v>15</v>
      </c>
      <c r="F861" t="s">
        <v>4</v>
      </c>
      <c r="G861" t="s">
        <v>17</v>
      </c>
      <c r="H861" t="s">
        <v>18</v>
      </c>
      <c r="I861" t="s">
        <v>29</v>
      </c>
      <c r="J861" t="s">
        <v>20</v>
      </c>
      <c r="K861" t="s">
        <v>53</v>
      </c>
      <c r="L861">
        <v>2.9</v>
      </c>
      <c r="M861">
        <v>1.52</v>
      </c>
      <c r="N861">
        <v>3.15</v>
      </c>
      <c r="O861">
        <v>8.52</v>
      </c>
      <c r="P861">
        <v>1</v>
      </c>
      <c r="Q861">
        <v>8.4</v>
      </c>
      <c r="R861">
        <v>9.1999999999999993</v>
      </c>
      <c r="S861">
        <v>5.2</v>
      </c>
      <c r="T861" t="s">
        <v>39</v>
      </c>
      <c r="U861">
        <v>5.3</v>
      </c>
      <c r="V861">
        <v>6.3</v>
      </c>
      <c r="W861">
        <v>1.4</v>
      </c>
      <c r="X861">
        <v>6.5</v>
      </c>
      <c r="Y861">
        <v>5.9</v>
      </c>
      <c r="Z861">
        <v>6.3</v>
      </c>
      <c r="AA861">
        <v>5.5</v>
      </c>
      <c r="AB861" t="s">
        <v>44</v>
      </c>
      <c r="AC861" t="s">
        <v>39</v>
      </c>
      <c r="AD861" t="s">
        <v>45</v>
      </c>
      <c r="AE861" t="str">
        <f t="shared" si="39"/>
        <v>20-24</v>
      </c>
      <c r="AF861" t="str">
        <f t="shared" si="40"/>
        <v>Moderate Usage</v>
      </c>
      <c r="AG861" t="str">
        <f t="shared" si="41"/>
        <v>High Loneliness</v>
      </c>
    </row>
    <row r="862" spans="1:33" x14ac:dyDescent="0.3">
      <c r="A862" t="s">
        <v>906</v>
      </c>
      <c r="B862">
        <v>21</v>
      </c>
      <c r="C862" t="s">
        <v>1</v>
      </c>
      <c r="D862" t="s">
        <v>14</v>
      </c>
      <c r="E862" t="s">
        <v>15</v>
      </c>
      <c r="F862" t="s">
        <v>12</v>
      </c>
      <c r="G862" t="s">
        <v>5</v>
      </c>
      <c r="H862" t="s">
        <v>28</v>
      </c>
      <c r="I862" t="s">
        <v>35</v>
      </c>
      <c r="J862" t="s">
        <v>20</v>
      </c>
      <c r="K862" t="s">
        <v>1079</v>
      </c>
      <c r="L862">
        <v>1.1399999999999999</v>
      </c>
      <c r="M862">
        <v>5.88</v>
      </c>
      <c r="N862">
        <v>1.94</v>
      </c>
      <c r="O862">
        <v>4.63</v>
      </c>
      <c r="P862">
        <v>6</v>
      </c>
      <c r="Q862">
        <v>3.5</v>
      </c>
      <c r="R862">
        <v>4.8</v>
      </c>
      <c r="S862">
        <v>5.6</v>
      </c>
      <c r="T862" t="s">
        <v>10</v>
      </c>
      <c r="U862">
        <v>6.1</v>
      </c>
      <c r="V862">
        <v>6.5</v>
      </c>
      <c r="W862">
        <v>3</v>
      </c>
      <c r="X862">
        <v>4</v>
      </c>
      <c r="Y862">
        <v>2.7</v>
      </c>
      <c r="Z862">
        <v>2.8</v>
      </c>
      <c r="AA862">
        <v>6.8</v>
      </c>
      <c r="AB862" t="s">
        <v>11</v>
      </c>
      <c r="AC862" t="s">
        <v>10</v>
      </c>
      <c r="AD862" t="s">
        <v>12</v>
      </c>
      <c r="AE862" t="str">
        <f t="shared" si="39"/>
        <v>20-24</v>
      </c>
      <c r="AF862" t="str">
        <f t="shared" si="40"/>
        <v>Low Usage</v>
      </c>
      <c r="AG862" t="str">
        <f t="shared" si="41"/>
        <v>Moderate Loneliness</v>
      </c>
    </row>
    <row r="863" spans="1:33" x14ac:dyDescent="0.3">
      <c r="A863" t="s">
        <v>907</v>
      </c>
      <c r="B863">
        <v>15</v>
      </c>
      <c r="C863" t="s">
        <v>32</v>
      </c>
      <c r="D863" t="s">
        <v>2</v>
      </c>
      <c r="E863" t="s">
        <v>3</v>
      </c>
      <c r="F863" t="s">
        <v>12</v>
      </c>
      <c r="G863" t="s">
        <v>17</v>
      </c>
      <c r="H863" t="s">
        <v>18</v>
      </c>
      <c r="I863" t="s">
        <v>24</v>
      </c>
      <c r="J863" t="s">
        <v>51</v>
      </c>
      <c r="K863" t="s">
        <v>1079</v>
      </c>
      <c r="L863">
        <v>2.0699999999999998</v>
      </c>
      <c r="M863">
        <v>3.1</v>
      </c>
      <c r="N863">
        <v>3.86</v>
      </c>
      <c r="O863">
        <v>7.8</v>
      </c>
      <c r="P863">
        <v>4</v>
      </c>
      <c r="Q863">
        <v>8.9</v>
      </c>
      <c r="R863">
        <v>6.9</v>
      </c>
      <c r="S863">
        <v>3.6</v>
      </c>
      <c r="T863" t="s">
        <v>39</v>
      </c>
      <c r="U863">
        <v>6.1</v>
      </c>
      <c r="V863">
        <v>5.7</v>
      </c>
      <c r="W863">
        <v>3.6</v>
      </c>
      <c r="X863">
        <v>3.7</v>
      </c>
      <c r="Y863">
        <v>6.7</v>
      </c>
      <c r="Z863">
        <v>7.7</v>
      </c>
      <c r="AA863">
        <v>4.5</v>
      </c>
      <c r="AB863" t="s">
        <v>21</v>
      </c>
      <c r="AC863" t="s">
        <v>10</v>
      </c>
      <c r="AD863" t="s">
        <v>45</v>
      </c>
      <c r="AE863" t="str">
        <f t="shared" si="39"/>
        <v>15-19</v>
      </c>
      <c r="AF863" t="str">
        <f t="shared" si="40"/>
        <v>Low Usage</v>
      </c>
      <c r="AG863" t="str">
        <f t="shared" si="41"/>
        <v>High Loneliness</v>
      </c>
    </row>
    <row r="864" spans="1:33" x14ac:dyDescent="0.3">
      <c r="A864" t="s">
        <v>908</v>
      </c>
      <c r="B864">
        <v>17</v>
      </c>
      <c r="C864" t="s">
        <v>32</v>
      </c>
      <c r="D864" t="s">
        <v>2</v>
      </c>
      <c r="E864" t="s">
        <v>37</v>
      </c>
      <c r="F864" t="s">
        <v>12</v>
      </c>
      <c r="G864" t="s">
        <v>43</v>
      </c>
      <c r="H864" t="s">
        <v>6</v>
      </c>
      <c r="I864" t="s">
        <v>29</v>
      </c>
      <c r="J864" t="s">
        <v>38</v>
      </c>
      <c r="K864" t="s">
        <v>53</v>
      </c>
      <c r="L864">
        <v>0</v>
      </c>
      <c r="M864">
        <v>4.59</v>
      </c>
      <c r="N864">
        <v>0.15</v>
      </c>
      <c r="O864">
        <v>3.75</v>
      </c>
      <c r="P864">
        <v>9</v>
      </c>
      <c r="Q864">
        <v>1</v>
      </c>
      <c r="R864">
        <v>1</v>
      </c>
      <c r="S864">
        <v>10</v>
      </c>
      <c r="T864" t="s">
        <v>10</v>
      </c>
      <c r="U864">
        <v>9.4</v>
      </c>
      <c r="V864">
        <v>10</v>
      </c>
      <c r="W864">
        <v>9.8000000000000007</v>
      </c>
      <c r="X864">
        <v>1</v>
      </c>
      <c r="Y864">
        <v>1</v>
      </c>
      <c r="Z864">
        <v>1.5</v>
      </c>
      <c r="AA864">
        <v>9.1</v>
      </c>
      <c r="AB864" t="s">
        <v>11</v>
      </c>
      <c r="AC864" t="s">
        <v>39</v>
      </c>
      <c r="AD864" t="s">
        <v>12</v>
      </c>
      <c r="AE864" t="str">
        <f t="shared" si="39"/>
        <v>15-19</v>
      </c>
      <c r="AF864" t="str">
        <f t="shared" si="40"/>
        <v>Very Low Usage</v>
      </c>
      <c r="AG864" t="str">
        <f t="shared" si="41"/>
        <v>Low Loneliness</v>
      </c>
    </row>
    <row r="865" spans="1:33" x14ac:dyDescent="0.3">
      <c r="A865" t="s">
        <v>909</v>
      </c>
      <c r="B865">
        <v>27</v>
      </c>
      <c r="C865" t="s">
        <v>1</v>
      </c>
      <c r="D865" t="s">
        <v>14</v>
      </c>
      <c r="E865" t="s">
        <v>3</v>
      </c>
      <c r="F865" t="s">
        <v>12</v>
      </c>
      <c r="G865" t="s">
        <v>17</v>
      </c>
      <c r="H865" t="s">
        <v>33</v>
      </c>
      <c r="I865" t="s">
        <v>29</v>
      </c>
      <c r="J865" t="s">
        <v>20</v>
      </c>
      <c r="K865" t="s">
        <v>30</v>
      </c>
      <c r="L865">
        <v>3.84</v>
      </c>
      <c r="M865">
        <v>1.47</v>
      </c>
      <c r="N865">
        <v>1.57</v>
      </c>
      <c r="O865">
        <v>8.0500000000000007</v>
      </c>
      <c r="P865">
        <v>2</v>
      </c>
      <c r="Q865">
        <v>9.5</v>
      </c>
      <c r="R865">
        <v>7.4</v>
      </c>
      <c r="S865">
        <v>2.4</v>
      </c>
      <c r="T865" t="s">
        <v>10</v>
      </c>
      <c r="U865">
        <v>6.1</v>
      </c>
      <c r="V865">
        <v>1.5</v>
      </c>
      <c r="W865">
        <v>1.4</v>
      </c>
      <c r="X865">
        <v>7.6</v>
      </c>
      <c r="Y865">
        <v>5.3</v>
      </c>
      <c r="Z865">
        <v>6.4</v>
      </c>
      <c r="AA865">
        <v>2.2999999999999998</v>
      </c>
      <c r="AB865" t="s">
        <v>21</v>
      </c>
      <c r="AC865" t="s">
        <v>10</v>
      </c>
      <c r="AD865" t="s">
        <v>45</v>
      </c>
      <c r="AE865" t="str">
        <f t="shared" si="39"/>
        <v>25-34</v>
      </c>
      <c r="AF865" t="str">
        <f t="shared" si="40"/>
        <v>Moderate Usage</v>
      </c>
      <c r="AG865" t="str">
        <f t="shared" si="41"/>
        <v>High Loneliness</v>
      </c>
    </row>
    <row r="866" spans="1:33" x14ac:dyDescent="0.3">
      <c r="A866" t="s">
        <v>910</v>
      </c>
      <c r="B866">
        <v>42</v>
      </c>
      <c r="C866" t="s">
        <v>1</v>
      </c>
      <c r="D866" t="s">
        <v>14</v>
      </c>
      <c r="E866" t="s">
        <v>3</v>
      </c>
      <c r="F866" t="s">
        <v>4</v>
      </c>
      <c r="G866" t="s">
        <v>66</v>
      </c>
      <c r="H866" t="s">
        <v>6</v>
      </c>
      <c r="I866" t="s">
        <v>24</v>
      </c>
      <c r="J866" t="s">
        <v>38</v>
      </c>
      <c r="K866" t="s">
        <v>1079</v>
      </c>
      <c r="L866">
        <v>0</v>
      </c>
      <c r="M866">
        <v>4.32</v>
      </c>
      <c r="N866">
        <v>3.42</v>
      </c>
      <c r="O866">
        <v>4.88</v>
      </c>
      <c r="P866">
        <v>8</v>
      </c>
      <c r="Q866">
        <v>1.5</v>
      </c>
      <c r="R866">
        <v>2</v>
      </c>
      <c r="S866">
        <v>8.6</v>
      </c>
      <c r="T866" t="s">
        <v>10</v>
      </c>
      <c r="U866">
        <v>8.1999999999999993</v>
      </c>
      <c r="V866">
        <v>10</v>
      </c>
      <c r="W866">
        <v>8.5</v>
      </c>
      <c r="X866">
        <v>2.2999999999999998</v>
      </c>
      <c r="Y866">
        <v>2.1</v>
      </c>
      <c r="Z866">
        <v>2.2000000000000002</v>
      </c>
      <c r="AA866">
        <v>7.1</v>
      </c>
      <c r="AB866" t="s">
        <v>11</v>
      </c>
      <c r="AC866" t="s">
        <v>10</v>
      </c>
      <c r="AD866" t="s">
        <v>12</v>
      </c>
      <c r="AE866" t="str">
        <f t="shared" si="39"/>
        <v>35-44</v>
      </c>
      <c r="AF866" t="str">
        <f t="shared" si="40"/>
        <v>Very Low Usage</v>
      </c>
      <c r="AG866" t="str">
        <f t="shared" si="41"/>
        <v>Low Loneliness</v>
      </c>
    </row>
    <row r="867" spans="1:33" x14ac:dyDescent="0.3">
      <c r="A867" t="s">
        <v>911</v>
      </c>
      <c r="B867">
        <v>44</v>
      </c>
      <c r="C867" t="s">
        <v>1</v>
      </c>
      <c r="D867" t="s">
        <v>14</v>
      </c>
      <c r="E867" t="s">
        <v>59</v>
      </c>
      <c r="F867" t="s">
        <v>12</v>
      </c>
      <c r="G867" t="s">
        <v>66</v>
      </c>
      <c r="H867" t="s">
        <v>28</v>
      </c>
      <c r="I867" t="s">
        <v>24</v>
      </c>
      <c r="J867" t="s">
        <v>20</v>
      </c>
      <c r="K867" t="s">
        <v>30</v>
      </c>
      <c r="L867">
        <v>3.55</v>
      </c>
      <c r="M867">
        <v>0.52</v>
      </c>
      <c r="N867">
        <v>5.47</v>
      </c>
      <c r="O867">
        <v>11.45</v>
      </c>
      <c r="P867">
        <v>1</v>
      </c>
      <c r="Q867">
        <v>10</v>
      </c>
      <c r="R867">
        <v>10</v>
      </c>
      <c r="S867">
        <v>1</v>
      </c>
      <c r="T867" t="s">
        <v>10</v>
      </c>
      <c r="U867">
        <v>4.8</v>
      </c>
      <c r="V867">
        <v>1</v>
      </c>
      <c r="W867">
        <v>0.8</v>
      </c>
      <c r="X867">
        <v>9.3000000000000007</v>
      </c>
      <c r="Y867">
        <v>9.1999999999999993</v>
      </c>
      <c r="Z867">
        <v>10</v>
      </c>
      <c r="AA867">
        <v>1</v>
      </c>
      <c r="AB867" t="s">
        <v>44</v>
      </c>
      <c r="AC867" t="s">
        <v>39</v>
      </c>
      <c r="AD867" t="s">
        <v>45</v>
      </c>
      <c r="AE867" t="str">
        <f t="shared" si="39"/>
        <v>35-44</v>
      </c>
      <c r="AF867" t="str">
        <f t="shared" si="40"/>
        <v>Moderate Usage</v>
      </c>
      <c r="AG867" t="str">
        <f t="shared" si="41"/>
        <v>High Loneliness</v>
      </c>
    </row>
    <row r="868" spans="1:33" x14ac:dyDescent="0.3">
      <c r="A868" t="s">
        <v>912</v>
      </c>
      <c r="B868">
        <v>39</v>
      </c>
      <c r="C868" t="s">
        <v>32</v>
      </c>
      <c r="D868" t="s">
        <v>14</v>
      </c>
      <c r="E868" t="s">
        <v>37</v>
      </c>
      <c r="F868" t="s">
        <v>4</v>
      </c>
      <c r="G868" t="s">
        <v>17</v>
      </c>
      <c r="H868" t="s">
        <v>6</v>
      </c>
      <c r="I868" t="s">
        <v>19</v>
      </c>
      <c r="J868" t="s">
        <v>20</v>
      </c>
      <c r="K868" t="s">
        <v>1079</v>
      </c>
      <c r="L868">
        <v>3.4</v>
      </c>
      <c r="M868">
        <v>1.22</v>
      </c>
      <c r="N868">
        <v>4.57</v>
      </c>
      <c r="O868">
        <v>8.69</v>
      </c>
      <c r="P868">
        <v>0</v>
      </c>
      <c r="Q868">
        <v>10</v>
      </c>
      <c r="R868">
        <v>8.4</v>
      </c>
      <c r="S868">
        <v>1.1000000000000001</v>
      </c>
      <c r="T868" t="s">
        <v>10</v>
      </c>
      <c r="U868">
        <v>5.9</v>
      </c>
      <c r="V868">
        <v>4.2</v>
      </c>
      <c r="W868">
        <v>2.2999999999999998</v>
      </c>
      <c r="X868">
        <v>8.9</v>
      </c>
      <c r="Y868">
        <v>9.6999999999999993</v>
      </c>
      <c r="Z868">
        <v>8.4</v>
      </c>
      <c r="AA868">
        <v>1</v>
      </c>
      <c r="AB868" t="s">
        <v>44</v>
      </c>
      <c r="AC868" t="s">
        <v>39</v>
      </c>
      <c r="AD868" t="s">
        <v>45</v>
      </c>
      <c r="AE868" t="str">
        <f t="shared" si="39"/>
        <v>35-44</v>
      </c>
      <c r="AF868" t="str">
        <f t="shared" si="40"/>
        <v>Moderate Usage</v>
      </c>
      <c r="AG868" t="str">
        <f t="shared" si="41"/>
        <v>High Loneliness</v>
      </c>
    </row>
    <row r="869" spans="1:33" x14ac:dyDescent="0.3">
      <c r="A869" t="s">
        <v>913</v>
      </c>
      <c r="B869">
        <v>42</v>
      </c>
      <c r="C869" t="s">
        <v>32</v>
      </c>
      <c r="D869" t="s">
        <v>2</v>
      </c>
      <c r="E869" t="s">
        <v>15</v>
      </c>
      <c r="F869" t="s">
        <v>45</v>
      </c>
      <c r="G869" t="s">
        <v>17</v>
      </c>
      <c r="H869" t="s">
        <v>28</v>
      </c>
      <c r="I869" t="s">
        <v>19</v>
      </c>
      <c r="J869" t="s">
        <v>20</v>
      </c>
      <c r="K869" t="s">
        <v>53</v>
      </c>
      <c r="L869">
        <v>0.08</v>
      </c>
      <c r="M869">
        <v>5.2</v>
      </c>
      <c r="N869">
        <v>0.46</v>
      </c>
      <c r="O869">
        <v>2.3199999999999998</v>
      </c>
      <c r="P869">
        <v>5</v>
      </c>
      <c r="Q869">
        <v>1</v>
      </c>
      <c r="R869">
        <v>1.8</v>
      </c>
      <c r="S869">
        <v>10</v>
      </c>
      <c r="T869" t="s">
        <v>10</v>
      </c>
      <c r="U869">
        <v>7.7</v>
      </c>
      <c r="V869">
        <v>9.6999999999999993</v>
      </c>
      <c r="W869">
        <v>7</v>
      </c>
      <c r="X869">
        <v>1</v>
      </c>
      <c r="Y869">
        <v>2.2000000000000002</v>
      </c>
      <c r="Z869">
        <v>2.2000000000000002</v>
      </c>
      <c r="AA869">
        <v>8.5</v>
      </c>
      <c r="AB869" t="s">
        <v>11</v>
      </c>
      <c r="AC869" t="s">
        <v>10</v>
      </c>
      <c r="AD869" t="s">
        <v>12</v>
      </c>
      <c r="AE869" t="str">
        <f t="shared" si="39"/>
        <v>35-44</v>
      </c>
      <c r="AF869" t="str">
        <f t="shared" si="40"/>
        <v>Very Low Usage</v>
      </c>
      <c r="AG869" t="str">
        <f t="shared" si="41"/>
        <v>Low Loneliness</v>
      </c>
    </row>
    <row r="870" spans="1:33" x14ac:dyDescent="0.3">
      <c r="A870" t="s">
        <v>914</v>
      </c>
      <c r="B870">
        <v>31</v>
      </c>
      <c r="C870" t="s">
        <v>32</v>
      </c>
      <c r="D870" t="s">
        <v>2</v>
      </c>
      <c r="E870" t="s">
        <v>15</v>
      </c>
      <c r="F870" t="s">
        <v>16</v>
      </c>
      <c r="G870" t="s">
        <v>43</v>
      </c>
      <c r="H870" t="s">
        <v>6</v>
      </c>
      <c r="I870" t="s">
        <v>29</v>
      </c>
      <c r="J870" t="s">
        <v>8</v>
      </c>
      <c r="K870" t="s">
        <v>1079</v>
      </c>
      <c r="L870">
        <v>2.4300000000000002</v>
      </c>
      <c r="M870">
        <v>2.81</v>
      </c>
      <c r="N870">
        <v>3.13</v>
      </c>
      <c r="O870">
        <v>6.61</v>
      </c>
      <c r="P870">
        <v>3</v>
      </c>
      <c r="Q870">
        <v>5.7</v>
      </c>
      <c r="R870">
        <v>5</v>
      </c>
      <c r="S870">
        <v>5</v>
      </c>
      <c r="T870" t="s">
        <v>39</v>
      </c>
      <c r="U870">
        <v>7.3</v>
      </c>
      <c r="V870">
        <v>5.4</v>
      </c>
      <c r="W870">
        <v>4.5999999999999996</v>
      </c>
      <c r="X870">
        <v>6.1</v>
      </c>
      <c r="Y870">
        <v>5.7</v>
      </c>
      <c r="Z870">
        <v>7.3</v>
      </c>
      <c r="AA870">
        <v>6.9</v>
      </c>
      <c r="AB870" t="s">
        <v>21</v>
      </c>
      <c r="AC870" t="s">
        <v>10</v>
      </c>
      <c r="AD870" t="s">
        <v>45</v>
      </c>
      <c r="AE870" t="str">
        <f t="shared" si="39"/>
        <v>25-34</v>
      </c>
      <c r="AF870" t="str">
        <f t="shared" si="40"/>
        <v>Low Usage</v>
      </c>
      <c r="AG870" t="str">
        <f t="shared" si="41"/>
        <v>Moderate Loneliness</v>
      </c>
    </row>
    <row r="871" spans="1:33" x14ac:dyDescent="0.3">
      <c r="A871" t="s">
        <v>915</v>
      </c>
      <c r="B871">
        <v>39</v>
      </c>
      <c r="C871" t="s">
        <v>32</v>
      </c>
      <c r="D871" t="s">
        <v>14</v>
      </c>
      <c r="E871" t="s">
        <v>15</v>
      </c>
      <c r="F871" t="s">
        <v>45</v>
      </c>
      <c r="G871" t="s">
        <v>66</v>
      </c>
      <c r="H871" t="s">
        <v>28</v>
      </c>
      <c r="I871" t="s">
        <v>24</v>
      </c>
      <c r="J871" t="s">
        <v>8</v>
      </c>
      <c r="K871" t="s">
        <v>53</v>
      </c>
      <c r="L871">
        <v>1.07</v>
      </c>
      <c r="M871">
        <v>5.0199999999999996</v>
      </c>
      <c r="N871">
        <v>2.75</v>
      </c>
      <c r="O871">
        <v>6.27</v>
      </c>
      <c r="P871">
        <v>9</v>
      </c>
      <c r="Q871">
        <v>1.9</v>
      </c>
      <c r="R871">
        <v>2.1</v>
      </c>
      <c r="S871">
        <v>8</v>
      </c>
      <c r="T871" t="s">
        <v>39</v>
      </c>
      <c r="U871">
        <v>8.3000000000000007</v>
      </c>
      <c r="V871">
        <v>8.3000000000000007</v>
      </c>
      <c r="W871">
        <v>5.7</v>
      </c>
      <c r="X871">
        <v>1.7</v>
      </c>
      <c r="Y871">
        <v>1</v>
      </c>
      <c r="Z871">
        <v>3.1</v>
      </c>
      <c r="AA871">
        <v>8.1999999999999993</v>
      </c>
      <c r="AB871" t="s">
        <v>11</v>
      </c>
      <c r="AC871" t="s">
        <v>10</v>
      </c>
      <c r="AD871" t="s">
        <v>12</v>
      </c>
      <c r="AE871" t="str">
        <f t="shared" si="39"/>
        <v>35-44</v>
      </c>
      <c r="AF871" t="str">
        <f t="shared" si="40"/>
        <v>Low Usage</v>
      </c>
      <c r="AG871" t="str">
        <f t="shared" si="41"/>
        <v>Low Loneliness</v>
      </c>
    </row>
    <row r="872" spans="1:33" x14ac:dyDescent="0.3">
      <c r="A872" t="s">
        <v>916</v>
      </c>
      <c r="B872">
        <v>38</v>
      </c>
      <c r="C872" t="s">
        <v>32</v>
      </c>
      <c r="D872" t="s">
        <v>14</v>
      </c>
      <c r="E872" t="s">
        <v>59</v>
      </c>
      <c r="F872" t="s">
        <v>12</v>
      </c>
      <c r="G872" t="s">
        <v>17</v>
      </c>
      <c r="H872" t="s">
        <v>28</v>
      </c>
      <c r="I872" t="s">
        <v>254</v>
      </c>
      <c r="J872" t="s">
        <v>8</v>
      </c>
      <c r="K872" t="s">
        <v>1079</v>
      </c>
      <c r="L872">
        <v>0.62</v>
      </c>
      <c r="M872">
        <v>5.29</v>
      </c>
      <c r="N872">
        <v>2.12</v>
      </c>
      <c r="O872">
        <v>4.55</v>
      </c>
      <c r="P872">
        <v>5</v>
      </c>
      <c r="Q872">
        <v>2.1</v>
      </c>
      <c r="R872">
        <v>1.2</v>
      </c>
      <c r="S872">
        <v>9.1</v>
      </c>
      <c r="T872" t="s">
        <v>10</v>
      </c>
      <c r="U872">
        <v>7.6</v>
      </c>
      <c r="V872">
        <v>8.5</v>
      </c>
      <c r="W872">
        <v>4.4000000000000004</v>
      </c>
      <c r="X872">
        <v>3.3</v>
      </c>
      <c r="Y872">
        <v>1.2</v>
      </c>
      <c r="Z872">
        <v>5.4</v>
      </c>
      <c r="AA872">
        <v>8.1</v>
      </c>
      <c r="AB872" t="s">
        <v>21</v>
      </c>
      <c r="AC872" t="s">
        <v>10</v>
      </c>
      <c r="AD872" t="s">
        <v>12</v>
      </c>
      <c r="AE872" t="str">
        <f t="shared" si="39"/>
        <v>35-44</v>
      </c>
      <c r="AF872" t="str">
        <f t="shared" si="40"/>
        <v>Very Low Usage</v>
      </c>
      <c r="AG872" t="str">
        <f t="shared" si="41"/>
        <v>Low Loneliness</v>
      </c>
    </row>
    <row r="873" spans="1:33" x14ac:dyDescent="0.3">
      <c r="A873" t="s">
        <v>917</v>
      </c>
      <c r="B873">
        <v>15</v>
      </c>
      <c r="C873" t="s">
        <v>32</v>
      </c>
      <c r="D873" t="s">
        <v>41</v>
      </c>
      <c r="E873" t="s">
        <v>3</v>
      </c>
      <c r="F873" t="s">
        <v>4</v>
      </c>
      <c r="G873" t="s">
        <v>17</v>
      </c>
      <c r="H873" t="s">
        <v>18</v>
      </c>
      <c r="I873" t="s">
        <v>29</v>
      </c>
      <c r="J873" t="s">
        <v>20</v>
      </c>
      <c r="K873" t="s">
        <v>53</v>
      </c>
      <c r="L873">
        <v>1.37</v>
      </c>
      <c r="M873">
        <v>3.93</v>
      </c>
      <c r="N873">
        <v>2.2599999999999998</v>
      </c>
      <c r="O873">
        <v>5.91</v>
      </c>
      <c r="P873">
        <v>5</v>
      </c>
      <c r="Q873">
        <v>3.8</v>
      </c>
      <c r="R873">
        <v>4.5999999999999996</v>
      </c>
      <c r="S873">
        <v>5.0999999999999996</v>
      </c>
      <c r="T873" t="s">
        <v>10</v>
      </c>
      <c r="U873">
        <v>6.7</v>
      </c>
      <c r="V873">
        <v>6.5</v>
      </c>
      <c r="W873">
        <v>6</v>
      </c>
      <c r="X873">
        <v>2</v>
      </c>
      <c r="Y873">
        <v>1</v>
      </c>
      <c r="Z873">
        <v>3.5</v>
      </c>
      <c r="AA873">
        <v>8.3000000000000007</v>
      </c>
      <c r="AB873" t="s">
        <v>44</v>
      </c>
      <c r="AC873" t="s">
        <v>10</v>
      </c>
      <c r="AD873" t="s">
        <v>12</v>
      </c>
      <c r="AE873" t="str">
        <f t="shared" si="39"/>
        <v>15-19</v>
      </c>
      <c r="AF873" t="str">
        <f t="shared" si="40"/>
        <v>Low Usage</v>
      </c>
      <c r="AG873" t="str">
        <f t="shared" si="41"/>
        <v>Moderate Loneliness</v>
      </c>
    </row>
    <row r="874" spans="1:33" x14ac:dyDescent="0.3">
      <c r="A874" t="s">
        <v>918</v>
      </c>
      <c r="B874">
        <v>20</v>
      </c>
      <c r="C874" t="s">
        <v>32</v>
      </c>
      <c r="D874" t="s">
        <v>2</v>
      </c>
      <c r="E874" t="s">
        <v>3</v>
      </c>
      <c r="F874" t="s">
        <v>4</v>
      </c>
      <c r="G874" t="s">
        <v>5</v>
      </c>
      <c r="H874" t="s">
        <v>6</v>
      </c>
      <c r="I874" t="s">
        <v>24</v>
      </c>
      <c r="J874" t="s">
        <v>8</v>
      </c>
      <c r="K874" t="s">
        <v>1079</v>
      </c>
      <c r="L874">
        <v>1.53</v>
      </c>
      <c r="M874">
        <v>4.6900000000000004</v>
      </c>
      <c r="N874">
        <v>1.7</v>
      </c>
      <c r="O874">
        <v>6</v>
      </c>
      <c r="P874">
        <v>5</v>
      </c>
      <c r="Q874">
        <v>5.9</v>
      </c>
      <c r="R874">
        <v>5.2</v>
      </c>
      <c r="S874">
        <v>4.5999999999999996</v>
      </c>
      <c r="T874" t="s">
        <v>10</v>
      </c>
      <c r="U874">
        <v>6.9</v>
      </c>
      <c r="V874">
        <v>7.3</v>
      </c>
      <c r="W874">
        <v>4.0999999999999996</v>
      </c>
      <c r="X874">
        <v>6</v>
      </c>
      <c r="Y874">
        <v>4.8</v>
      </c>
      <c r="Z874">
        <v>5.0999999999999996</v>
      </c>
      <c r="AA874">
        <v>4.8</v>
      </c>
      <c r="AB874" t="s">
        <v>44</v>
      </c>
      <c r="AC874" t="s">
        <v>39</v>
      </c>
      <c r="AD874" t="s">
        <v>45</v>
      </c>
      <c r="AE874" t="str">
        <f t="shared" si="39"/>
        <v>20-24</v>
      </c>
      <c r="AF874" t="str">
        <f t="shared" si="40"/>
        <v>Low Usage</v>
      </c>
      <c r="AG874" t="str">
        <f t="shared" si="41"/>
        <v>Moderate Loneliness</v>
      </c>
    </row>
    <row r="875" spans="1:33" x14ac:dyDescent="0.3">
      <c r="A875" t="s">
        <v>919</v>
      </c>
      <c r="B875">
        <v>35</v>
      </c>
      <c r="C875" t="s">
        <v>1</v>
      </c>
      <c r="D875" t="s">
        <v>2</v>
      </c>
      <c r="E875" t="s">
        <v>37</v>
      </c>
      <c r="F875" t="s">
        <v>12</v>
      </c>
      <c r="G875" t="s">
        <v>5</v>
      </c>
      <c r="H875" t="s">
        <v>28</v>
      </c>
      <c r="I875" t="s">
        <v>19</v>
      </c>
      <c r="J875" t="s">
        <v>20</v>
      </c>
      <c r="K875" t="s">
        <v>53</v>
      </c>
      <c r="L875">
        <v>1.57</v>
      </c>
      <c r="M875">
        <v>2.42</v>
      </c>
      <c r="N875">
        <v>2.48</v>
      </c>
      <c r="O875">
        <v>5.59</v>
      </c>
      <c r="P875">
        <v>3</v>
      </c>
      <c r="Q875">
        <v>7.4</v>
      </c>
      <c r="R875">
        <v>4.4000000000000004</v>
      </c>
      <c r="S875">
        <v>8.3000000000000007</v>
      </c>
      <c r="T875" t="s">
        <v>10</v>
      </c>
      <c r="U875">
        <v>7</v>
      </c>
      <c r="V875">
        <v>6.1</v>
      </c>
      <c r="W875">
        <v>3</v>
      </c>
      <c r="X875">
        <v>5.2</v>
      </c>
      <c r="Y875">
        <v>3.9</v>
      </c>
      <c r="Z875">
        <v>5.6</v>
      </c>
      <c r="AA875">
        <v>5.0999999999999996</v>
      </c>
      <c r="AB875" t="s">
        <v>21</v>
      </c>
      <c r="AC875" t="s">
        <v>10</v>
      </c>
      <c r="AD875" t="s">
        <v>45</v>
      </c>
      <c r="AE875" t="str">
        <f t="shared" si="39"/>
        <v>35-44</v>
      </c>
      <c r="AF875" t="str">
        <f t="shared" si="40"/>
        <v>Low Usage</v>
      </c>
      <c r="AG875" t="str">
        <f t="shared" si="41"/>
        <v>High Loneliness</v>
      </c>
    </row>
    <row r="876" spans="1:33" x14ac:dyDescent="0.3">
      <c r="A876" t="s">
        <v>920</v>
      </c>
      <c r="B876">
        <v>20</v>
      </c>
      <c r="C876" t="s">
        <v>1</v>
      </c>
      <c r="D876" t="s">
        <v>14</v>
      </c>
      <c r="E876" t="s">
        <v>3</v>
      </c>
      <c r="F876" t="s">
        <v>12</v>
      </c>
      <c r="G876" t="s">
        <v>17</v>
      </c>
      <c r="H876" t="s">
        <v>28</v>
      </c>
      <c r="I876" t="s">
        <v>19</v>
      </c>
      <c r="J876" t="s">
        <v>38</v>
      </c>
      <c r="K876" t="s">
        <v>30</v>
      </c>
      <c r="L876">
        <v>0</v>
      </c>
      <c r="M876">
        <v>5.94</v>
      </c>
      <c r="N876">
        <v>1.35</v>
      </c>
      <c r="O876">
        <v>2.92</v>
      </c>
      <c r="P876">
        <v>7</v>
      </c>
      <c r="Q876">
        <v>1</v>
      </c>
      <c r="R876">
        <v>1</v>
      </c>
      <c r="S876">
        <v>8.3000000000000007</v>
      </c>
      <c r="T876" t="s">
        <v>10</v>
      </c>
      <c r="U876">
        <v>7.9</v>
      </c>
      <c r="V876">
        <v>10</v>
      </c>
      <c r="W876">
        <v>7.6</v>
      </c>
      <c r="X876">
        <v>1</v>
      </c>
      <c r="Y876">
        <v>1.3</v>
      </c>
      <c r="Z876">
        <v>4.0999999999999996</v>
      </c>
      <c r="AA876">
        <v>6.6</v>
      </c>
      <c r="AB876" t="s">
        <v>11</v>
      </c>
      <c r="AC876" t="s">
        <v>10</v>
      </c>
      <c r="AD876" t="s">
        <v>12</v>
      </c>
      <c r="AE876" t="str">
        <f t="shared" si="39"/>
        <v>20-24</v>
      </c>
      <c r="AF876" t="str">
        <f t="shared" si="40"/>
        <v>Very Low Usage</v>
      </c>
      <c r="AG876" t="str">
        <f t="shared" si="41"/>
        <v>Low Loneliness</v>
      </c>
    </row>
    <row r="877" spans="1:33" x14ac:dyDescent="0.3">
      <c r="A877" t="s">
        <v>921</v>
      </c>
      <c r="B877">
        <v>40</v>
      </c>
      <c r="C877" t="s">
        <v>1</v>
      </c>
      <c r="D877" t="s">
        <v>2</v>
      </c>
      <c r="E877" t="s">
        <v>3</v>
      </c>
      <c r="F877" t="s">
        <v>16</v>
      </c>
      <c r="G877" t="s">
        <v>5</v>
      </c>
      <c r="H877" t="s">
        <v>6</v>
      </c>
      <c r="I877" t="s">
        <v>29</v>
      </c>
      <c r="J877" t="s">
        <v>8</v>
      </c>
      <c r="K877" t="s">
        <v>25</v>
      </c>
      <c r="L877">
        <v>1.95</v>
      </c>
      <c r="M877">
        <v>5.16</v>
      </c>
      <c r="N877">
        <v>3.64</v>
      </c>
      <c r="O877">
        <v>7.55</v>
      </c>
      <c r="P877">
        <v>3</v>
      </c>
      <c r="Q877">
        <v>6.2</v>
      </c>
      <c r="R877">
        <v>4.0999999999999996</v>
      </c>
      <c r="S877">
        <v>5</v>
      </c>
      <c r="T877" t="s">
        <v>10</v>
      </c>
      <c r="U877">
        <v>6.3</v>
      </c>
      <c r="V877">
        <v>5.6</v>
      </c>
      <c r="W877">
        <v>4.2</v>
      </c>
      <c r="X877">
        <v>6.5</v>
      </c>
      <c r="Y877">
        <v>5.0999999999999996</v>
      </c>
      <c r="Z877">
        <v>6</v>
      </c>
      <c r="AA877">
        <v>5.4</v>
      </c>
      <c r="AB877" t="s">
        <v>21</v>
      </c>
      <c r="AC877" t="s">
        <v>10</v>
      </c>
      <c r="AD877" t="s">
        <v>12</v>
      </c>
      <c r="AE877" t="str">
        <f t="shared" si="39"/>
        <v>35-44</v>
      </c>
      <c r="AF877" t="str">
        <f t="shared" si="40"/>
        <v>Low Usage</v>
      </c>
      <c r="AG877" t="str">
        <f t="shared" si="41"/>
        <v>High Loneliness</v>
      </c>
    </row>
    <row r="878" spans="1:33" x14ac:dyDescent="0.3">
      <c r="A878" t="s">
        <v>922</v>
      </c>
      <c r="B878">
        <v>26</v>
      </c>
      <c r="C878" t="s">
        <v>1</v>
      </c>
      <c r="D878" t="s">
        <v>14</v>
      </c>
      <c r="E878" t="s">
        <v>37</v>
      </c>
      <c r="F878" t="s">
        <v>16</v>
      </c>
      <c r="G878" t="s">
        <v>17</v>
      </c>
      <c r="H878" t="s">
        <v>28</v>
      </c>
      <c r="I878" t="s">
        <v>7</v>
      </c>
      <c r="J878" t="s">
        <v>20</v>
      </c>
      <c r="K878" t="s">
        <v>53</v>
      </c>
      <c r="L878">
        <v>1.04</v>
      </c>
      <c r="M878">
        <v>4.05</v>
      </c>
      <c r="N878">
        <v>1.88</v>
      </c>
      <c r="O878">
        <v>4.0599999999999996</v>
      </c>
      <c r="P878">
        <v>6</v>
      </c>
      <c r="Q878">
        <v>3.5</v>
      </c>
      <c r="R878">
        <v>4.5</v>
      </c>
      <c r="S878">
        <v>7.9</v>
      </c>
      <c r="T878" t="s">
        <v>10</v>
      </c>
      <c r="U878">
        <v>6.6</v>
      </c>
      <c r="V878">
        <v>7</v>
      </c>
      <c r="W878">
        <v>3.1</v>
      </c>
      <c r="X878">
        <v>3.5</v>
      </c>
      <c r="Y878">
        <v>5.8</v>
      </c>
      <c r="Z878">
        <v>4.8</v>
      </c>
      <c r="AA878">
        <v>6.5</v>
      </c>
      <c r="AB878" t="s">
        <v>44</v>
      </c>
      <c r="AC878" t="s">
        <v>10</v>
      </c>
      <c r="AD878" t="s">
        <v>12</v>
      </c>
      <c r="AE878" t="str">
        <f t="shared" si="39"/>
        <v>25-34</v>
      </c>
      <c r="AF878" t="str">
        <f t="shared" si="40"/>
        <v>Low Usage</v>
      </c>
      <c r="AG878" t="str">
        <f t="shared" si="41"/>
        <v>Moderate Loneliness</v>
      </c>
    </row>
    <row r="879" spans="1:33" x14ac:dyDescent="0.3">
      <c r="A879" t="s">
        <v>923</v>
      </c>
      <c r="B879">
        <v>27</v>
      </c>
      <c r="C879" t="s">
        <v>32</v>
      </c>
      <c r="D879" t="s">
        <v>2</v>
      </c>
      <c r="E879" t="s">
        <v>15</v>
      </c>
      <c r="F879" t="s">
        <v>4</v>
      </c>
      <c r="G879" t="s">
        <v>17</v>
      </c>
      <c r="H879" t="s">
        <v>28</v>
      </c>
      <c r="I879" t="s">
        <v>19</v>
      </c>
      <c r="J879" t="s">
        <v>8</v>
      </c>
      <c r="K879" t="s">
        <v>1079</v>
      </c>
      <c r="L879">
        <v>0</v>
      </c>
      <c r="M879">
        <v>6.2</v>
      </c>
      <c r="N879">
        <v>1.61</v>
      </c>
      <c r="O879">
        <v>3.6</v>
      </c>
      <c r="P879">
        <v>5</v>
      </c>
      <c r="Q879">
        <v>1</v>
      </c>
      <c r="R879">
        <v>1.3</v>
      </c>
      <c r="S879">
        <v>10</v>
      </c>
      <c r="T879" t="s">
        <v>10</v>
      </c>
      <c r="U879">
        <v>8.6</v>
      </c>
      <c r="V879">
        <v>10</v>
      </c>
      <c r="W879">
        <v>4.9000000000000004</v>
      </c>
      <c r="X879">
        <v>1</v>
      </c>
      <c r="Y879">
        <v>1</v>
      </c>
      <c r="Z879">
        <v>1</v>
      </c>
      <c r="AA879">
        <v>8.4</v>
      </c>
      <c r="AB879" t="s">
        <v>11</v>
      </c>
      <c r="AC879" t="s">
        <v>39</v>
      </c>
      <c r="AD879" t="s">
        <v>12</v>
      </c>
      <c r="AE879" t="str">
        <f t="shared" si="39"/>
        <v>25-34</v>
      </c>
      <c r="AF879" t="str">
        <f t="shared" si="40"/>
        <v>Very Low Usage</v>
      </c>
      <c r="AG879" t="str">
        <f t="shared" si="41"/>
        <v>Low Loneliness</v>
      </c>
    </row>
    <row r="880" spans="1:33" x14ac:dyDescent="0.3">
      <c r="A880" t="s">
        <v>924</v>
      </c>
      <c r="B880">
        <v>27</v>
      </c>
      <c r="C880" t="s">
        <v>27</v>
      </c>
      <c r="D880" t="s">
        <v>41</v>
      </c>
      <c r="E880" t="s">
        <v>37</v>
      </c>
      <c r="F880" t="s">
        <v>4</v>
      </c>
      <c r="G880" t="s">
        <v>17</v>
      </c>
      <c r="H880" t="s">
        <v>18</v>
      </c>
      <c r="I880" t="s">
        <v>19</v>
      </c>
      <c r="J880" t="s">
        <v>8</v>
      </c>
      <c r="K880" t="s">
        <v>53</v>
      </c>
      <c r="L880">
        <v>0</v>
      </c>
      <c r="M880">
        <v>3.51</v>
      </c>
      <c r="N880">
        <v>0.92</v>
      </c>
      <c r="O880">
        <v>2.96</v>
      </c>
      <c r="P880">
        <v>8</v>
      </c>
      <c r="Q880">
        <v>4.8</v>
      </c>
      <c r="R880">
        <v>4.5</v>
      </c>
      <c r="S880">
        <v>5.2</v>
      </c>
      <c r="T880" t="s">
        <v>10</v>
      </c>
      <c r="U880">
        <v>6.5</v>
      </c>
      <c r="V880">
        <v>8</v>
      </c>
      <c r="W880">
        <v>7.5</v>
      </c>
      <c r="X880">
        <v>4.5999999999999996</v>
      </c>
      <c r="Y880">
        <v>3.2</v>
      </c>
      <c r="Z880">
        <v>3.1</v>
      </c>
      <c r="AA880">
        <v>8.1999999999999993</v>
      </c>
      <c r="AB880" t="s">
        <v>11</v>
      </c>
      <c r="AC880" t="s">
        <v>10</v>
      </c>
      <c r="AD880" t="s">
        <v>12</v>
      </c>
      <c r="AE880" t="str">
        <f t="shared" si="39"/>
        <v>25-34</v>
      </c>
      <c r="AF880" t="str">
        <f t="shared" si="40"/>
        <v>Very Low Usage</v>
      </c>
      <c r="AG880" t="str">
        <f t="shared" si="41"/>
        <v>Moderate Loneliness</v>
      </c>
    </row>
    <row r="881" spans="1:33" x14ac:dyDescent="0.3">
      <c r="A881" t="s">
        <v>925</v>
      </c>
      <c r="B881">
        <v>43</v>
      </c>
      <c r="C881" t="s">
        <v>1</v>
      </c>
      <c r="D881" t="s">
        <v>14</v>
      </c>
      <c r="E881" t="s">
        <v>37</v>
      </c>
      <c r="F881" t="s">
        <v>4</v>
      </c>
      <c r="G881" t="s">
        <v>17</v>
      </c>
      <c r="H881" t="s">
        <v>28</v>
      </c>
      <c r="I881" t="s">
        <v>29</v>
      </c>
      <c r="J881" t="s">
        <v>48</v>
      </c>
      <c r="K881" t="s">
        <v>30</v>
      </c>
      <c r="L881">
        <v>4.16</v>
      </c>
      <c r="M881">
        <v>1.66</v>
      </c>
      <c r="N881">
        <v>4.2300000000000004</v>
      </c>
      <c r="O881">
        <v>10.62</v>
      </c>
      <c r="P881">
        <v>1</v>
      </c>
      <c r="Q881">
        <v>9.5</v>
      </c>
      <c r="R881">
        <v>10</v>
      </c>
      <c r="S881">
        <v>3.2</v>
      </c>
      <c r="T881" t="s">
        <v>10</v>
      </c>
      <c r="U881">
        <v>5.6</v>
      </c>
      <c r="V881">
        <v>5.7</v>
      </c>
      <c r="W881">
        <v>1.3</v>
      </c>
      <c r="X881">
        <v>9.1</v>
      </c>
      <c r="Y881">
        <v>5.6</v>
      </c>
      <c r="Z881">
        <v>9</v>
      </c>
      <c r="AA881">
        <v>1.9</v>
      </c>
      <c r="AB881" t="s">
        <v>44</v>
      </c>
      <c r="AC881" t="s">
        <v>39</v>
      </c>
      <c r="AD881" t="s">
        <v>45</v>
      </c>
      <c r="AE881" t="str">
        <f t="shared" si="39"/>
        <v>35-44</v>
      </c>
      <c r="AF881" t="str">
        <f t="shared" si="40"/>
        <v>High Usage</v>
      </c>
      <c r="AG881" t="str">
        <f t="shared" si="41"/>
        <v>High Loneliness</v>
      </c>
    </row>
    <row r="882" spans="1:33" x14ac:dyDescent="0.3">
      <c r="A882" t="s">
        <v>926</v>
      </c>
      <c r="B882">
        <v>29</v>
      </c>
      <c r="C882" t="s">
        <v>1</v>
      </c>
      <c r="D882" t="s">
        <v>14</v>
      </c>
      <c r="E882" t="s">
        <v>15</v>
      </c>
      <c r="F882" t="s">
        <v>12</v>
      </c>
      <c r="G882" t="s">
        <v>17</v>
      </c>
      <c r="H882" t="s">
        <v>6</v>
      </c>
      <c r="I882" t="s">
        <v>29</v>
      </c>
      <c r="J882" t="s">
        <v>20</v>
      </c>
      <c r="K882" t="s">
        <v>53</v>
      </c>
      <c r="L882">
        <v>1.4</v>
      </c>
      <c r="M882">
        <v>6.01</v>
      </c>
      <c r="N882">
        <v>2</v>
      </c>
      <c r="O882">
        <v>5.82</v>
      </c>
      <c r="P882">
        <v>5</v>
      </c>
      <c r="Q882">
        <v>4.8</v>
      </c>
      <c r="R882">
        <v>5.6</v>
      </c>
      <c r="S882">
        <v>9.1</v>
      </c>
      <c r="T882" t="s">
        <v>10</v>
      </c>
      <c r="U882">
        <v>7.8</v>
      </c>
      <c r="V882">
        <v>6.7</v>
      </c>
      <c r="W882">
        <v>5.6</v>
      </c>
      <c r="X882">
        <v>3.1</v>
      </c>
      <c r="Y882">
        <v>3.2</v>
      </c>
      <c r="Z882">
        <v>5.6</v>
      </c>
      <c r="AA882">
        <v>10</v>
      </c>
      <c r="AB882" t="s">
        <v>21</v>
      </c>
      <c r="AC882" t="s">
        <v>10</v>
      </c>
      <c r="AD882" t="s">
        <v>12</v>
      </c>
      <c r="AE882" t="str">
        <f t="shared" si="39"/>
        <v>25-34</v>
      </c>
      <c r="AF882" t="str">
        <f t="shared" si="40"/>
        <v>Low Usage</v>
      </c>
      <c r="AG882" t="str">
        <f t="shared" si="41"/>
        <v>Moderate Loneliness</v>
      </c>
    </row>
    <row r="883" spans="1:33" x14ac:dyDescent="0.3">
      <c r="A883" t="s">
        <v>927</v>
      </c>
      <c r="B883">
        <v>35</v>
      </c>
      <c r="C883" t="s">
        <v>1</v>
      </c>
      <c r="D883" t="s">
        <v>14</v>
      </c>
      <c r="E883" t="s">
        <v>3</v>
      </c>
      <c r="F883" t="s">
        <v>4</v>
      </c>
      <c r="G883" t="s">
        <v>5</v>
      </c>
      <c r="H883" t="s">
        <v>33</v>
      </c>
      <c r="I883" t="s">
        <v>29</v>
      </c>
      <c r="J883" t="s">
        <v>48</v>
      </c>
      <c r="K883" t="s">
        <v>1079</v>
      </c>
      <c r="L883">
        <v>0</v>
      </c>
      <c r="M883">
        <v>6.77</v>
      </c>
      <c r="N883">
        <v>0</v>
      </c>
      <c r="O883">
        <v>1</v>
      </c>
      <c r="P883">
        <v>7</v>
      </c>
      <c r="Q883">
        <v>1</v>
      </c>
      <c r="R883">
        <v>1.2</v>
      </c>
      <c r="S883">
        <v>8.8000000000000007</v>
      </c>
      <c r="T883" t="s">
        <v>10</v>
      </c>
      <c r="U883">
        <v>8.6999999999999993</v>
      </c>
      <c r="V883">
        <v>9.6999999999999993</v>
      </c>
      <c r="W883">
        <v>6.8</v>
      </c>
      <c r="X883">
        <v>1</v>
      </c>
      <c r="Y883">
        <v>1.2</v>
      </c>
      <c r="Z883">
        <v>3.1</v>
      </c>
      <c r="AA883">
        <v>10</v>
      </c>
      <c r="AB883" t="s">
        <v>11</v>
      </c>
      <c r="AC883" t="s">
        <v>10</v>
      </c>
      <c r="AD883" t="s">
        <v>12</v>
      </c>
      <c r="AE883" t="str">
        <f t="shared" si="39"/>
        <v>35-44</v>
      </c>
      <c r="AF883" t="str">
        <f t="shared" si="40"/>
        <v>Very Low Usage</v>
      </c>
      <c r="AG883" t="str">
        <f t="shared" si="41"/>
        <v>Low Loneliness</v>
      </c>
    </row>
    <row r="884" spans="1:33" x14ac:dyDescent="0.3">
      <c r="A884" t="s">
        <v>928</v>
      </c>
      <c r="B884">
        <v>30</v>
      </c>
      <c r="C884" t="s">
        <v>27</v>
      </c>
      <c r="D884" t="s">
        <v>14</v>
      </c>
      <c r="E884" t="s">
        <v>3</v>
      </c>
      <c r="F884" t="s">
        <v>12</v>
      </c>
      <c r="G884" t="s">
        <v>17</v>
      </c>
      <c r="H884" t="s">
        <v>18</v>
      </c>
      <c r="I884" t="s">
        <v>24</v>
      </c>
      <c r="J884" t="s">
        <v>8</v>
      </c>
      <c r="K884" t="s">
        <v>1079</v>
      </c>
      <c r="L884">
        <v>2.86</v>
      </c>
      <c r="M884">
        <v>3.52</v>
      </c>
      <c r="N884">
        <v>3.27</v>
      </c>
      <c r="O884">
        <v>6.84</v>
      </c>
      <c r="P884">
        <v>1</v>
      </c>
      <c r="Q884">
        <v>6.9</v>
      </c>
      <c r="R884">
        <v>5.9</v>
      </c>
      <c r="S884">
        <v>3.9</v>
      </c>
      <c r="T884" t="s">
        <v>10</v>
      </c>
      <c r="U884">
        <v>5.4</v>
      </c>
      <c r="V884">
        <v>5</v>
      </c>
      <c r="W884">
        <v>4.0999999999999996</v>
      </c>
      <c r="X884">
        <v>6.9</v>
      </c>
      <c r="Y884">
        <v>6.2</v>
      </c>
      <c r="Z884">
        <v>7.3</v>
      </c>
      <c r="AA884">
        <v>4.4000000000000004</v>
      </c>
      <c r="AB884" t="s">
        <v>44</v>
      </c>
      <c r="AC884" t="s">
        <v>39</v>
      </c>
      <c r="AD884" t="s">
        <v>45</v>
      </c>
      <c r="AE884" t="str">
        <f t="shared" si="39"/>
        <v>25-34</v>
      </c>
      <c r="AF884" t="str">
        <f t="shared" si="40"/>
        <v>Moderate Usage</v>
      </c>
      <c r="AG884" t="str">
        <f t="shared" si="41"/>
        <v>High Loneliness</v>
      </c>
    </row>
    <row r="885" spans="1:33" x14ac:dyDescent="0.3">
      <c r="A885" t="s">
        <v>929</v>
      </c>
      <c r="B885">
        <v>36</v>
      </c>
      <c r="C885" t="s">
        <v>1</v>
      </c>
      <c r="D885" t="s">
        <v>14</v>
      </c>
      <c r="E885" t="s">
        <v>15</v>
      </c>
      <c r="F885" t="s">
        <v>12</v>
      </c>
      <c r="G885" t="s">
        <v>17</v>
      </c>
      <c r="H885" t="s">
        <v>6</v>
      </c>
      <c r="I885" t="s">
        <v>29</v>
      </c>
      <c r="J885" t="s">
        <v>20</v>
      </c>
      <c r="K885" t="s">
        <v>9</v>
      </c>
      <c r="L885">
        <v>0.16</v>
      </c>
      <c r="M885">
        <v>3.08</v>
      </c>
      <c r="N885">
        <v>0.99</v>
      </c>
      <c r="O885">
        <v>1.98</v>
      </c>
      <c r="P885">
        <v>7</v>
      </c>
      <c r="Q885">
        <v>3.7</v>
      </c>
      <c r="R885">
        <v>2.5</v>
      </c>
      <c r="S885">
        <v>7.9</v>
      </c>
      <c r="T885" t="s">
        <v>10</v>
      </c>
      <c r="U885">
        <v>7.9</v>
      </c>
      <c r="V885">
        <v>5.4</v>
      </c>
      <c r="W885">
        <v>8</v>
      </c>
      <c r="X885">
        <v>4.2</v>
      </c>
      <c r="Y885">
        <v>1</v>
      </c>
      <c r="Z885">
        <v>4</v>
      </c>
      <c r="AA885">
        <v>10</v>
      </c>
      <c r="AB885" t="s">
        <v>21</v>
      </c>
      <c r="AC885" t="s">
        <v>39</v>
      </c>
      <c r="AD885" t="s">
        <v>12</v>
      </c>
      <c r="AE885" t="str">
        <f t="shared" si="39"/>
        <v>35-44</v>
      </c>
      <c r="AF885" t="str">
        <f t="shared" si="40"/>
        <v>Very Low Usage</v>
      </c>
      <c r="AG885" t="str">
        <f t="shared" si="41"/>
        <v>Moderate Loneliness</v>
      </c>
    </row>
    <row r="886" spans="1:33" x14ac:dyDescent="0.3">
      <c r="A886" t="s">
        <v>930</v>
      </c>
      <c r="B886">
        <v>35</v>
      </c>
      <c r="C886" t="s">
        <v>32</v>
      </c>
      <c r="D886" t="s">
        <v>14</v>
      </c>
      <c r="E886" t="s">
        <v>37</v>
      </c>
      <c r="F886" t="s">
        <v>45</v>
      </c>
      <c r="G886" t="s">
        <v>17</v>
      </c>
      <c r="H886" t="s">
        <v>18</v>
      </c>
      <c r="I886" t="s">
        <v>24</v>
      </c>
      <c r="J886" t="s">
        <v>8</v>
      </c>
      <c r="K886" t="s">
        <v>1079</v>
      </c>
      <c r="L886">
        <v>2.66</v>
      </c>
      <c r="M886">
        <v>3.05</v>
      </c>
      <c r="N886">
        <v>4.13</v>
      </c>
      <c r="O886">
        <v>8.8800000000000008</v>
      </c>
      <c r="P886">
        <v>3</v>
      </c>
      <c r="Q886">
        <v>6.6</v>
      </c>
      <c r="R886">
        <v>2.2999999999999998</v>
      </c>
      <c r="S886">
        <v>6.5</v>
      </c>
      <c r="T886" t="s">
        <v>10</v>
      </c>
      <c r="U886">
        <v>8.6999999999999993</v>
      </c>
      <c r="V886">
        <v>5.4</v>
      </c>
      <c r="W886">
        <v>5.2</v>
      </c>
      <c r="X886">
        <v>5</v>
      </c>
      <c r="Y886">
        <v>4</v>
      </c>
      <c r="Z886">
        <v>5.9</v>
      </c>
      <c r="AA886">
        <v>2.9</v>
      </c>
      <c r="AB886" t="s">
        <v>21</v>
      </c>
      <c r="AC886" t="s">
        <v>10</v>
      </c>
      <c r="AD886" t="s">
        <v>12</v>
      </c>
      <c r="AE886" t="str">
        <f t="shared" si="39"/>
        <v>35-44</v>
      </c>
      <c r="AF886" t="str">
        <f t="shared" si="40"/>
        <v>Moderate Usage</v>
      </c>
      <c r="AG886" t="str">
        <f t="shared" si="41"/>
        <v>High Loneliness</v>
      </c>
    </row>
    <row r="887" spans="1:33" x14ac:dyDescent="0.3">
      <c r="A887" t="s">
        <v>931</v>
      </c>
      <c r="B887">
        <v>25</v>
      </c>
      <c r="C887" t="s">
        <v>1</v>
      </c>
      <c r="D887" t="s">
        <v>47</v>
      </c>
      <c r="E887" t="s">
        <v>15</v>
      </c>
      <c r="F887" t="s">
        <v>4</v>
      </c>
      <c r="G887" t="s">
        <v>66</v>
      </c>
      <c r="H887" t="s">
        <v>28</v>
      </c>
      <c r="I887" t="s">
        <v>19</v>
      </c>
      <c r="J887" t="s">
        <v>8</v>
      </c>
      <c r="K887" t="s">
        <v>30</v>
      </c>
      <c r="L887">
        <v>0.23</v>
      </c>
      <c r="M887">
        <v>5.93</v>
      </c>
      <c r="N887">
        <v>1.92</v>
      </c>
      <c r="O887">
        <v>3.86</v>
      </c>
      <c r="P887">
        <v>5</v>
      </c>
      <c r="Q887">
        <v>5.4</v>
      </c>
      <c r="R887">
        <v>4.9000000000000004</v>
      </c>
      <c r="S887">
        <v>4.5</v>
      </c>
      <c r="T887" t="s">
        <v>10</v>
      </c>
      <c r="U887">
        <v>7.7</v>
      </c>
      <c r="V887">
        <v>6.2</v>
      </c>
      <c r="W887">
        <v>5.5</v>
      </c>
      <c r="X887">
        <v>4.7</v>
      </c>
      <c r="Y887">
        <v>3.7</v>
      </c>
      <c r="Z887">
        <v>4.9000000000000004</v>
      </c>
      <c r="AA887">
        <v>6</v>
      </c>
      <c r="AB887" t="s">
        <v>21</v>
      </c>
      <c r="AC887" t="s">
        <v>39</v>
      </c>
      <c r="AD887" t="s">
        <v>12</v>
      </c>
      <c r="AE887" t="str">
        <f t="shared" si="39"/>
        <v>25-34</v>
      </c>
      <c r="AF887" t="str">
        <f t="shared" si="40"/>
        <v>Very Low Usage</v>
      </c>
      <c r="AG887" t="str">
        <f t="shared" si="41"/>
        <v>Moderate Loneliness</v>
      </c>
    </row>
    <row r="888" spans="1:33" x14ac:dyDescent="0.3">
      <c r="A888" t="s">
        <v>932</v>
      </c>
      <c r="B888">
        <v>42</v>
      </c>
      <c r="C888" t="s">
        <v>1</v>
      </c>
      <c r="D888" t="s">
        <v>2</v>
      </c>
      <c r="E888" t="s">
        <v>3</v>
      </c>
      <c r="F888" t="s">
        <v>16</v>
      </c>
      <c r="G888" t="s">
        <v>17</v>
      </c>
      <c r="H888" t="s">
        <v>28</v>
      </c>
      <c r="I888" t="s">
        <v>19</v>
      </c>
      <c r="J888" t="s">
        <v>8</v>
      </c>
      <c r="K888" t="s">
        <v>1079</v>
      </c>
      <c r="L888">
        <v>3.69</v>
      </c>
      <c r="M888">
        <v>2.4700000000000002</v>
      </c>
      <c r="N888">
        <v>4.6100000000000003</v>
      </c>
      <c r="O888">
        <v>8.0299999999999994</v>
      </c>
      <c r="P888">
        <v>0</v>
      </c>
      <c r="Q888">
        <v>10</v>
      </c>
      <c r="R888">
        <v>8.9</v>
      </c>
      <c r="S888">
        <v>1</v>
      </c>
      <c r="T888" t="s">
        <v>10</v>
      </c>
      <c r="U888">
        <v>5.5</v>
      </c>
      <c r="V888">
        <v>6.5</v>
      </c>
      <c r="W888">
        <v>1.6</v>
      </c>
      <c r="X888">
        <v>6.9</v>
      </c>
      <c r="Y888">
        <v>7.2</v>
      </c>
      <c r="Z888">
        <v>8.6999999999999993</v>
      </c>
      <c r="AA888">
        <v>2.1</v>
      </c>
      <c r="AB888" t="s">
        <v>44</v>
      </c>
      <c r="AC888" t="s">
        <v>39</v>
      </c>
      <c r="AD888" t="s">
        <v>45</v>
      </c>
      <c r="AE888" t="str">
        <f t="shared" si="39"/>
        <v>35-44</v>
      </c>
      <c r="AF888" t="str">
        <f t="shared" si="40"/>
        <v>Moderate Usage</v>
      </c>
      <c r="AG888" t="str">
        <f t="shared" si="41"/>
        <v>High Loneliness</v>
      </c>
    </row>
    <row r="889" spans="1:33" x14ac:dyDescent="0.3">
      <c r="A889" t="s">
        <v>933</v>
      </c>
      <c r="B889">
        <v>19</v>
      </c>
      <c r="C889" t="s">
        <v>89</v>
      </c>
      <c r="D889" t="s">
        <v>14</v>
      </c>
      <c r="E889" t="s">
        <v>15</v>
      </c>
      <c r="F889" t="s">
        <v>4</v>
      </c>
      <c r="G889" t="s">
        <v>17</v>
      </c>
      <c r="H889" t="s">
        <v>18</v>
      </c>
      <c r="I889" t="s">
        <v>19</v>
      </c>
      <c r="J889" t="s">
        <v>8</v>
      </c>
      <c r="K889" t="s">
        <v>9</v>
      </c>
      <c r="L889">
        <v>1.1100000000000001</v>
      </c>
      <c r="M889">
        <v>4.72</v>
      </c>
      <c r="N889">
        <v>1.1000000000000001</v>
      </c>
      <c r="O889">
        <v>6.16</v>
      </c>
      <c r="P889">
        <v>4</v>
      </c>
      <c r="Q889">
        <v>5.9</v>
      </c>
      <c r="R889">
        <v>6</v>
      </c>
      <c r="S889">
        <v>6.6</v>
      </c>
      <c r="T889" t="s">
        <v>39</v>
      </c>
      <c r="U889">
        <v>8.3000000000000007</v>
      </c>
      <c r="V889">
        <v>7.1</v>
      </c>
      <c r="W889">
        <v>3.2</v>
      </c>
      <c r="X889">
        <v>2.2999999999999998</v>
      </c>
      <c r="Y889">
        <v>2.9</v>
      </c>
      <c r="Z889">
        <v>4.7</v>
      </c>
      <c r="AA889">
        <v>6.1</v>
      </c>
      <c r="AB889" t="s">
        <v>21</v>
      </c>
      <c r="AC889" t="s">
        <v>39</v>
      </c>
      <c r="AD889" t="s">
        <v>12</v>
      </c>
      <c r="AE889" t="str">
        <f t="shared" si="39"/>
        <v>15-19</v>
      </c>
      <c r="AF889" t="str">
        <f t="shared" si="40"/>
        <v>Low Usage</v>
      </c>
      <c r="AG889" t="str">
        <f t="shared" si="41"/>
        <v>Moderate Loneliness</v>
      </c>
    </row>
    <row r="890" spans="1:33" x14ac:dyDescent="0.3">
      <c r="A890" t="s">
        <v>934</v>
      </c>
      <c r="B890">
        <v>18</v>
      </c>
      <c r="C890" t="s">
        <v>27</v>
      </c>
      <c r="D890" t="s">
        <v>58</v>
      </c>
      <c r="E890" t="s">
        <v>37</v>
      </c>
      <c r="F890" t="s">
        <v>4</v>
      </c>
      <c r="G890" t="s">
        <v>5</v>
      </c>
      <c r="H890" t="s">
        <v>28</v>
      </c>
      <c r="I890" t="s">
        <v>19</v>
      </c>
      <c r="J890" t="s">
        <v>8</v>
      </c>
      <c r="K890" t="s">
        <v>25</v>
      </c>
      <c r="L890">
        <v>0.14000000000000001</v>
      </c>
      <c r="M890">
        <v>5.43</v>
      </c>
      <c r="N890">
        <v>1.59</v>
      </c>
      <c r="O890">
        <v>1.74</v>
      </c>
      <c r="P890">
        <v>5</v>
      </c>
      <c r="Q890">
        <v>2.6</v>
      </c>
      <c r="R890">
        <v>1</v>
      </c>
      <c r="S890">
        <v>9.8000000000000007</v>
      </c>
      <c r="T890" t="s">
        <v>10</v>
      </c>
      <c r="U890">
        <v>9.8000000000000007</v>
      </c>
      <c r="V890">
        <v>9.1999999999999993</v>
      </c>
      <c r="W890">
        <v>9</v>
      </c>
      <c r="X890">
        <v>2.9</v>
      </c>
      <c r="Y890">
        <v>1</v>
      </c>
      <c r="Z890">
        <v>3.7</v>
      </c>
      <c r="AA890">
        <v>8.4</v>
      </c>
      <c r="AB890" t="s">
        <v>21</v>
      </c>
      <c r="AC890" t="s">
        <v>10</v>
      </c>
      <c r="AD890" t="s">
        <v>12</v>
      </c>
      <c r="AE890" t="str">
        <f t="shared" si="39"/>
        <v>15-19</v>
      </c>
      <c r="AF890" t="str">
        <f t="shared" si="40"/>
        <v>Very Low Usage</v>
      </c>
      <c r="AG890" t="str">
        <f t="shared" si="41"/>
        <v>Low Loneliness</v>
      </c>
    </row>
    <row r="891" spans="1:33" x14ac:dyDescent="0.3">
      <c r="A891" t="s">
        <v>935</v>
      </c>
      <c r="B891">
        <v>17</v>
      </c>
      <c r="C891" t="s">
        <v>1</v>
      </c>
      <c r="D891" t="s">
        <v>14</v>
      </c>
      <c r="E891" t="s">
        <v>37</v>
      </c>
      <c r="F891" t="s">
        <v>12</v>
      </c>
      <c r="G891" t="s">
        <v>66</v>
      </c>
      <c r="H891" t="s">
        <v>6</v>
      </c>
      <c r="I891" t="s">
        <v>29</v>
      </c>
      <c r="J891" t="s">
        <v>8</v>
      </c>
      <c r="K891" t="s">
        <v>1079</v>
      </c>
      <c r="L891">
        <v>2.12</v>
      </c>
      <c r="M891">
        <v>3.9</v>
      </c>
      <c r="N891">
        <v>1.62</v>
      </c>
      <c r="O891">
        <v>5.77</v>
      </c>
      <c r="P891">
        <v>6</v>
      </c>
      <c r="Q891">
        <v>4.5999999999999996</v>
      </c>
      <c r="R891">
        <v>4</v>
      </c>
      <c r="S891">
        <v>6.5</v>
      </c>
      <c r="T891" t="s">
        <v>10</v>
      </c>
      <c r="U891">
        <v>8.1</v>
      </c>
      <c r="V891">
        <v>5.6</v>
      </c>
      <c r="W891">
        <v>4.5</v>
      </c>
      <c r="X891">
        <v>2.6</v>
      </c>
      <c r="Y891">
        <v>2.1</v>
      </c>
      <c r="Z891">
        <v>5.3</v>
      </c>
      <c r="AA891">
        <v>6.6</v>
      </c>
      <c r="AB891" t="s">
        <v>21</v>
      </c>
      <c r="AC891" t="s">
        <v>10</v>
      </c>
      <c r="AD891" t="s">
        <v>12</v>
      </c>
      <c r="AE891" t="str">
        <f t="shared" si="39"/>
        <v>15-19</v>
      </c>
      <c r="AF891" t="str">
        <f t="shared" si="40"/>
        <v>Low Usage</v>
      </c>
      <c r="AG891" t="str">
        <f t="shared" si="41"/>
        <v>Moderate Loneliness</v>
      </c>
    </row>
    <row r="892" spans="1:33" x14ac:dyDescent="0.3">
      <c r="A892" t="s">
        <v>936</v>
      </c>
      <c r="B892">
        <v>33</v>
      </c>
      <c r="C892" t="s">
        <v>27</v>
      </c>
      <c r="D892" t="s">
        <v>41</v>
      </c>
      <c r="E892" t="s">
        <v>37</v>
      </c>
      <c r="F892" t="s">
        <v>12</v>
      </c>
      <c r="G892" t="s">
        <v>17</v>
      </c>
      <c r="H892" t="s">
        <v>33</v>
      </c>
      <c r="I892" t="s">
        <v>29</v>
      </c>
      <c r="J892" t="s">
        <v>38</v>
      </c>
      <c r="K892" t="s">
        <v>25</v>
      </c>
      <c r="L892">
        <v>0</v>
      </c>
      <c r="M892">
        <v>5.68</v>
      </c>
      <c r="N892">
        <v>0.49</v>
      </c>
      <c r="O892">
        <v>3.06</v>
      </c>
      <c r="P892">
        <v>6</v>
      </c>
      <c r="Q892">
        <v>3.5</v>
      </c>
      <c r="R892">
        <v>1</v>
      </c>
      <c r="S892">
        <v>7.7</v>
      </c>
      <c r="T892" t="s">
        <v>10</v>
      </c>
      <c r="U892">
        <v>6.3</v>
      </c>
      <c r="V892">
        <v>8.6</v>
      </c>
      <c r="W892">
        <v>5.3</v>
      </c>
      <c r="X892">
        <v>1</v>
      </c>
      <c r="Y892">
        <v>1.7</v>
      </c>
      <c r="Z892">
        <v>1.4</v>
      </c>
      <c r="AA892">
        <v>10</v>
      </c>
      <c r="AB892" t="s">
        <v>11</v>
      </c>
      <c r="AC892" t="s">
        <v>10</v>
      </c>
      <c r="AD892" t="s">
        <v>12</v>
      </c>
      <c r="AE892" t="str">
        <f t="shared" si="39"/>
        <v>25-34</v>
      </c>
      <c r="AF892" t="str">
        <f t="shared" si="40"/>
        <v>Very Low Usage</v>
      </c>
      <c r="AG892" t="str">
        <f t="shared" si="41"/>
        <v>Moderate Loneliness</v>
      </c>
    </row>
    <row r="893" spans="1:33" x14ac:dyDescent="0.3">
      <c r="A893" t="s">
        <v>937</v>
      </c>
      <c r="B893">
        <v>34</v>
      </c>
      <c r="C893" t="s">
        <v>32</v>
      </c>
      <c r="D893" t="s">
        <v>14</v>
      </c>
      <c r="E893" t="s">
        <v>15</v>
      </c>
      <c r="F893" t="s">
        <v>12</v>
      </c>
      <c r="G893" t="s">
        <v>5</v>
      </c>
      <c r="H893" t="s">
        <v>28</v>
      </c>
      <c r="I893" t="s">
        <v>24</v>
      </c>
      <c r="J893" t="s">
        <v>8</v>
      </c>
      <c r="K893" t="s">
        <v>1079</v>
      </c>
      <c r="L893">
        <v>1.82</v>
      </c>
      <c r="M893">
        <v>2.7</v>
      </c>
      <c r="N893">
        <v>5.12</v>
      </c>
      <c r="O893">
        <v>8.23</v>
      </c>
      <c r="P893">
        <v>4</v>
      </c>
      <c r="Q893">
        <v>5</v>
      </c>
      <c r="R893">
        <v>3.9</v>
      </c>
      <c r="S893">
        <v>6.2</v>
      </c>
      <c r="T893" t="s">
        <v>10</v>
      </c>
      <c r="U893">
        <v>7.7</v>
      </c>
      <c r="V893">
        <v>8</v>
      </c>
      <c r="W893">
        <v>4.7</v>
      </c>
      <c r="X893">
        <v>4.9000000000000004</v>
      </c>
      <c r="Y893">
        <v>4.5999999999999996</v>
      </c>
      <c r="Z893">
        <v>6</v>
      </c>
      <c r="AA893">
        <v>6.9</v>
      </c>
      <c r="AB893" t="s">
        <v>11</v>
      </c>
      <c r="AC893" t="s">
        <v>10</v>
      </c>
      <c r="AD893" t="s">
        <v>22</v>
      </c>
      <c r="AE893" t="str">
        <f t="shared" si="39"/>
        <v>25-34</v>
      </c>
      <c r="AF893" t="str">
        <f t="shared" si="40"/>
        <v>Low Usage</v>
      </c>
      <c r="AG893" t="str">
        <f t="shared" si="41"/>
        <v>Moderate Loneliness</v>
      </c>
    </row>
    <row r="894" spans="1:33" x14ac:dyDescent="0.3">
      <c r="A894" t="s">
        <v>938</v>
      </c>
      <c r="B894">
        <v>39</v>
      </c>
      <c r="C894" t="s">
        <v>32</v>
      </c>
      <c r="D894" t="s">
        <v>58</v>
      </c>
      <c r="E894" t="s">
        <v>37</v>
      </c>
      <c r="F894" t="s">
        <v>16</v>
      </c>
      <c r="G894" t="s">
        <v>5</v>
      </c>
      <c r="H894" t="s">
        <v>18</v>
      </c>
      <c r="I894" t="s">
        <v>24</v>
      </c>
      <c r="J894" t="s">
        <v>8</v>
      </c>
      <c r="K894" t="s">
        <v>25</v>
      </c>
      <c r="L894">
        <v>3.68</v>
      </c>
      <c r="M894">
        <v>0.45</v>
      </c>
      <c r="N894">
        <v>3.92</v>
      </c>
      <c r="O894">
        <v>10.24</v>
      </c>
      <c r="P894">
        <v>1</v>
      </c>
      <c r="Q894">
        <v>10</v>
      </c>
      <c r="R894">
        <v>6.8</v>
      </c>
      <c r="S894">
        <v>4.5</v>
      </c>
      <c r="T894" t="s">
        <v>10</v>
      </c>
      <c r="U894">
        <v>7</v>
      </c>
      <c r="V894">
        <v>6.3</v>
      </c>
      <c r="W894">
        <v>2.2000000000000002</v>
      </c>
      <c r="X894">
        <v>7.9</v>
      </c>
      <c r="Y894">
        <v>7.8</v>
      </c>
      <c r="Z894">
        <v>7.9</v>
      </c>
      <c r="AA894">
        <v>3.2</v>
      </c>
      <c r="AB894" t="s">
        <v>21</v>
      </c>
      <c r="AC894" t="s">
        <v>10</v>
      </c>
      <c r="AD894" t="s">
        <v>45</v>
      </c>
      <c r="AE894" t="str">
        <f t="shared" si="39"/>
        <v>35-44</v>
      </c>
      <c r="AF894" t="str">
        <f t="shared" si="40"/>
        <v>Moderate Usage</v>
      </c>
      <c r="AG894" t="str">
        <f t="shared" si="41"/>
        <v>High Loneliness</v>
      </c>
    </row>
    <row r="895" spans="1:33" x14ac:dyDescent="0.3">
      <c r="A895" t="s">
        <v>939</v>
      </c>
      <c r="B895">
        <v>32</v>
      </c>
      <c r="C895" t="s">
        <v>1</v>
      </c>
      <c r="D895" t="s">
        <v>2</v>
      </c>
      <c r="E895" t="s">
        <v>37</v>
      </c>
      <c r="F895" t="s">
        <v>16</v>
      </c>
      <c r="G895" t="s">
        <v>5</v>
      </c>
      <c r="H895" t="s">
        <v>33</v>
      </c>
      <c r="I895" t="s">
        <v>29</v>
      </c>
      <c r="J895" t="s">
        <v>8</v>
      </c>
      <c r="K895" t="s">
        <v>25</v>
      </c>
      <c r="L895">
        <v>3.98</v>
      </c>
      <c r="M895">
        <v>1.89</v>
      </c>
      <c r="N895">
        <v>3.54</v>
      </c>
      <c r="O895">
        <v>8.51</v>
      </c>
      <c r="P895">
        <v>3</v>
      </c>
      <c r="Q895">
        <v>8.8000000000000007</v>
      </c>
      <c r="R895">
        <v>9.1</v>
      </c>
      <c r="S895">
        <v>2.6</v>
      </c>
      <c r="T895" t="s">
        <v>39</v>
      </c>
      <c r="U895">
        <v>4.3</v>
      </c>
      <c r="V895">
        <v>3.4</v>
      </c>
      <c r="W895">
        <v>4.9000000000000004</v>
      </c>
      <c r="X895">
        <v>7.3</v>
      </c>
      <c r="Y895">
        <v>7.9</v>
      </c>
      <c r="Z895">
        <v>8.9</v>
      </c>
      <c r="AA895">
        <v>4.2</v>
      </c>
      <c r="AB895" t="s">
        <v>44</v>
      </c>
      <c r="AC895" t="s">
        <v>10</v>
      </c>
      <c r="AD895" t="s">
        <v>45</v>
      </c>
      <c r="AE895" t="str">
        <f t="shared" si="39"/>
        <v>25-34</v>
      </c>
      <c r="AF895" t="str">
        <f t="shared" si="40"/>
        <v>Moderate Usage</v>
      </c>
      <c r="AG895" t="str">
        <f t="shared" si="41"/>
        <v>High Loneliness</v>
      </c>
    </row>
    <row r="896" spans="1:33" x14ac:dyDescent="0.3">
      <c r="A896" t="s">
        <v>940</v>
      </c>
      <c r="B896">
        <v>29</v>
      </c>
      <c r="C896" t="s">
        <v>32</v>
      </c>
      <c r="D896" t="s">
        <v>47</v>
      </c>
      <c r="E896" t="s">
        <v>59</v>
      </c>
      <c r="F896" t="s">
        <v>4</v>
      </c>
      <c r="G896" t="s">
        <v>17</v>
      </c>
      <c r="H896" t="s">
        <v>6</v>
      </c>
      <c r="I896" t="s">
        <v>19</v>
      </c>
      <c r="J896" t="s">
        <v>20</v>
      </c>
      <c r="K896" t="s">
        <v>53</v>
      </c>
      <c r="L896">
        <v>4.76</v>
      </c>
      <c r="M896">
        <v>1.95</v>
      </c>
      <c r="N896">
        <v>5.44</v>
      </c>
      <c r="O896">
        <v>12.37</v>
      </c>
      <c r="P896">
        <v>1</v>
      </c>
      <c r="Q896">
        <v>8.6999999999999993</v>
      </c>
      <c r="R896">
        <v>10</v>
      </c>
      <c r="S896">
        <v>2.7</v>
      </c>
      <c r="T896" t="s">
        <v>39</v>
      </c>
      <c r="U896">
        <v>6.4</v>
      </c>
      <c r="V896">
        <v>1</v>
      </c>
      <c r="W896">
        <v>2.4</v>
      </c>
      <c r="X896">
        <v>7</v>
      </c>
      <c r="Y896">
        <v>8.1999999999999993</v>
      </c>
      <c r="Z896">
        <v>10</v>
      </c>
      <c r="AA896">
        <v>1</v>
      </c>
      <c r="AB896" t="s">
        <v>44</v>
      </c>
      <c r="AC896" t="s">
        <v>10</v>
      </c>
      <c r="AD896" t="s">
        <v>45</v>
      </c>
      <c r="AE896" t="str">
        <f t="shared" si="39"/>
        <v>25-34</v>
      </c>
      <c r="AF896" t="str">
        <f t="shared" si="40"/>
        <v>High Usage</v>
      </c>
      <c r="AG896" t="str">
        <f t="shared" si="41"/>
        <v>High Loneliness</v>
      </c>
    </row>
    <row r="897" spans="1:33" x14ac:dyDescent="0.3">
      <c r="A897" t="s">
        <v>941</v>
      </c>
      <c r="B897">
        <v>23</v>
      </c>
      <c r="C897" t="s">
        <v>32</v>
      </c>
      <c r="D897" t="s">
        <v>41</v>
      </c>
      <c r="E897" t="s">
        <v>15</v>
      </c>
      <c r="F897" t="s">
        <v>4</v>
      </c>
      <c r="G897" t="s">
        <v>5</v>
      </c>
      <c r="H897" t="s">
        <v>6</v>
      </c>
      <c r="I897" t="s">
        <v>29</v>
      </c>
      <c r="J897" t="s">
        <v>8</v>
      </c>
      <c r="K897" t="s">
        <v>25</v>
      </c>
      <c r="L897">
        <v>1.86</v>
      </c>
      <c r="M897">
        <v>1.9</v>
      </c>
      <c r="N897">
        <v>2.21</v>
      </c>
      <c r="O897">
        <v>3.89</v>
      </c>
      <c r="P897">
        <v>3</v>
      </c>
      <c r="Q897">
        <v>4.5</v>
      </c>
      <c r="R897">
        <v>5.0999999999999996</v>
      </c>
      <c r="S897">
        <v>3.5</v>
      </c>
      <c r="T897" t="s">
        <v>39</v>
      </c>
      <c r="U897">
        <v>6.5</v>
      </c>
      <c r="V897">
        <v>4.7</v>
      </c>
      <c r="W897">
        <v>1.5</v>
      </c>
      <c r="X897">
        <v>4.4000000000000004</v>
      </c>
      <c r="Y897">
        <v>4</v>
      </c>
      <c r="Z897">
        <v>4.5999999999999996</v>
      </c>
      <c r="AA897">
        <v>5.3</v>
      </c>
      <c r="AB897" t="s">
        <v>44</v>
      </c>
      <c r="AC897" t="s">
        <v>10</v>
      </c>
      <c r="AD897" t="s">
        <v>22</v>
      </c>
      <c r="AE897" t="str">
        <f t="shared" si="39"/>
        <v>20-24</v>
      </c>
      <c r="AF897" t="str">
        <f t="shared" si="40"/>
        <v>Low Usage</v>
      </c>
      <c r="AG897" t="str">
        <f t="shared" si="41"/>
        <v>Moderate Loneliness</v>
      </c>
    </row>
    <row r="898" spans="1:33" x14ac:dyDescent="0.3">
      <c r="A898" t="s">
        <v>942</v>
      </c>
      <c r="B898">
        <v>31</v>
      </c>
      <c r="C898" t="s">
        <v>32</v>
      </c>
      <c r="D898" t="s">
        <v>14</v>
      </c>
      <c r="E898" t="s">
        <v>37</v>
      </c>
      <c r="F898" t="s">
        <v>45</v>
      </c>
      <c r="G898" t="s">
        <v>17</v>
      </c>
      <c r="H898" t="s">
        <v>18</v>
      </c>
      <c r="I898" t="s">
        <v>29</v>
      </c>
      <c r="J898" t="s">
        <v>51</v>
      </c>
      <c r="K898" t="s">
        <v>1079</v>
      </c>
      <c r="L898">
        <v>1.36</v>
      </c>
      <c r="M898">
        <v>3.97</v>
      </c>
      <c r="N898">
        <v>3.05</v>
      </c>
      <c r="O898">
        <v>7.58</v>
      </c>
      <c r="P898">
        <v>7</v>
      </c>
      <c r="Q898">
        <v>5.3</v>
      </c>
      <c r="R898">
        <v>5.2</v>
      </c>
      <c r="S898">
        <v>4.3</v>
      </c>
      <c r="T898" t="s">
        <v>10</v>
      </c>
      <c r="U898">
        <v>8.1</v>
      </c>
      <c r="V898">
        <v>5.3</v>
      </c>
      <c r="W898">
        <v>2.8</v>
      </c>
      <c r="X898">
        <v>6.7</v>
      </c>
      <c r="Y898">
        <v>3.7</v>
      </c>
      <c r="Z898">
        <v>5.2</v>
      </c>
      <c r="AA898">
        <v>6</v>
      </c>
      <c r="AB898" t="s">
        <v>21</v>
      </c>
      <c r="AC898" t="s">
        <v>10</v>
      </c>
      <c r="AD898" t="s">
        <v>22</v>
      </c>
      <c r="AE898" t="str">
        <f t="shared" si="39"/>
        <v>25-34</v>
      </c>
      <c r="AF898" t="str">
        <f t="shared" si="40"/>
        <v>Low Usage</v>
      </c>
      <c r="AG898" t="str">
        <f t="shared" si="41"/>
        <v>Moderate Loneliness</v>
      </c>
    </row>
    <row r="899" spans="1:33" x14ac:dyDescent="0.3">
      <c r="A899" t="s">
        <v>943</v>
      </c>
      <c r="B899">
        <v>28</v>
      </c>
      <c r="C899" t="s">
        <v>1</v>
      </c>
      <c r="D899" t="s">
        <v>41</v>
      </c>
      <c r="E899" t="s">
        <v>15</v>
      </c>
      <c r="F899" t="s">
        <v>12</v>
      </c>
      <c r="G899" t="s">
        <v>5</v>
      </c>
      <c r="H899" t="s">
        <v>33</v>
      </c>
      <c r="I899" t="s">
        <v>29</v>
      </c>
      <c r="J899" t="s">
        <v>38</v>
      </c>
      <c r="K899" t="s">
        <v>1079</v>
      </c>
      <c r="L899">
        <v>0.59</v>
      </c>
      <c r="M899">
        <v>4.0999999999999996</v>
      </c>
      <c r="N899">
        <v>2.0099999999999998</v>
      </c>
      <c r="O899">
        <v>4.5999999999999996</v>
      </c>
      <c r="P899">
        <v>6</v>
      </c>
      <c r="Q899">
        <v>1.4</v>
      </c>
      <c r="R899">
        <v>2.2000000000000002</v>
      </c>
      <c r="S899">
        <v>9.1</v>
      </c>
      <c r="T899" t="s">
        <v>10</v>
      </c>
      <c r="U899">
        <v>7.6</v>
      </c>
      <c r="V899">
        <v>7.4</v>
      </c>
      <c r="W899">
        <v>5.2</v>
      </c>
      <c r="X899">
        <v>1.7</v>
      </c>
      <c r="Y899">
        <v>2.5</v>
      </c>
      <c r="Z899">
        <v>1.1000000000000001</v>
      </c>
      <c r="AA899">
        <v>6.5</v>
      </c>
      <c r="AB899" t="s">
        <v>11</v>
      </c>
      <c r="AC899" t="s">
        <v>10</v>
      </c>
      <c r="AD899" t="s">
        <v>12</v>
      </c>
      <c r="AE899" t="str">
        <f t="shared" ref="AE899:AE962" si="42">IF(B899&lt;20,"15-19",IF(B899&lt;25,"20-24",IF(B899&lt;35,"25-34","35-44")))</f>
        <v>25-34</v>
      </c>
      <c r="AF899" t="str">
        <f t="shared" ref="AF899:AF962" si="43">IF(L899&lt;=1,"Very Low Usage",IF(L899&lt;=2.5,"Low Usage",IF(L899&lt;=4,"Moderate Usage","High Usage")))</f>
        <v>Very Low Usage</v>
      </c>
      <c r="AG899" t="str">
        <f t="shared" ref="AG899:AG962" si="44">IF(Q899&lt;=3,"Low Loneliness",IF(Q899&lt;=6,"Moderate Loneliness","High Loneliness"))</f>
        <v>Low Loneliness</v>
      </c>
    </row>
    <row r="900" spans="1:33" x14ac:dyDescent="0.3">
      <c r="A900" t="s">
        <v>944</v>
      </c>
      <c r="B900">
        <v>29</v>
      </c>
      <c r="C900" t="s">
        <v>1</v>
      </c>
      <c r="D900" t="s">
        <v>14</v>
      </c>
      <c r="E900" t="s">
        <v>37</v>
      </c>
      <c r="F900" t="s">
        <v>4</v>
      </c>
      <c r="G900" t="s">
        <v>5</v>
      </c>
      <c r="H900" t="s">
        <v>18</v>
      </c>
      <c r="I900" t="s">
        <v>35</v>
      </c>
      <c r="J900" t="s">
        <v>8</v>
      </c>
      <c r="K900" t="s">
        <v>1079</v>
      </c>
      <c r="L900">
        <v>1.33</v>
      </c>
      <c r="M900">
        <v>2.84</v>
      </c>
      <c r="N900">
        <v>3.01</v>
      </c>
      <c r="O900">
        <v>4.75</v>
      </c>
      <c r="P900">
        <v>6</v>
      </c>
      <c r="Q900">
        <v>5.7</v>
      </c>
      <c r="R900">
        <v>4.4000000000000004</v>
      </c>
      <c r="S900">
        <v>7.6</v>
      </c>
      <c r="T900" t="s">
        <v>10</v>
      </c>
      <c r="U900">
        <v>7.1</v>
      </c>
      <c r="V900">
        <v>7.1</v>
      </c>
      <c r="W900">
        <v>5.2</v>
      </c>
      <c r="X900">
        <v>4.8</v>
      </c>
      <c r="Y900">
        <v>4.2</v>
      </c>
      <c r="Z900">
        <v>5</v>
      </c>
      <c r="AA900">
        <v>6.6</v>
      </c>
      <c r="AB900" t="s">
        <v>21</v>
      </c>
      <c r="AC900" t="s">
        <v>10</v>
      </c>
      <c r="AD900" t="s">
        <v>12</v>
      </c>
      <c r="AE900" t="str">
        <f t="shared" si="42"/>
        <v>25-34</v>
      </c>
      <c r="AF900" t="str">
        <f t="shared" si="43"/>
        <v>Low Usage</v>
      </c>
      <c r="AG900" t="str">
        <f t="shared" si="44"/>
        <v>Moderate Loneliness</v>
      </c>
    </row>
    <row r="901" spans="1:33" x14ac:dyDescent="0.3">
      <c r="A901" t="s">
        <v>945</v>
      </c>
      <c r="B901">
        <v>15</v>
      </c>
      <c r="C901" t="s">
        <v>1</v>
      </c>
      <c r="D901" t="s">
        <v>14</v>
      </c>
      <c r="E901" t="s">
        <v>3</v>
      </c>
      <c r="F901" t="s">
        <v>4</v>
      </c>
      <c r="G901" t="s">
        <v>17</v>
      </c>
      <c r="H901" t="s">
        <v>18</v>
      </c>
      <c r="I901" t="s">
        <v>29</v>
      </c>
      <c r="J901" t="s">
        <v>20</v>
      </c>
      <c r="K901" t="s">
        <v>25</v>
      </c>
      <c r="L901">
        <v>1.48</v>
      </c>
      <c r="M901">
        <v>5.44</v>
      </c>
      <c r="N901">
        <v>4.67</v>
      </c>
      <c r="O901">
        <v>8.7799999999999994</v>
      </c>
      <c r="P901">
        <v>4</v>
      </c>
      <c r="Q901">
        <v>4.7</v>
      </c>
      <c r="R901">
        <v>4.3</v>
      </c>
      <c r="S901">
        <v>7.4</v>
      </c>
      <c r="T901" t="s">
        <v>10</v>
      </c>
      <c r="U901">
        <v>7.4</v>
      </c>
      <c r="V901">
        <v>7.1</v>
      </c>
      <c r="W901">
        <v>1.9</v>
      </c>
      <c r="X901">
        <v>4.5</v>
      </c>
      <c r="Y901">
        <v>3</v>
      </c>
      <c r="Z901">
        <v>5.2</v>
      </c>
      <c r="AA901">
        <v>3.8</v>
      </c>
      <c r="AB901" t="s">
        <v>21</v>
      </c>
      <c r="AC901" t="s">
        <v>10</v>
      </c>
      <c r="AD901" t="s">
        <v>12</v>
      </c>
      <c r="AE901" t="str">
        <f t="shared" si="42"/>
        <v>15-19</v>
      </c>
      <c r="AF901" t="str">
        <f t="shared" si="43"/>
        <v>Low Usage</v>
      </c>
      <c r="AG901" t="str">
        <f t="shared" si="44"/>
        <v>Moderate Loneliness</v>
      </c>
    </row>
    <row r="902" spans="1:33" x14ac:dyDescent="0.3">
      <c r="A902" t="s">
        <v>946</v>
      </c>
      <c r="B902">
        <v>35</v>
      </c>
      <c r="C902" t="s">
        <v>32</v>
      </c>
      <c r="D902" t="s">
        <v>14</v>
      </c>
      <c r="E902" t="s">
        <v>37</v>
      </c>
      <c r="F902" t="s">
        <v>16</v>
      </c>
      <c r="G902" t="s">
        <v>43</v>
      </c>
      <c r="H902" t="s">
        <v>28</v>
      </c>
      <c r="I902" t="s">
        <v>29</v>
      </c>
      <c r="J902" t="s">
        <v>8</v>
      </c>
      <c r="K902" t="s">
        <v>53</v>
      </c>
      <c r="L902">
        <v>2.23</v>
      </c>
      <c r="M902">
        <v>3.18</v>
      </c>
      <c r="N902">
        <v>2.4700000000000002</v>
      </c>
      <c r="O902">
        <v>8.33</v>
      </c>
      <c r="P902">
        <v>3</v>
      </c>
      <c r="Q902">
        <v>8.3000000000000007</v>
      </c>
      <c r="R902">
        <v>5.8</v>
      </c>
      <c r="S902">
        <v>1.8</v>
      </c>
      <c r="T902" t="s">
        <v>10</v>
      </c>
      <c r="U902">
        <v>7.1</v>
      </c>
      <c r="V902">
        <v>3.7</v>
      </c>
      <c r="W902">
        <v>3.8</v>
      </c>
      <c r="X902">
        <v>4.8</v>
      </c>
      <c r="Y902">
        <v>3.8</v>
      </c>
      <c r="Z902">
        <v>7.3</v>
      </c>
      <c r="AA902">
        <v>7.5</v>
      </c>
      <c r="AB902" t="s">
        <v>21</v>
      </c>
      <c r="AC902" t="s">
        <v>10</v>
      </c>
      <c r="AD902" t="s">
        <v>45</v>
      </c>
      <c r="AE902" t="str">
        <f t="shared" si="42"/>
        <v>35-44</v>
      </c>
      <c r="AF902" t="str">
        <f t="shared" si="43"/>
        <v>Low Usage</v>
      </c>
      <c r="AG902" t="str">
        <f t="shared" si="44"/>
        <v>High Loneliness</v>
      </c>
    </row>
    <row r="903" spans="1:33" x14ac:dyDescent="0.3">
      <c r="A903" t="s">
        <v>947</v>
      </c>
      <c r="B903">
        <v>36</v>
      </c>
      <c r="C903" t="s">
        <v>1</v>
      </c>
      <c r="D903" t="s">
        <v>2</v>
      </c>
      <c r="E903" t="s">
        <v>59</v>
      </c>
      <c r="F903" t="s">
        <v>45</v>
      </c>
      <c r="G903" t="s">
        <v>17</v>
      </c>
      <c r="H903" t="s">
        <v>28</v>
      </c>
      <c r="I903" t="s">
        <v>29</v>
      </c>
      <c r="J903" t="s">
        <v>48</v>
      </c>
      <c r="K903" t="s">
        <v>53</v>
      </c>
      <c r="L903">
        <v>0.34</v>
      </c>
      <c r="M903">
        <v>4.33</v>
      </c>
      <c r="N903">
        <v>2.92</v>
      </c>
      <c r="O903">
        <v>4.32</v>
      </c>
      <c r="P903">
        <v>5</v>
      </c>
      <c r="Q903">
        <v>3.1</v>
      </c>
      <c r="R903">
        <v>3</v>
      </c>
      <c r="S903">
        <v>7.7</v>
      </c>
      <c r="T903" t="s">
        <v>39</v>
      </c>
      <c r="U903">
        <v>8.1999999999999993</v>
      </c>
      <c r="V903">
        <v>10</v>
      </c>
      <c r="W903">
        <v>6.4</v>
      </c>
      <c r="X903">
        <v>3.9</v>
      </c>
      <c r="Y903">
        <v>1</v>
      </c>
      <c r="Z903">
        <v>3.2</v>
      </c>
      <c r="AA903">
        <v>8.1</v>
      </c>
      <c r="AB903" t="s">
        <v>11</v>
      </c>
      <c r="AC903" t="s">
        <v>10</v>
      </c>
      <c r="AD903" t="s">
        <v>12</v>
      </c>
      <c r="AE903" t="str">
        <f t="shared" si="42"/>
        <v>35-44</v>
      </c>
      <c r="AF903" t="str">
        <f t="shared" si="43"/>
        <v>Very Low Usage</v>
      </c>
      <c r="AG903" t="str">
        <f t="shared" si="44"/>
        <v>Moderate Loneliness</v>
      </c>
    </row>
    <row r="904" spans="1:33" x14ac:dyDescent="0.3">
      <c r="A904" t="s">
        <v>948</v>
      </c>
      <c r="B904">
        <v>36</v>
      </c>
      <c r="C904" t="s">
        <v>32</v>
      </c>
      <c r="D904" t="s">
        <v>14</v>
      </c>
      <c r="E904" t="s">
        <v>59</v>
      </c>
      <c r="F904" t="s">
        <v>12</v>
      </c>
      <c r="G904" t="s">
        <v>43</v>
      </c>
      <c r="H904" t="s">
        <v>18</v>
      </c>
      <c r="I904" t="s">
        <v>29</v>
      </c>
      <c r="J904" t="s">
        <v>20</v>
      </c>
      <c r="K904" t="s">
        <v>25</v>
      </c>
      <c r="L904">
        <v>1.44</v>
      </c>
      <c r="M904">
        <v>4.13</v>
      </c>
      <c r="N904">
        <v>3.02</v>
      </c>
      <c r="O904">
        <v>6.25</v>
      </c>
      <c r="P904">
        <v>4</v>
      </c>
      <c r="Q904">
        <v>6.3</v>
      </c>
      <c r="R904">
        <v>4.4000000000000004</v>
      </c>
      <c r="S904">
        <v>6.2</v>
      </c>
      <c r="T904" t="s">
        <v>10</v>
      </c>
      <c r="U904">
        <v>6.2</v>
      </c>
      <c r="V904">
        <v>8.6999999999999993</v>
      </c>
      <c r="W904">
        <v>5.3</v>
      </c>
      <c r="X904">
        <v>4.5999999999999996</v>
      </c>
      <c r="Y904">
        <v>3.6</v>
      </c>
      <c r="Z904">
        <v>5.6</v>
      </c>
      <c r="AA904">
        <v>4.9000000000000004</v>
      </c>
      <c r="AB904" t="s">
        <v>21</v>
      </c>
      <c r="AC904" t="s">
        <v>10</v>
      </c>
      <c r="AD904" t="s">
        <v>22</v>
      </c>
      <c r="AE904" t="str">
        <f t="shared" si="42"/>
        <v>35-44</v>
      </c>
      <c r="AF904" t="str">
        <f t="shared" si="43"/>
        <v>Low Usage</v>
      </c>
      <c r="AG904" t="str">
        <f t="shared" si="44"/>
        <v>High Loneliness</v>
      </c>
    </row>
    <row r="905" spans="1:33" x14ac:dyDescent="0.3">
      <c r="A905" t="s">
        <v>949</v>
      </c>
      <c r="B905">
        <v>17</v>
      </c>
      <c r="C905" t="s">
        <v>27</v>
      </c>
      <c r="D905" t="s">
        <v>2</v>
      </c>
      <c r="E905" t="s">
        <v>37</v>
      </c>
      <c r="F905" t="s">
        <v>16</v>
      </c>
      <c r="G905" t="s">
        <v>5</v>
      </c>
      <c r="H905" t="s">
        <v>28</v>
      </c>
      <c r="I905" t="s">
        <v>24</v>
      </c>
      <c r="J905" t="s">
        <v>8</v>
      </c>
      <c r="K905" t="s">
        <v>53</v>
      </c>
      <c r="L905">
        <v>0</v>
      </c>
      <c r="M905">
        <v>4.26</v>
      </c>
      <c r="N905">
        <v>1.84</v>
      </c>
      <c r="O905">
        <v>3.32</v>
      </c>
      <c r="P905">
        <v>6</v>
      </c>
      <c r="Q905">
        <v>1</v>
      </c>
      <c r="R905">
        <v>3.6</v>
      </c>
      <c r="S905">
        <v>9.1999999999999993</v>
      </c>
      <c r="T905" t="s">
        <v>39</v>
      </c>
      <c r="U905">
        <v>7.9</v>
      </c>
      <c r="V905">
        <v>7.3</v>
      </c>
      <c r="W905">
        <v>5.8</v>
      </c>
      <c r="X905">
        <v>1.1000000000000001</v>
      </c>
      <c r="Y905">
        <v>1</v>
      </c>
      <c r="Z905">
        <v>1.5</v>
      </c>
      <c r="AA905">
        <v>9.6999999999999993</v>
      </c>
      <c r="AB905" t="s">
        <v>11</v>
      </c>
      <c r="AC905" t="s">
        <v>10</v>
      </c>
      <c r="AD905" t="s">
        <v>12</v>
      </c>
      <c r="AE905" t="str">
        <f t="shared" si="42"/>
        <v>15-19</v>
      </c>
      <c r="AF905" t="str">
        <f t="shared" si="43"/>
        <v>Very Low Usage</v>
      </c>
      <c r="AG905" t="str">
        <f t="shared" si="44"/>
        <v>Low Loneliness</v>
      </c>
    </row>
    <row r="906" spans="1:33" x14ac:dyDescent="0.3">
      <c r="A906" t="s">
        <v>950</v>
      </c>
      <c r="B906">
        <v>30</v>
      </c>
      <c r="C906" t="s">
        <v>1</v>
      </c>
      <c r="D906" t="s">
        <v>2</v>
      </c>
      <c r="E906" t="s">
        <v>37</v>
      </c>
      <c r="F906" t="s">
        <v>16</v>
      </c>
      <c r="G906" t="s">
        <v>17</v>
      </c>
      <c r="H906" t="s">
        <v>28</v>
      </c>
      <c r="I906" t="s">
        <v>29</v>
      </c>
      <c r="J906" t="s">
        <v>8</v>
      </c>
      <c r="K906" t="s">
        <v>53</v>
      </c>
      <c r="L906">
        <v>2.82</v>
      </c>
      <c r="M906">
        <v>4.01</v>
      </c>
      <c r="N906">
        <v>3.18</v>
      </c>
      <c r="O906">
        <v>7.23</v>
      </c>
      <c r="P906">
        <v>3</v>
      </c>
      <c r="Q906">
        <v>7.6</v>
      </c>
      <c r="R906">
        <v>5.2</v>
      </c>
      <c r="S906">
        <v>2.8</v>
      </c>
      <c r="T906" t="s">
        <v>39</v>
      </c>
      <c r="U906">
        <v>6.8</v>
      </c>
      <c r="V906">
        <v>7.3</v>
      </c>
      <c r="W906">
        <v>5.2</v>
      </c>
      <c r="X906">
        <v>6.5</v>
      </c>
      <c r="Y906">
        <v>3.5</v>
      </c>
      <c r="Z906">
        <v>5.6</v>
      </c>
      <c r="AA906">
        <v>6.1</v>
      </c>
      <c r="AB906" t="s">
        <v>44</v>
      </c>
      <c r="AC906" t="s">
        <v>10</v>
      </c>
      <c r="AD906" t="s">
        <v>45</v>
      </c>
      <c r="AE906" t="str">
        <f t="shared" si="42"/>
        <v>25-34</v>
      </c>
      <c r="AF906" t="str">
        <f t="shared" si="43"/>
        <v>Moderate Usage</v>
      </c>
      <c r="AG906" t="str">
        <f t="shared" si="44"/>
        <v>High Loneliness</v>
      </c>
    </row>
    <row r="907" spans="1:33" x14ac:dyDescent="0.3">
      <c r="A907" t="s">
        <v>951</v>
      </c>
      <c r="B907">
        <v>37</v>
      </c>
      <c r="C907" t="s">
        <v>32</v>
      </c>
      <c r="D907" t="s">
        <v>47</v>
      </c>
      <c r="E907" t="s">
        <v>3</v>
      </c>
      <c r="F907" t="s">
        <v>12</v>
      </c>
      <c r="G907" t="s">
        <v>17</v>
      </c>
      <c r="H907" t="s">
        <v>33</v>
      </c>
      <c r="I907" t="s">
        <v>29</v>
      </c>
      <c r="J907" t="s">
        <v>48</v>
      </c>
      <c r="K907" t="s">
        <v>53</v>
      </c>
      <c r="L907">
        <v>2.57</v>
      </c>
      <c r="M907">
        <v>4.3600000000000003</v>
      </c>
      <c r="N907">
        <v>5.05</v>
      </c>
      <c r="O907">
        <v>8.75</v>
      </c>
      <c r="P907">
        <v>0</v>
      </c>
      <c r="Q907">
        <v>7.6</v>
      </c>
      <c r="R907">
        <v>6.3</v>
      </c>
      <c r="S907">
        <v>3</v>
      </c>
      <c r="T907" t="s">
        <v>10</v>
      </c>
      <c r="U907">
        <v>7.6</v>
      </c>
      <c r="V907">
        <v>5.0999999999999996</v>
      </c>
      <c r="W907">
        <v>2</v>
      </c>
      <c r="X907">
        <v>6.9</v>
      </c>
      <c r="Y907">
        <v>7.3</v>
      </c>
      <c r="Z907">
        <v>5.4</v>
      </c>
      <c r="AA907">
        <v>7.2</v>
      </c>
      <c r="AB907" t="s">
        <v>44</v>
      </c>
      <c r="AC907" t="s">
        <v>10</v>
      </c>
      <c r="AD907" t="s">
        <v>45</v>
      </c>
      <c r="AE907" t="str">
        <f t="shared" si="42"/>
        <v>35-44</v>
      </c>
      <c r="AF907" t="str">
        <f t="shared" si="43"/>
        <v>Moderate Usage</v>
      </c>
      <c r="AG907" t="str">
        <f t="shared" si="44"/>
        <v>High Loneliness</v>
      </c>
    </row>
    <row r="908" spans="1:33" x14ac:dyDescent="0.3">
      <c r="A908" t="s">
        <v>952</v>
      </c>
      <c r="B908">
        <v>39</v>
      </c>
      <c r="C908" t="s">
        <v>1</v>
      </c>
      <c r="D908" t="s">
        <v>47</v>
      </c>
      <c r="E908" t="s">
        <v>59</v>
      </c>
      <c r="F908" t="s">
        <v>4</v>
      </c>
      <c r="G908" t="s">
        <v>66</v>
      </c>
      <c r="H908" t="s">
        <v>28</v>
      </c>
      <c r="I908" t="s">
        <v>24</v>
      </c>
      <c r="J908" t="s">
        <v>20</v>
      </c>
      <c r="K908" t="s">
        <v>1079</v>
      </c>
      <c r="L908">
        <v>0</v>
      </c>
      <c r="M908">
        <v>6.45</v>
      </c>
      <c r="N908">
        <v>0.56000000000000005</v>
      </c>
      <c r="O908">
        <v>1.91</v>
      </c>
      <c r="P908">
        <v>9</v>
      </c>
      <c r="Q908">
        <v>1.9</v>
      </c>
      <c r="R908">
        <v>1.2</v>
      </c>
      <c r="S908">
        <v>8.1999999999999993</v>
      </c>
      <c r="T908" t="s">
        <v>10</v>
      </c>
      <c r="U908">
        <v>8.6</v>
      </c>
      <c r="V908">
        <v>8.3000000000000007</v>
      </c>
      <c r="W908">
        <v>7.4</v>
      </c>
      <c r="X908">
        <v>3.6</v>
      </c>
      <c r="Y908">
        <v>1.3</v>
      </c>
      <c r="Z908">
        <v>2.6</v>
      </c>
      <c r="AA908">
        <v>10</v>
      </c>
      <c r="AB908" t="s">
        <v>11</v>
      </c>
      <c r="AC908" t="s">
        <v>10</v>
      </c>
      <c r="AD908" t="s">
        <v>12</v>
      </c>
      <c r="AE908" t="str">
        <f t="shared" si="42"/>
        <v>35-44</v>
      </c>
      <c r="AF908" t="str">
        <f t="shared" si="43"/>
        <v>Very Low Usage</v>
      </c>
      <c r="AG908" t="str">
        <f t="shared" si="44"/>
        <v>Low Loneliness</v>
      </c>
    </row>
    <row r="909" spans="1:33" x14ac:dyDescent="0.3">
      <c r="A909" t="s">
        <v>953</v>
      </c>
      <c r="B909">
        <v>25</v>
      </c>
      <c r="C909" t="s">
        <v>32</v>
      </c>
      <c r="D909" t="s">
        <v>2</v>
      </c>
      <c r="E909" t="s">
        <v>59</v>
      </c>
      <c r="F909" t="s">
        <v>4</v>
      </c>
      <c r="G909" t="s">
        <v>17</v>
      </c>
      <c r="H909" t="s">
        <v>18</v>
      </c>
      <c r="I909" t="s">
        <v>29</v>
      </c>
      <c r="J909" t="s">
        <v>8</v>
      </c>
      <c r="K909" t="s">
        <v>1079</v>
      </c>
      <c r="L909">
        <v>0.09</v>
      </c>
      <c r="M909">
        <v>7.63</v>
      </c>
      <c r="N909">
        <v>1.66</v>
      </c>
      <c r="O909">
        <v>3.16</v>
      </c>
      <c r="P909">
        <v>5</v>
      </c>
      <c r="Q909">
        <v>1</v>
      </c>
      <c r="R909">
        <v>2.2999999999999998</v>
      </c>
      <c r="S909">
        <v>8.6</v>
      </c>
      <c r="T909" t="s">
        <v>10</v>
      </c>
      <c r="U909">
        <v>7.3</v>
      </c>
      <c r="V909">
        <v>7.2</v>
      </c>
      <c r="W909">
        <v>5.5</v>
      </c>
      <c r="X909">
        <v>1.3</v>
      </c>
      <c r="Y909">
        <v>3.8</v>
      </c>
      <c r="Z909">
        <v>4.4000000000000004</v>
      </c>
      <c r="AA909">
        <v>6.9</v>
      </c>
      <c r="AB909" t="s">
        <v>11</v>
      </c>
      <c r="AC909" t="s">
        <v>10</v>
      </c>
      <c r="AD909" t="s">
        <v>12</v>
      </c>
      <c r="AE909" t="str">
        <f t="shared" si="42"/>
        <v>25-34</v>
      </c>
      <c r="AF909" t="str">
        <f t="shared" si="43"/>
        <v>Very Low Usage</v>
      </c>
      <c r="AG909" t="str">
        <f t="shared" si="44"/>
        <v>Low Loneliness</v>
      </c>
    </row>
    <row r="910" spans="1:33" x14ac:dyDescent="0.3">
      <c r="A910" t="s">
        <v>954</v>
      </c>
      <c r="B910">
        <v>26</v>
      </c>
      <c r="C910" t="s">
        <v>1</v>
      </c>
      <c r="D910" t="s">
        <v>14</v>
      </c>
      <c r="E910" t="s">
        <v>37</v>
      </c>
      <c r="F910" t="s">
        <v>45</v>
      </c>
      <c r="G910" t="s">
        <v>17</v>
      </c>
      <c r="H910" t="s">
        <v>18</v>
      </c>
      <c r="I910" t="s">
        <v>24</v>
      </c>
      <c r="J910" t="s">
        <v>48</v>
      </c>
      <c r="K910" t="s">
        <v>53</v>
      </c>
      <c r="L910">
        <v>0</v>
      </c>
      <c r="M910">
        <v>3.49</v>
      </c>
      <c r="N910">
        <v>2.5099999999999998</v>
      </c>
      <c r="O910">
        <v>4.1500000000000004</v>
      </c>
      <c r="P910">
        <v>8</v>
      </c>
      <c r="Q910">
        <v>3.6</v>
      </c>
      <c r="R910">
        <v>1.5</v>
      </c>
      <c r="S910">
        <v>6.1</v>
      </c>
      <c r="T910" t="s">
        <v>39</v>
      </c>
      <c r="U910">
        <v>7.1</v>
      </c>
      <c r="V910">
        <v>8.3000000000000007</v>
      </c>
      <c r="W910">
        <v>5.6</v>
      </c>
      <c r="X910">
        <v>4.5</v>
      </c>
      <c r="Y910">
        <v>1</v>
      </c>
      <c r="Z910">
        <v>2.7</v>
      </c>
      <c r="AA910">
        <v>8.1</v>
      </c>
      <c r="AB910" t="s">
        <v>11</v>
      </c>
      <c r="AC910" t="s">
        <v>10</v>
      </c>
      <c r="AD910" t="s">
        <v>12</v>
      </c>
      <c r="AE910" t="str">
        <f t="shared" si="42"/>
        <v>25-34</v>
      </c>
      <c r="AF910" t="str">
        <f t="shared" si="43"/>
        <v>Very Low Usage</v>
      </c>
      <c r="AG910" t="str">
        <f t="shared" si="44"/>
        <v>Moderate Loneliness</v>
      </c>
    </row>
    <row r="911" spans="1:33" x14ac:dyDescent="0.3">
      <c r="A911" t="s">
        <v>955</v>
      </c>
      <c r="B911">
        <v>24</v>
      </c>
      <c r="C911" t="s">
        <v>32</v>
      </c>
      <c r="D911" t="s">
        <v>14</v>
      </c>
      <c r="E911" t="s">
        <v>15</v>
      </c>
      <c r="F911" t="s">
        <v>12</v>
      </c>
      <c r="G911" t="s">
        <v>17</v>
      </c>
      <c r="H911" t="s">
        <v>6</v>
      </c>
      <c r="I911" t="s">
        <v>19</v>
      </c>
      <c r="J911" t="s">
        <v>20</v>
      </c>
      <c r="K911" t="s">
        <v>9</v>
      </c>
      <c r="L911">
        <v>2.94</v>
      </c>
      <c r="M911">
        <v>4.32</v>
      </c>
      <c r="N911">
        <v>1.76</v>
      </c>
      <c r="O911">
        <v>6.28</v>
      </c>
      <c r="P911">
        <v>4</v>
      </c>
      <c r="Q911">
        <v>6.7</v>
      </c>
      <c r="R911">
        <v>4.7</v>
      </c>
      <c r="S911">
        <v>7.1</v>
      </c>
      <c r="T911" t="s">
        <v>10</v>
      </c>
      <c r="U911">
        <v>7.7</v>
      </c>
      <c r="V911">
        <v>6.2</v>
      </c>
      <c r="W911">
        <v>4.3</v>
      </c>
      <c r="X911">
        <v>4.9000000000000004</v>
      </c>
      <c r="Y911">
        <v>4</v>
      </c>
      <c r="Z911">
        <v>3.1</v>
      </c>
      <c r="AA911">
        <v>5.2</v>
      </c>
      <c r="AB911" t="s">
        <v>21</v>
      </c>
      <c r="AC911" t="s">
        <v>10</v>
      </c>
      <c r="AD911" t="s">
        <v>22</v>
      </c>
      <c r="AE911" t="str">
        <f t="shared" si="42"/>
        <v>20-24</v>
      </c>
      <c r="AF911" t="str">
        <f t="shared" si="43"/>
        <v>Moderate Usage</v>
      </c>
      <c r="AG911" t="str">
        <f t="shared" si="44"/>
        <v>High Loneliness</v>
      </c>
    </row>
    <row r="912" spans="1:33" x14ac:dyDescent="0.3">
      <c r="A912" t="s">
        <v>956</v>
      </c>
      <c r="B912">
        <v>30</v>
      </c>
      <c r="C912" t="s">
        <v>32</v>
      </c>
      <c r="D912" t="s">
        <v>14</v>
      </c>
      <c r="E912" t="s">
        <v>15</v>
      </c>
      <c r="F912" t="s">
        <v>16</v>
      </c>
      <c r="G912" t="s">
        <v>5</v>
      </c>
      <c r="H912" t="s">
        <v>18</v>
      </c>
      <c r="I912" t="s">
        <v>29</v>
      </c>
      <c r="J912" t="s">
        <v>51</v>
      </c>
      <c r="K912" t="s">
        <v>25</v>
      </c>
      <c r="L912">
        <v>0</v>
      </c>
      <c r="M912">
        <v>4.1900000000000004</v>
      </c>
      <c r="N912">
        <v>2.1</v>
      </c>
      <c r="O912">
        <v>4.8600000000000003</v>
      </c>
      <c r="P912">
        <v>7</v>
      </c>
      <c r="Q912">
        <v>1.9</v>
      </c>
      <c r="R912">
        <v>1.4</v>
      </c>
      <c r="S912">
        <v>8.6999999999999993</v>
      </c>
      <c r="T912" t="s">
        <v>39</v>
      </c>
      <c r="U912">
        <v>7.6</v>
      </c>
      <c r="V912">
        <v>9.1999999999999993</v>
      </c>
      <c r="W912">
        <v>6.7</v>
      </c>
      <c r="X912">
        <v>3.7</v>
      </c>
      <c r="Y912">
        <v>1</v>
      </c>
      <c r="Z912">
        <v>2.9</v>
      </c>
      <c r="AA912">
        <v>9.5</v>
      </c>
      <c r="AB912" t="s">
        <v>11</v>
      </c>
      <c r="AC912" t="s">
        <v>10</v>
      </c>
      <c r="AD912" t="s">
        <v>12</v>
      </c>
      <c r="AE912" t="str">
        <f t="shared" si="42"/>
        <v>25-34</v>
      </c>
      <c r="AF912" t="str">
        <f t="shared" si="43"/>
        <v>Very Low Usage</v>
      </c>
      <c r="AG912" t="str">
        <f t="shared" si="44"/>
        <v>Low Loneliness</v>
      </c>
    </row>
    <row r="913" spans="1:33" x14ac:dyDescent="0.3">
      <c r="A913" t="s">
        <v>957</v>
      </c>
      <c r="B913">
        <v>22</v>
      </c>
      <c r="C913" t="s">
        <v>27</v>
      </c>
      <c r="D913" t="s">
        <v>14</v>
      </c>
      <c r="E913" t="s">
        <v>37</v>
      </c>
      <c r="F913" t="s">
        <v>4</v>
      </c>
      <c r="G913" t="s">
        <v>5</v>
      </c>
      <c r="H913" t="s">
        <v>28</v>
      </c>
      <c r="I913" t="s">
        <v>24</v>
      </c>
      <c r="J913" t="s">
        <v>8</v>
      </c>
      <c r="K913" t="s">
        <v>1079</v>
      </c>
      <c r="L913">
        <v>1.72</v>
      </c>
      <c r="M913">
        <v>2.31</v>
      </c>
      <c r="N913">
        <v>3.86</v>
      </c>
      <c r="O913">
        <v>8.25</v>
      </c>
      <c r="P913">
        <v>2</v>
      </c>
      <c r="Q913">
        <v>8.1</v>
      </c>
      <c r="R913">
        <v>6.9</v>
      </c>
      <c r="S913">
        <v>1.9</v>
      </c>
      <c r="T913" t="s">
        <v>39</v>
      </c>
      <c r="U913">
        <v>6.7</v>
      </c>
      <c r="V913">
        <v>6.6</v>
      </c>
      <c r="W913">
        <v>0.7</v>
      </c>
      <c r="X913">
        <v>8.4</v>
      </c>
      <c r="Y913">
        <v>6.9</v>
      </c>
      <c r="Z913">
        <v>8.1999999999999993</v>
      </c>
      <c r="AA913">
        <v>5.0999999999999996</v>
      </c>
      <c r="AB913" t="s">
        <v>44</v>
      </c>
      <c r="AC913" t="s">
        <v>10</v>
      </c>
      <c r="AD913" t="s">
        <v>45</v>
      </c>
      <c r="AE913" t="str">
        <f t="shared" si="42"/>
        <v>20-24</v>
      </c>
      <c r="AF913" t="str">
        <f t="shared" si="43"/>
        <v>Low Usage</v>
      </c>
      <c r="AG913" t="str">
        <f t="shared" si="44"/>
        <v>High Loneliness</v>
      </c>
    </row>
    <row r="914" spans="1:33" x14ac:dyDescent="0.3">
      <c r="A914" t="s">
        <v>958</v>
      </c>
      <c r="B914">
        <v>20</v>
      </c>
      <c r="C914" t="s">
        <v>32</v>
      </c>
      <c r="D914" t="s">
        <v>14</v>
      </c>
      <c r="E914" t="s">
        <v>3</v>
      </c>
      <c r="F914" t="s">
        <v>16</v>
      </c>
      <c r="G914" t="s">
        <v>17</v>
      </c>
      <c r="H914" t="s">
        <v>18</v>
      </c>
      <c r="I914" t="s">
        <v>29</v>
      </c>
      <c r="J914" t="s">
        <v>51</v>
      </c>
      <c r="K914" t="s">
        <v>1079</v>
      </c>
      <c r="L914">
        <v>3.02</v>
      </c>
      <c r="M914">
        <v>3.52</v>
      </c>
      <c r="N914">
        <v>1.7</v>
      </c>
      <c r="O914">
        <v>5.19</v>
      </c>
      <c r="P914">
        <v>4</v>
      </c>
      <c r="Q914">
        <v>5.3</v>
      </c>
      <c r="R914">
        <v>4.3</v>
      </c>
      <c r="S914">
        <v>5.4</v>
      </c>
      <c r="T914" t="s">
        <v>10</v>
      </c>
      <c r="U914">
        <v>6.6</v>
      </c>
      <c r="V914">
        <v>5.0999999999999996</v>
      </c>
      <c r="W914">
        <v>4.8</v>
      </c>
      <c r="X914">
        <v>4.5999999999999996</v>
      </c>
      <c r="Y914">
        <v>7.1</v>
      </c>
      <c r="Z914">
        <v>4.5999999999999996</v>
      </c>
      <c r="AA914">
        <v>3.6</v>
      </c>
      <c r="AB914" t="s">
        <v>21</v>
      </c>
      <c r="AC914" t="s">
        <v>10</v>
      </c>
      <c r="AD914" t="s">
        <v>22</v>
      </c>
      <c r="AE914" t="str">
        <f t="shared" si="42"/>
        <v>20-24</v>
      </c>
      <c r="AF914" t="str">
        <f t="shared" si="43"/>
        <v>Moderate Usage</v>
      </c>
      <c r="AG914" t="str">
        <f t="shared" si="44"/>
        <v>Moderate Loneliness</v>
      </c>
    </row>
    <row r="915" spans="1:33" x14ac:dyDescent="0.3">
      <c r="A915" t="s">
        <v>959</v>
      </c>
      <c r="B915">
        <v>26</v>
      </c>
      <c r="C915" t="s">
        <v>32</v>
      </c>
      <c r="D915" t="s">
        <v>14</v>
      </c>
      <c r="E915" t="s">
        <v>37</v>
      </c>
      <c r="F915" t="s">
        <v>4</v>
      </c>
      <c r="G915" t="s">
        <v>17</v>
      </c>
      <c r="H915" t="s">
        <v>6</v>
      </c>
      <c r="I915" t="s">
        <v>19</v>
      </c>
      <c r="J915" t="s">
        <v>48</v>
      </c>
      <c r="K915" t="s">
        <v>1079</v>
      </c>
      <c r="L915">
        <v>1.68</v>
      </c>
      <c r="M915">
        <v>5.62</v>
      </c>
      <c r="N915">
        <v>1.65</v>
      </c>
      <c r="O915">
        <v>4.7300000000000004</v>
      </c>
      <c r="P915">
        <v>2</v>
      </c>
      <c r="Q915">
        <v>4.4000000000000004</v>
      </c>
      <c r="R915">
        <v>6.8</v>
      </c>
      <c r="S915">
        <v>2.9</v>
      </c>
      <c r="T915" t="s">
        <v>39</v>
      </c>
      <c r="U915">
        <v>7.9</v>
      </c>
      <c r="V915">
        <v>3.7</v>
      </c>
      <c r="W915">
        <v>4.5999999999999996</v>
      </c>
      <c r="X915">
        <v>4.7</v>
      </c>
      <c r="Y915">
        <v>3.2</v>
      </c>
      <c r="Z915">
        <v>7.5</v>
      </c>
      <c r="AA915">
        <v>4.8</v>
      </c>
      <c r="AB915" t="s">
        <v>21</v>
      </c>
      <c r="AC915" t="s">
        <v>10</v>
      </c>
      <c r="AD915" t="s">
        <v>45</v>
      </c>
      <c r="AE915" t="str">
        <f t="shared" si="42"/>
        <v>25-34</v>
      </c>
      <c r="AF915" t="str">
        <f t="shared" si="43"/>
        <v>Low Usage</v>
      </c>
      <c r="AG915" t="str">
        <f t="shared" si="44"/>
        <v>Moderate Loneliness</v>
      </c>
    </row>
    <row r="916" spans="1:33" x14ac:dyDescent="0.3">
      <c r="A916" t="s">
        <v>960</v>
      </c>
      <c r="B916">
        <v>38</v>
      </c>
      <c r="C916" t="s">
        <v>32</v>
      </c>
      <c r="D916" t="s">
        <v>41</v>
      </c>
      <c r="E916" t="s">
        <v>15</v>
      </c>
      <c r="F916" t="s">
        <v>4</v>
      </c>
      <c r="G916" t="s">
        <v>17</v>
      </c>
      <c r="H916" t="s">
        <v>6</v>
      </c>
      <c r="I916" t="s">
        <v>19</v>
      </c>
      <c r="J916" t="s">
        <v>8</v>
      </c>
      <c r="K916" t="s">
        <v>30</v>
      </c>
      <c r="L916">
        <v>0.27</v>
      </c>
      <c r="M916">
        <v>5.69</v>
      </c>
      <c r="N916">
        <v>0.82</v>
      </c>
      <c r="O916">
        <v>4.34</v>
      </c>
      <c r="P916">
        <v>8</v>
      </c>
      <c r="Q916">
        <v>1</v>
      </c>
      <c r="R916">
        <v>2.5</v>
      </c>
      <c r="S916">
        <v>9.1</v>
      </c>
      <c r="T916" t="s">
        <v>10</v>
      </c>
      <c r="U916">
        <v>7.4</v>
      </c>
      <c r="V916">
        <v>9</v>
      </c>
      <c r="W916">
        <v>5.5</v>
      </c>
      <c r="X916">
        <v>1</v>
      </c>
      <c r="Y916">
        <v>1</v>
      </c>
      <c r="Z916">
        <v>1.6</v>
      </c>
      <c r="AA916">
        <v>8.3000000000000007</v>
      </c>
      <c r="AB916" t="s">
        <v>11</v>
      </c>
      <c r="AC916" t="s">
        <v>39</v>
      </c>
      <c r="AD916" t="s">
        <v>12</v>
      </c>
      <c r="AE916" t="str">
        <f t="shared" si="42"/>
        <v>35-44</v>
      </c>
      <c r="AF916" t="str">
        <f t="shared" si="43"/>
        <v>Very Low Usage</v>
      </c>
      <c r="AG916" t="str">
        <f t="shared" si="44"/>
        <v>Low Loneliness</v>
      </c>
    </row>
    <row r="917" spans="1:33" x14ac:dyDescent="0.3">
      <c r="A917" t="s">
        <v>961</v>
      </c>
      <c r="B917">
        <v>42</v>
      </c>
      <c r="C917" t="s">
        <v>32</v>
      </c>
      <c r="D917" t="s">
        <v>2</v>
      </c>
      <c r="E917" t="s">
        <v>15</v>
      </c>
      <c r="F917" t="s">
        <v>16</v>
      </c>
      <c r="G917" t="s">
        <v>17</v>
      </c>
      <c r="H917" t="s">
        <v>18</v>
      </c>
      <c r="I917" t="s">
        <v>29</v>
      </c>
      <c r="J917" t="s">
        <v>48</v>
      </c>
      <c r="K917" t="s">
        <v>53</v>
      </c>
      <c r="L917">
        <v>3.28</v>
      </c>
      <c r="M917">
        <v>2.5</v>
      </c>
      <c r="N917">
        <v>4.78</v>
      </c>
      <c r="O917">
        <v>10.36</v>
      </c>
      <c r="P917">
        <v>2</v>
      </c>
      <c r="Q917">
        <v>9.8000000000000007</v>
      </c>
      <c r="R917">
        <v>5.6</v>
      </c>
      <c r="S917">
        <v>1.1000000000000001</v>
      </c>
      <c r="T917" t="s">
        <v>10</v>
      </c>
      <c r="U917">
        <v>7.4</v>
      </c>
      <c r="V917">
        <v>5.4</v>
      </c>
      <c r="W917">
        <v>2.5</v>
      </c>
      <c r="X917">
        <v>4.7</v>
      </c>
      <c r="Y917">
        <v>5.8</v>
      </c>
      <c r="Z917">
        <v>6.3</v>
      </c>
      <c r="AA917">
        <v>4.5999999999999996</v>
      </c>
      <c r="AB917" t="s">
        <v>21</v>
      </c>
      <c r="AC917" t="s">
        <v>39</v>
      </c>
      <c r="AD917" t="s">
        <v>45</v>
      </c>
      <c r="AE917" t="str">
        <f t="shared" si="42"/>
        <v>35-44</v>
      </c>
      <c r="AF917" t="str">
        <f t="shared" si="43"/>
        <v>Moderate Usage</v>
      </c>
      <c r="AG917" t="str">
        <f t="shared" si="44"/>
        <v>High Loneliness</v>
      </c>
    </row>
    <row r="918" spans="1:33" x14ac:dyDescent="0.3">
      <c r="A918" t="s">
        <v>962</v>
      </c>
      <c r="B918">
        <v>35</v>
      </c>
      <c r="C918" t="s">
        <v>32</v>
      </c>
      <c r="D918" t="s">
        <v>14</v>
      </c>
      <c r="E918" t="s">
        <v>37</v>
      </c>
      <c r="F918" t="s">
        <v>16</v>
      </c>
      <c r="G918" t="s">
        <v>17</v>
      </c>
      <c r="H918" t="s">
        <v>28</v>
      </c>
      <c r="I918" t="s">
        <v>24</v>
      </c>
      <c r="J918" t="s">
        <v>20</v>
      </c>
      <c r="K918" t="s">
        <v>53</v>
      </c>
      <c r="L918">
        <v>1.0900000000000001</v>
      </c>
      <c r="M918">
        <v>4.29</v>
      </c>
      <c r="N918">
        <v>1.07</v>
      </c>
      <c r="O918">
        <v>4.49</v>
      </c>
      <c r="P918">
        <v>4</v>
      </c>
      <c r="Q918">
        <v>7.7</v>
      </c>
      <c r="R918">
        <v>4.3</v>
      </c>
      <c r="S918">
        <v>2.5</v>
      </c>
      <c r="T918" t="s">
        <v>39</v>
      </c>
      <c r="U918">
        <v>7.4</v>
      </c>
      <c r="V918">
        <v>5</v>
      </c>
      <c r="W918">
        <v>1.9</v>
      </c>
      <c r="X918">
        <v>5.0999999999999996</v>
      </c>
      <c r="Y918">
        <v>4.7</v>
      </c>
      <c r="Z918">
        <v>4</v>
      </c>
      <c r="AA918">
        <v>5.3</v>
      </c>
      <c r="AB918" t="s">
        <v>11</v>
      </c>
      <c r="AC918" t="s">
        <v>10</v>
      </c>
      <c r="AD918" t="s">
        <v>45</v>
      </c>
      <c r="AE918" t="str">
        <f t="shared" si="42"/>
        <v>35-44</v>
      </c>
      <c r="AF918" t="str">
        <f t="shared" si="43"/>
        <v>Low Usage</v>
      </c>
      <c r="AG918" t="str">
        <f t="shared" si="44"/>
        <v>High Loneliness</v>
      </c>
    </row>
    <row r="919" spans="1:33" x14ac:dyDescent="0.3">
      <c r="A919" t="s">
        <v>963</v>
      </c>
      <c r="B919">
        <v>22</v>
      </c>
      <c r="C919" t="s">
        <v>1</v>
      </c>
      <c r="D919" t="s">
        <v>2</v>
      </c>
      <c r="E919" t="s">
        <v>59</v>
      </c>
      <c r="F919" t="s">
        <v>16</v>
      </c>
      <c r="G919" t="s">
        <v>5</v>
      </c>
      <c r="H919" t="s">
        <v>6</v>
      </c>
      <c r="I919" t="s">
        <v>7</v>
      </c>
      <c r="J919" t="s">
        <v>38</v>
      </c>
      <c r="K919" t="s">
        <v>25</v>
      </c>
      <c r="L919">
        <v>0.82</v>
      </c>
      <c r="M919">
        <v>4.7</v>
      </c>
      <c r="N919">
        <v>2.02</v>
      </c>
      <c r="O919">
        <v>5.08</v>
      </c>
      <c r="P919">
        <v>3</v>
      </c>
      <c r="Q919">
        <v>2.6</v>
      </c>
      <c r="R919">
        <v>1.1000000000000001</v>
      </c>
      <c r="S919">
        <v>6.8</v>
      </c>
      <c r="T919" t="s">
        <v>10</v>
      </c>
      <c r="U919">
        <v>7.1</v>
      </c>
      <c r="V919">
        <v>8.5</v>
      </c>
      <c r="W919">
        <v>3.1</v>
      </c>
      <c r="X919">
        <v>4.7</v>
      </c>
      <c r="Y919">
        <v>1</v>
      </c>
      <c r="Z919">
        <v>4.2</v>
      </c>
      <c r="AA919">
        <v>8.6999999999999993</v>
      </c>
      <c r="AB919" t="s">
        <v>21</v>
      </c>
      <c r="AC919" t="s">
        <v>10</v>
      </c>
      <c r="AD919" t="s">
        <v>12</v>
      </c>
      <c r="AE919" t="str">
        <f t="shared" si="42"/>
        <v>20-24</v>
      </c>
      <c r="AF919" t="str">
        <f t="shared" si="43"/>
        <v>Very Low Usage</v>
      </c>
      <c r="AG919" t="str">
        <f t="shared" si="44"/>
        <v>Low Loneliness</v>
      </c>
    </row>
    <row r="920" spans="1:33" x14ac:dyDescent="0.3">
      <c r="A920" t="s">
        <v>964</v>
      </c>
      <c r="B920">
        <v>40</v>
      </c>
      <c r="C920" t="s">
        <v>27</v>
      </c>
      <c r="D920" t="s">
        <v>14</v>
      </c>
      <c r="E920" t="s">
        <v>3</v>
      </c>
      <c r="F920" t="s">
        <v>12</v>
      </c>
      <c r="G920" t="s">
        <v>17</v>
      </c>
      <c r="H920" t="s">
        <v>28</v>
      </c>
      <c r="I920" t="s">
        <v>254</v>
      </c>
      <c r="J920" t="s">
        <v>8</v>
      </c>
      <c r="K920" t="s">
        <v>53</v>
      </c>
      <c r="L920">
        <v>0</v>
      </c>
      <c r="M920">
        <v>7.53</v>
      </c>
      <c r="N920">
        <v>1.85</v>
      </c>
      <c r="O920">
        <v>3.59</v>
      </c>
      <c r="P920">
        <v>5</v>
      </c>
      <c r="Q920">
        <v>1</v>
      </c>
      <c r="R920">
        <v>1.7</v>
      </c>
      <c r="S920">
        <v>8.1999999999999993</v>
      </c>
      <c r="T920" t="s">
        <v>10</v>
      </c>
      <c r="U920">
        <v>7.3</v>
      </c>
      <c r="V920">
        <v>9.5</v>
      </c>
      <c r="W920">
        <v>6.1</v>
      </c>
      <c r="X920">
        <v>1</v>
      </c>
      <c r="Y920">
        <v>2.2999999999999998</v>
      </c>
      <c r="Z920">
        <v>4.5999999999999996</v>
      </c>
      <c r="AA920">
        <v>8.4</v>
      </c>
      <c r="AB920" t="s">
        <v>11</v>
      </c>
      <c r="AC920" t="s">
        <v>10</v>
      </c>
      <c r="AD920" t="s">
        <v>12</v>
      </c>
      <c r="AE920" t="str">
        <f t="shared" si="42"/>
        <v>35-44</v>
      </c>
      <c r="AF920" t="str">
        <f t="shared" si="43"/>
        <v>Very Low Usage</v>
      </c>
      <c r="AG920" t="str">
        <f t="shared" si="44"/>
        <v>Low Loneliness</v>
      </c>
    </row>
    <row r="921" spans="1:33" x14ac:dyDescent="0.3">
      <c r="A921" t="s">
        <v>965</v>
      </c>
      <c r="B921">
        <v>42</v>
      </c>
      <c r="C921" t="s">
        <v>32</v>
      </c>
      <c r="D921" t="s">
        <v>2</v>
      </c>
      <c r="E921" t="s">
        <v>37</v>
      </c>
      <c r="F921" t="s">
        <v>16</v>
      </c>
      <c r="G921" t="s">
        <v>17</v>
      </c>
      <c r="H921" t="s">
        <v>18</v>
      </c>
      <c r="I921" t="s">
        <v>24</v>
      </c>
      <c r="J921" t="s">
        <v>48</v>
      </c>
      <c r="K921" t="s">
        <v>1079</v>
      </c>
      <c r="L921">
        <v>2.3199999999999998</v>
      </c>
      <c r="M921">
        <v>4.75</v>
      </c>
      <c r="N921">
        <v>1.1499999999999999</v>
      </c>
      <c r="O921">
        <v>5.43</v>
      </c>
      <c r="P921">
        <v>5</v>
      </c>
      <c r="Q921">
        <v>7.4</v>
      </c>
      <c r="R921">
        <v>5.3</v>
      </c>
      <c r="S921">
        <v>6.7</v>
      </c>
      <c r="T921" t="s">
        <v>10</v>
      </c>
      <c r="U921">
        <v>8.8000000000000007</v>
      </c>
      <c r="V921">
        <v>6.7</v>
      </c>
      <c r="W921">
        <v>4.4000000000000004</v>
      </c>
      <c r="X921">
        <v>3.5</v>
      </c>
      <c r="Y921">
        <v>5.4</v>
      </c>
      <c r="Z921">
        <v>5.3</v>
      </c>
      <c r="AA921">
        <v>6</v>
      </c>
      <c r="AB921" t="s">
        <v>44</v>
      </c>
      <c r="AC921" t="s">
        <v>10</v>
      </c>
      <c r="AD921" t="s">
        <v>22</v>
      </c>
      <c r="AE921" t="str">
        <f t="shared" si="42"/>
        <v>35-44</v>
      </c>
      <c r="AF921" t="str">
        <f t="shared" si="43"/>
        <v>Low Usage</v>
      </c>
      <c r="AG921" t="str">
        <f t="shared" si="44"/>
        <v>High Loneliness</v>
      </c>
    </row>
    <row r="922" spans="1:33" x14ac:dyDescent="0.3">
      <c r="A922" t="s">
        <v>966</v>
      </c>
      <c r="B922">
        <v>18</v>
      </c>
      <c r="C922" t="s">
        <v>32</v>
      </c>
      <c r="D922" t="s">
        <v>2</v>
      </c>
      <c r="E922" t="s">
        <v>15</v>
      </c>
      <c r="F922" t="s">
        <v>12</v>
      </c>
      <c r="G922" t="s">
        <v>17</v>
      </c>
      <c r="H922" t="s">
        <v>18</v>
      </c>
      <c r="I922" t="s">
        <v>19</v>
      </c>
      <c r="J922" t="s">
        <v>20</v>
      </c>
      <c r="K922" t="s">
        <v>25</v>
      </c>
      <c r="L922">
        <v>1.31</v>
      </c>
      <c r="M922">
        <v>5.34</v>
      </c>
      <c r="N922">
        <v>1.4</v>
      </c>
      <c r="O922">
        <v>4.3099999999999996</v>
      </c>
      <c r="P922">
        <v>4</v>
      </c>
      <c r="Q922">
        <v>2.7</v>
      </c>
      <c r="R922">
        <v>2.2000000000000002</v>
      </c>
      <c r="S922">
        <v>6.9</v>
      </c>
      <c r="T922" t="s">
        <v>10</v>
      </c>
      <c r="U922">
        <v>6.5</v>
      </c>
      <c r="V922">
        <v>9.1999999999999993</v>
      </c>
      <c r="W922">
        <v>4.0999999999999996</v>
      </c>
      <c r="X922">
        <v>4.4000000000000004</v>
      </c>
      <c r="Y922">
        <v>3.7</v>
      </c>
      <c r="Z922">
        <v>3.3</v>
      </c>
      <c r="AA922">
        <v>7.4</v>
      </c>
      <c r="AB922" t="s">
        <v>21</v>
      </c>
      <c r="AC922" t="s">
        <v>10</v>
      </c>
      <c r="AD922" t="s">
        <v>12</v>
      </c>
      <c r="AE922" t="str">
        <f t="shared" si="42"/>
        <v>15-19</v>
      </c>
      <c r="AF922" t="str">
        <f t="shared" si="43"/>
        <v>Low Usage</v>
      </c>
      <c r="AG922" t="str">
        <f t="shared" si="44"/>
        <v>Low Loneliness</v>
      </c>
    </row>
    <row r="923" spans="1:33" x14ac:dyDescent="0.3">
      <c r="A923" t="s">
        <v>967</v>
      </c>
      <c r="B923">
        <v>40</v>
      </c>
      <c r="C923" t="s">
        <v>1</v>
      </c>
      <c r="D923" t="s">
        <v>2</v>
      </c>
      <c r="E923" t="s">
        <v>15</v>
      </c>
      <c r="F923" t="s">
        <v>4</v>
      </c>
      <c r="G923" t="s">
        <v>66</v>
      </c>
      <c r="H923" t="s">
        <v>28</v>
      </c>
      <c r="I923" t="s">
        <v>29</v>
      </c>
      <c r="J923" t="s">
        <v>38</v>
      </c>
      <c r="K923" t="s">
        <v>30</v>
      </c>
      <c r="L923">
        <v>0</v>
      </c>
      <c r="M923">
        <v>2.6</v>
      </c>
      <c r="N923">
        <v>2.65</v>
      </c>
      <c r="O923">
        <v>5.5</v>
      </c>
      <c r="P923">
        <v>5</v>
      </c>
      <c r="Q923">
        <v>3.2</v>
      </c>
      <c r="R923">
        <v>6.1</v>
      </c>
      <c r="S923">
        <v>9.6</v>
      </c>
      <c r="T923" t="s">
        <v>10</v>
      </c>
      <c r="U923">
        <v>7.6</v>
      </c>
      <c r="V923">
        <v>6.1</v>
      </c>
      <c r="W923">
        <v>2.6</v>
      </c>
      <c r="X923">
        <v>2.6</v>
      </c>
      <c r="Y923">
        <v>1.5</v>
      </c>
      <c r="Z923">
        <v>4.9000000000000004</v>
      </c>
      <c r="AA923">
        <v>6.5</v>
      </c>
      <c r="AB923" t="s">
        <v>21</v>
      </c>
      <c r="AC923" t="s">
        <v>10</v>
      </c>
      <c r="AD923" t="s">
        <v>12</v>
      </c>
      <c r="AE923" t="str">
        <f t="shared" si="42"/>
        <v>35-44</v>
      </c>
      <c r="AF923" t="str">
        <f t="shared" si="43"/>
        <v>Very Low Usage</v>
      </c>
      <c r="AG923" t="str">
        <f t="shared" si="44"/>
        <v>Moderate Loneliness</v>
      </c>
    </row>
    <row r="924" spans="1:33" x14ac:dyDescent="0.3">
      <c r="A924" t="s">
        <v>968</v>
      </c>
      <c r="B924">
        <v>22</v>
      </c>
      <c r="C924" t="s">
        <v>32</v>
      </c>
      <c r="D924" t="s">
        <v>14</v>
      </c>
      <c r="E924" t="s">
        <v>37</v>
      </c>
      <c r="F924" t="s">
        <v>4</v>
      </c>
      <c r="G924" t="s">
        <v>66</v>
      </c>
      <c r="H924" t="s">
        <v>28</v>
      </c>
      <c r="I924" t="s">
        <v>29</v>
      </c>
      <c r="J924" t="s">
        <v>8</v>
      </c>
      <c r="K924" t="s">
        <v>1079</v>
      </c>
      <c r="L924">
        <v>1.38</v>
      </c>
      <c r="M924">
        <v>6.76</v>
      </c>
      <c r="N924">
        <v>2.64</v>
      </c>
      <c r="O924">
        <v>5.63</v>
      </c>
      <c r="P924">
        <v>5</v>
      </c>
      <c r="Q924">
        <v>2.9</v>
      </c>
      <c r="R924">
        <v>2.2999999999999998</v>
      </c>
      <c r="S924">
        <v>7.1</v>
      </c>
      <c r="T924" t="s">
        <v>39</v>
      </c>
      <c r="U924">
        <v>7.8</v>
      </c>
      <c r="V924">
        <v>6.5</v>
      </c>
      <c r="W924">
        <v>5.5</v>
      </c>
      <c r="X924">
        <v>5.3</v>
      </c>
      <c r="Y924">
        <v>2.9</v>
      </c>
      <c r="Z924">
        <v>4.8</v>
      </c>
      <c r="AA924">
        <v>7.7</v>
      </c>
      <c r="AB924" t="s">
        <v>21</v>
      </c>
      <c r="AC924" t="s">
        <v>10</v>
      </c>
      <c r="AD924" t="s">
        <v>12</v>
      </c>
      <c r="AE924" t="str">
        <f t="shared" si="42"/>
        <v>20-24</v>
      </c>
      <c r="AF924" t="str">
        <f t="shared" si="43"/>
        <v>Low Usage</v>
      </c>
      <c r="AG924" t="str">
        <f t="shared" si="44"/>
        <v>Low Loneliness</v>
      </c>
    </row>
    <row r="925" spans="1:33" x14ac:dyDescent="0.3">
      <c r="A925" t="s">
        <v>969</v>
      </c>
      <c r="B925">
        <v>40</v>
      </c>
      <c r="C925" t="s">
        <v>1</v>
      </c>
      <c r="D925" t="s">
        <v>41</v>
      </c>
      <c r="E925" t="s">
        <v>37</v>
      </c>
      <c r="F925" t="s">
        <v>4</v>
      </c>
      <c r="G925" t="s">
        <v>43</v>
      </c>
      <c r="H925" t="s">
        <v>28</v>
      </c>
      <c r="I925" t="s">
        <v>19</v>
      </c>
      <c r="J925" t="s">
        <v>38</v>
      </c>
      <c r="K925" t="s">
        <v>30</v>
      </c>
      <c r="L925">
        <v>2.11</v>
      </c>
      <c r="M925">
        <v>2.5499999999999998</v>
      </c>
      <c r="N925">
        <v>4.83</v>
      </c>
      <c r="O925">
        <v>8.82</v>
      </c>
      <c r="P925">
        <v>6</v>
      </c>
      <c r="Q925">
        <v>5</v>
      </c>
      <c r="R925">
        <v>8</v>
      </c>
      <c r="S925">
        <v>1</v>
      </c>
      <c r="T925" t="s">
        <v>10</v>
      </c>
      <c r="U925">
        <v>6.5</v>
      </c>
      <c r="V925">
        <v>4.0999999999999996</v>
      </c>
      <c r="W925">
        <v>2.6</v>
      </c>
      <c r="X925">
        <v>5.6</v>
      </c>
      <c r="Y925">
        <v>6.6</v>
      </c>
      <c r="Z925">
        <v>7.6</v>
      </c>
      <c r="AA925">
        <v>6.2</v>
      </c>
      <c r="AB925" t="s">
        <v>21</v>
      </c>
      <c r="AC925" t="s">
        <v>10</v>
      </c>
      <c r="AD925" t="s">
        <v>22</v>
      </c>
      <c r="AE925" t="str">
        <f t="shared" si="42"/>
        <v>35-44</v>
      </c>
      <c r="AF925" t="str">
        <f t="shared" si="43"/>
        <v>Low Usage</v>
      </c>
      <c r="AG925" t="str">
        <f t="shared" si="44"/>
        <v>Moderate Loneliness</v>
      </c>
    </row>
    <row r="926" spans="1:33" x14ac:dyDescent="0.3">
      <c r="A926" t="s">
        <v>970</v>
      </c>
      <c r="B926">
        <v>42</v>
      </c>
      <c r="C926" t="s">
        <v>32</v>
      </c>
      <c r="D926" t="s">
        <v>58</v>
      </c>
      <c r="E926" t="s">
        <v>3</v>
      </c>
      <c r="F926" t="s">
        <v>4</v>
      </c>
      <c r="G926" t="s">
        <v>17</v>
      </c>
      <c r="H926" t="s">
        <v>33</v>
      </c>
      <c r="I926" t="s">
        <v>19</v>
      </c>
      <c r="J926" t="s">
        <v>38</v>
      </c>
      <c r="K926" t="s">
        <v>53</v>
      </c>
      <c r="L926">
        <v>0</v>
      </c>
      <c r="M926">
        <v>6.85</v>
      </c>
      <c r="N926">
        <v>0</v>
      </c>
      <c r="O926">
        <v>2.74</v>
      </c>
      <c r="P926">
        <v>9</v>
      </c>
      <c r="Q926">
        <v>1</v>
      </c>
      <c r="R926">
        <v>1</v>
      </c>
      <c r="S926">
        <v>8.6</v>
      </c>
      <c r="T926" t="s">
        <v>39</v>
      </c>
      <c r="U926">
        <v>9.5</v>
      </c>
      <c r="V926">
        <v>10</v>
      </c>
      <c r="W926">
        <v>6</v>
      </c>
      <c r="X926">
        <v>1</v>
      </c>
      <c r="Y926">
        <v>1</v>
      </c>
      <c r="Z926">
        <v>1</v>
      </c>
      <c r="AA926">
        <v>10</v>
      </c>
      <c r="AB926" t="s">
        <v>11</v>
      </c>
      <c r="AC926" t="s">
        <v>10</v>
      </c>
      <c r="AD926" t="s">
        <v>12</v>
      </c>
      <c r="AE926" t="str">
        <f t="shared" si="42"/>
        <v>35-44</v>
      </c>
      <c r="AF926" t="str">
        <f t="shared" si="43"/>
        <v>Very Low Usage</v>
      </c>
      <c r="AG926" t="str">
        <f t="shared" si="44"/>
        <v>Low Loneliness</v>
      </c>
    </row>
    <row r="927" spans="1:33" x14ac:dyDescent="0.3">
      <c r="A927" t="s">
        <v>971</v>
      </c>
      <c r="B927">
        <v>32</v>
      </c>
      <c r="C927" t="s">
        <v>1</v>
      </c>
      <c r="D927" t="s">
        <v>2</v>
      </c>
      <c r="E927" t="s">
        <v>37</v>
      </c>
      <c r="F927" t="s">
        <v>45</v>
      </c>
      <c r="G927" t="s">
        <v>17</v>
      </c>
      <c r="H927" t="s">
        <v>6</v>
      </c>
      <c r="I927" t="s">
        <v>35</v>
      </c>
      <c r="J927" t="s">
        <v>8</v>
      </c>
      <c r="K927" t="s">
        <v>25</v>
      </c>
      <c r="L927">
        <v>3.08</v>
      </c>
      <c r="M927">
        <v>1.77</v>
      </c>
      <c r="N927">
        <v>3.11</v>
      </c>
      <c r="O927">
        <v>7.86</v>
      </c>
      <c r="P927">
        <v>1</v>
      </c>
      <c r="Q927">
        <v>7.5</v>
      </c>
      <c r="R927">
        <v>6.8</v>
      </c>
      <c r="S927">
        <v>1.6</v>
      </c>
      <c r="T927" t="s">
        <v>10</v>
      </c>
      <c r="U927">
        <v>5.2</v>
      </c>
      <c r="V927">
        <v>4</v>
      </c>
      <c r="W927">
        <v>4.2</v>
      </c>
      <c r="X927">
        <v>7.1</v>
      </c>
      <c r="Y927">
        <v>6.9</v>
      </c>
      <c r="Z927">
        <v>9.3000000000000007</v>
      </c>
      <c r="AA927">
        <v>2.7</v>
      </c>
      <c r="AB927" t="s">
        <v>44</v>
      </c>
      <c r="AC927" t="s">
        <v>10</v>
      </c>
      <c r="AD927" t="s">
        <v>45</v>
      </c>
      <c r="AE927" t="str">
        <f t="shared" si="42"/>
        <v>25-34</v>
      </c>
      <c r="AF927" t="str">
        <f t="shared" si="43"/>
        <v>Moderate Usage</v>
      </c>
      <c r="AG927" t="str">
        <f t="shared" si="44"/>
        <v>High Loneliness</v>
      </c>
    </row>
    <row r="928" spans="1:33" x14ac:dyDescent="0.3">
      <c r="A928" t="s">
        <v>972</v>
      </c>
      <c r="B928">
        <v>42</v>
      </c>
      <c r="C928" t="s">
        <v>32</v>
      </c>
      <c r="D928" t="s">
        <v>2</v>
      </c>
      <c r="E928" t="s">
        <v>37</v>
      </c>
      <c r="F928" t="s">
        <v>12</v>
      </c>
      <c r="G928" t="s">
        <v>17</v>
      </c>
      <c r="H928" t="s">
        <v>28</v>
      </c>
      <c r="I928" t="s">
        <v>19</v>
      </c>
      <c r="J928" t="s">
        <v>51</v>
      </c>
      <c r="K928" t="s">
        <v>1079</v>
      </c>
      <c r="L928">
        <v>2.63</v>
      </c>
      <c r="M928">
        <v>1.88</v>
      </c>
      <c r="N928">
        <v>5.15</v>
      </c>
      <c r="O928">
        <v>9.7100000000000009</v>
      </c>
      <c r="P928">
        <v>2</v>
      </c>
      <c r="Q928">
        <v>6.1</v>
      </c>
      <c r="R928">
        <v>6.4</v>
      </c>
      <c r="S928">
        <v>8.4</v>
      </c>
      <c r="T928" t="s">
        <v>39</v>
      </c>
      <c r="U928">
        <v>8</v>
      </c>
      <c r="V928">
        <v>5.6</v>
      </c>
      <c r="W928">
        <v>1.3</v>
      </c>
      <c r="X928">
        <v>6.5</v>
      </c>
      <c r="Y928">
        <v>7.8</v>
      </c>
      <c r="Z928">
        <v>7</v>
      </c>
      <c r="AA928">
        <v>6.7</v>
      </c>
      <c r="AB928" t="s">
        <v>44</v>
      </c>
      <c r="AC928" t="s">
        <v>10</v>
      </c>
      <c r="AD928" t="s">
        <v>45</v>
      </c>
      <c r="AE928" t="str">
        <f t="shared" si="42"/>
        <v>35-44</v>
      </c>
      <c r="AF928" t="str">
        <f t="shared" si="43"/>
        <v>Moderate Usage</v>
      </c>
      <c r="AG928" t="str">
        <f t="shared" si="44"/>
        <v>High Loneliness</v>
      </c>
    </row>
    <row r="929" spans="1:33" x14ac:dyDescent="0.3">
      <c r="A929" t="s">
        <v>973</v>
      </c>
      <c r="B929">
        <v>42</v>
      </c>
      <c r="C929" t="s">
        <v>89</v>
      </c>
      <c r="D929" t="s">
        <v>2</v>
      </c>
      <c r="E929" t="s">
        <v>3</v>
      </c>
      <c r="F929" t="s">
        <v>16</v>
      </c>
      <c r="G929" t="s">
        <v>17</v>
      </c>
      <c r="H929" t="s">
        <v>33</v>
      </c>
      <c r="I929" t="s">
        <v>19</v>
      </c>
      <c r="J929" t="s">
        <v>38</v>
      </c>
      <c r="K929" t="s">
        <v>25</v>
      </c>
      <c r="L929">
        <v>1.1200000000000001</v>
      </c>
      <c r="M929">
        <v>2.57</v>
      </c>
      <c r="N929">
        <v>1.96</v>
      </c>
      <c r="O929">
        <v>4.71</v>
      </c>
      <c r="P929">
        <v>5</v>
      </c>
      <c r="Q929">
        <v>7.1</v>
      </c>
      <c r="R929">
        <v>4</v>
      </c>
      <c r="S929">
        <v>5.5</v>
      </c>
      <c r="T929" t="s">
        <v>10</v>
      </c>
      <c r="U929">
        <v>6.1</v>
      </c>
      <c r="V929">
        <v>6</v>
      </c>
      <c r="W929">
        <v>4.5999999999999996</v>
      </c>
      <c r="X929">
        <v>6.3</v>
      </c>
      <c r="Y929">
        <v>3.6</v>
      </c>
      <c r="Z929">
        <v>7.5</v>
      </c>
      <c r="AA929">
        <v>5</v>
      </c>
      <c r="AB929" t="s">
        <v>44</v>
      </c>
      <c r="AC929" t="s">
        <v>39</v>
      </c>
      <c r="AD929" t="s">
        <v>22</v>
      </c>
      <c r="AE929" t="str">
        <f t="shared" si="42"/>
        <v>35-44</v>
      </c>
      <c r="AF929" t="str">
        <f t="shared" si="43"/>
        <v>Low Usage</v>
      </c>
      <c r="AG929" t="str">
        <f t="shared" si="44"/>
        <v>High Loneliness</v>
      </c>
    </row>
    <row r="930" spans="1:33" x14ac:dyDescent="0.3">
      <c r="A930" t="s">
        <v>974</v>
      </c>
      <c r="B930">
        <v>19</v>
      </c>
      <c r="C930" t="s">
        <v>1</v>
      </c>
      <c r="D930" t="s">
        <v>14</v>
      </c>
      <c r="E930" t="s">
        <v>15</v>
      </c>
      <c r="F930" t="s">
        <v>4</v>
      </c>
      <c r="G930" t="s">
        <v>5</v>
      </c>
      <c r="H930" t="s">
        <v>28</v>
      </c>
      <c r="I930" t="s">
        <v>19</v>
      </c>
      <c r="J930" t="s">
        <v>8</v>
      </c>
      <c r="K930" t="s">
        <v>9</v>
      </c>
      <c r="L930">
        <v>0.91</v>
      </c>
      <c r="M930">
        <v>4.26</v>
      </c>
      <c r="N930">
        <v>2.86</v>
      </c>
      <c r="O930">
        <v>5.69</v>
      </c>
      <c r="P930">
        <v>2</v>
      </c>
      <c r="Q930">
        <v>3.3</v>
      </c>
      <c r="R930">
        <v>2.5</v>
      </c>
      <c r="S930">
        <v>7.7</v>
      </c>
      <c r="T930" t="s">
        <v>10</v>
      </c>
      <c r="U930">
        <v>7</v>
      </c>
      <c r="V930">
        <v>6.5</v>
      </c>
      <c r="W930">
        <v>1.9</v>
      </c>
      <c r="X930">
        <v>4.5</v>
      </c>
      <c r="Y930">
        <v>3.5</v>
      </c>
      <c r="Z930">
        <v>4.9000000000000004</v>
      </c>
      <c r="AA930">
        <v>7.3</v>
      </c>
      <c r="AB930" t="s">
        <v>44</v>
      </c>
      <c r="AC930" t="s">
        <v>10</v>
      </c>
      <c r="AD930" t="s">
        <v>12</v>
      </c>
      <c r="AE930" t="str">
        <f t="shared" si="42"/>
        <v>15-19</v>
      </c>
      <c r="AF930" t="str">
        <f t="shared" si="43"/>
        <v>Very Low Usage</v>
      </c>
      <c r="AG930" t="str">
        <f t="shared" si="44"/>
        <v>Moderate Loneliness</v>
      </c>
    </row>
    <row r="931" spans="1:33" x14ac:dyDescent="0.3">
      <c r="A931" t="s">
        <v>975</v>
      </c>
      <c r="B931">
        <v>23</v>
      </c>
      <c r="C931" t="s">
        <v>89</v>
      </c>
      <c r="D931" t="s">
        <v>14</v>
      </c>
      <c r="E931" t="s">
        <v>37</v>
      </c>
      <c r="F931" t="s">
        <v>12</v>
      </c>
      <c r="G931" t="s">
        <v>43</v>
      </c>
      <c r="H931" t="s">
        <v>18</v>
      </c>
      <c r="I931" t="s">
        <v>7</v>
      </c>
      <c r="J931" t="s">
        <v>20</v>
      </c>
      <c r="K931" t="s">
        <v>9</v>
      </c>
      <c r="L931">
        <v>2.2999999999999998</v>
      </c>
      <c r="M931">
        <v>0.84</v>
      </c>
      <c r="N931">
        <v>5.77</v>
      </c>
      <c r="O931">
        <v>9.74</v>
      </c>
      <c r="P931">
        <v>3</v>
      </c>
      <c r="Q931">
        <v>7.2</v>
      </c>
      <c r="R931">
        <v>6.8</v>
      </c>
      <c r="S931">
        <v>5.0999999999999996</v>
      </c>
      <c r="T931" t="s">
        <v>10</v>
      </c>
      <c r="U931">
        <v>4.9000000000000004</v>
      </c>
      <c r="V931">
        <v>4.9000000000000004</v>
      </c>
      <c r="W931">
        <v>0.5</v>
      </c>
      <c r="X931">
        <v>8.5</v>
      </c>
      <c r="Y931">
        <v>7</v>
      </c>
      <c r="Z931">
        <v>7.5</v>
      </c>
      <c r="AA931">
        <v>3.3</v>
      </c>
      <c r="AB931" t="s">
        <v>21</v>
      </c>
      <c r="AC931" t="s">
        <v>10</v>
      </c>
      <c r="AD931" t="s">
        <v>45</v>
      </c>
      <c r="AE931" t="str">
        <f t="shared" si="42"/>
        <v>20-24</v>
      </c>
      <c r="AF931" t="str">
        <f t="shared" si="43"/>
        <v>Low Usage</v>
      </c>
      <c r="AG931" t="str">
        <f t="shared" si="44"/>
        <v>High Loneliness</v>
      </c>
    </row>
    <row r="932" spans="1:33" x14ac:dyDescent="0.3">
      <c r="A932" t="s">
        <v>976</v>
      </c>
      <c r="B932">
        <v>18</v>
      </c>
      <c r="C932" t="s">
        <v>1</v>
      </c>
      <c r="D932" t="s">
        <v>14</v>
      </c>
      <c r="E932" t="s">
        <v>15</v>
      </c>
      <c r="F932" t="s">
        <v>12</v>
      </c>
      <c r="G932" t="s">
        <v>43</v>
      </c>
      <c r="H932" t="s">
        <v>28</v>
      </c>
      <c r="I932" t="s">
        <v>24</v>
      </c>
      <c r="J932" t="s">
        <v>20</v>
      </c>
      <c r="K932" t="s">
        <v>9</v>
      </c>
      <c r="L932">
        <v>2.39</v>
      </c>
      <c r="M932">
        <v>3.8</v>
      </c>
      <c r="N932">
        <v>3.21</v>
      </c>
      <c r="O932">
        <v>7.06</v>
      </c>
      <c r="P932">
        <v>2</v>
      </c>
      <c r="Q932">
        <v>3.9</v>
      </c>
      <c r="R932">
        <v>3</v>
      </c>
      <c r="S932">
        <v>4.4000000000000004</v>
      </c>
      <c r="T932" t="s">
        <v>10</v>
      </c>
      <c r="U932">
        <v>8</v>
      </c>
      <c r="V932">
        <v>8.6</v>
      </c>
      <c r="W932">
        <v>4.8</v>
      </c>
      <c r="X932">
        <v>3.5</v>
      </c>
      <c r="Y932">
        <v>4.3</v>
      </c>
      <c r="Z932">
        <v>3.8</v>
      </c>
      <c r="AA932">
        <v>4.8</v>
      </c>
      <c r="AB932" t="s">
        <v>21</v>
      </c>
      <c r="AC932" t="s">
        <v>10</v>
      </c>
      <c r="AD932" t="s">
        <v>22</v>
      </c>
      <c r="AE932" t="str">
        <f t="shared" si="42"/>
        <v>15-19</v>
      </c>
      <c r="AF932" t="str">
        <f t="shared" si="43"/>
        <v>Low Usage</v>
      </c>
      <c r="AG932" t="str">
        <f t="shared" si="44"/>
        <v>Moderate Loneliness</v>
      </c>
    </row>
    <row r="933" spans="1:33" x14ac:dyDescent="0.3">
      <c r="A933" t="s">
        <v>977</v>
      </c>
      <c r="B933">
        <v>41</v>
      </c>
      <c r="C933" t="s">
        <v>32</v>
      </c>
      <c r="D933" t="s">
        <v>2</v>
      </c>
      <c r="E933" t="s">
        <v>15</v>
      </c>
      <c r="F933" t="s">
        <v>45</v>
      </c>
      <c r="G933" t="s">
        <v>43</v>
      </c>
      <c r="H933" t="s">
        <v>6</v>
      </c>
      <c r="I933" t="s">
        <v>24</v>
      </c>
      <c r="J933" t="s">
        <v>8</v>
      </c>
      <c r="K933" t="s">
        <v>1079</v>
      </c>
      <c r="L933">
        <v>7.0000000000000007E-2</v>
      </c>
      <c r="M933">
        <v>5.36</v>
      </c>
      <c r="N933">
        <v>3</v>
      </c>
      <c r="O933">
        <v>4.37</v>
      </c>
      <c r="P933">
        <v>6</v>
      </c>
      <c r="Q933">
        <v>4.0999999999999996</v>
      </c>
      <c r="R933">
        <v>3.6</v>
      </c>
      <c r="S933">
        <v>4.2</v>
      </c>
      <c r="T933" t="s">
        <v>10</v>
      </c>
      <c r="U933">
        <v>8.9</v>
      </c>
      <c r="V933">
        <v>5.6</v>
      </c>
      <c r="W933">
        <v>3.8</v>
      </c>
      <c r="X933">
        <v>2.4</v>
      </c>
      <c r="Y933">
        <v>4.0999999999999996</v>
      </c>
      <c r="Z933">
        <v>5.7</v>
      </c>
      <c r="AA933">
        <v>8</v>
      </c>
      <c r="AB933" t="s">
        <v>11</v>
      </c>
      <c r="AC933" t="s">
        <v>10</v>
      </c>
      <c r="AD933" t="s">
        <v>12</v>
      </c>
      <c r="AE933" t="str">
        <f t="shared" si="42"/>
        <v>35-44</v>
      </c>
      <c r="AF933" t="str">
        <f t="shared" si="43"/>
        <v>Very Low Usage</v>
      </c>
      <c r="AG933" t="str">
        <f t="shared" si="44"/>
        <v>Moderate Loneliness</v>
      </c>
    </row>
    <row r="934" spans="1:33" x14ac:dyDescent="0.3">
      <c r="A934" t="s">
        <v>978</v>
      </c>
      <c r="B934">
        <v>36</v>
      </c>
      <c r="C934" t="s">
        <v>32</v>
      </c>
      <c r="D934" t="s">
        <v>2</v>
      </c>
      <c r="E934" t="s">
        <v>3</v>
      </c>
      <c r="F934" t="s">
        <v>16</v>
      </c>
      <c r="G934" t="s">
        <v>17</v>
      </c>
      <c r="H934" t="s">
        <v>33</v>
      </c>
      <c r="I934" t="s">
        <v>29</v>
      </c>
      <c r="J934" t="s">
        <v>8</v>
      </c>
      <c r="K934" t="s">
        <v>1079</v>
      </c>
      <c r="L934">
        <v>3.62</v>
      </c>
      <c r="M934">
        <v>3.38</v>
      </c>
      <c r="N934">
        <v>4.92</v>
      </c>
      <c r="O934">
        <v>10.37</v>
      </c>
      <c r="P934">
        <v>2</v>
      </c>
      <c r="Q934">
        <v>6.4</v>
      </c>
      <c r="R934">
        <v>9.6</v>
      </c>
      <c r="S934">
        <v>4.5999999999999996</v>
      </c>
      <c r="T934" t="s">
        <v>39</v>
      </c>
      <c r="U934">
        <v>8</v>
      </c>
      <c r="V934">
        <v>3.3</v>
      </c>
      <c r="W934">
        <v>0.9</v>
      </c>
      <c r="X934">
        <v>4.7</v>
      </c>
      <c r="Y934">
        <v>7</v>
      </c>
      <c r="Z934">
        <v>5.6</v>
      </c>
      <c r="AA934">
        <v>3.8</v>
      </c>
      <c r="AB934" t="s">
        <v>44</v>
      </c>
      <c r="AC934" t="s">
        <v>10</v>
      </c>
      <c r="AD934" t="s">
        <v>45</v>
      </c>
      <c r="AE934" t="str">
        <f t="shared" si="42"/>
        <v>35-44</v>
      </c>
      <c r="AF934" t="str">
        <f t="shared" si="43"/>
        <v>Moderate Usage</v>
      </c>
      <c r="AG934" t="str">
        <f t="shared" si="44"/>
        <v>High Loneliness</v>
      </c>
    </row>
    <row r="935" spans="1:33" x14ac:dyDescent="0.3">
      <c r="A935" t="s">
        <v>979</v>
      </c>
      <c r="B935">
        <v>31</v>
      </c>
      <c r="C935" t="s">
        <v>32</v>
      </c>
      <c r="D935" t="s">
        <v>14</v>
      </c>
      <c r="E935" t="s">
        <v>3</v>
      </c>
      <c r="F935" t="s">
        <v>45</v>
      </c>
      <c r="G935" t="s">
        <v>5</v>
      </c>
      <c r="H935" t="s">
        <v>33</v>
      </c>
      <c r="I935" t="s">
        <v>7</v>
      </c>
      <c r="J935" t="s">
        <v>8</v>
      </c>
      <c r="K935" t="s">
        <v>1079</v>
      </c>
      <c r="L935">
        <v>4.88</v>
      </c>
      <c r="M935">
        <v>2.13</v>
      </c>
      <c r="N935">
        <v>5.12</v>
      </c>
      <c r="O935">
        <v>13.02</v>
      </c>
      <c r="P935">
        <v>2</v>
      </c>
      <c r="Q935">
        <v>9.6999999999999993</v>
      </c>
      <c r="R935">
        <v>10</v>
      </c>
      <c r="S935">
        <v>1</v>
      </c>
      <c r="T935" t="s">
        <v>39</v>
      </c>
      <c r="U935">
        <v>6.6</v>
      </c>
      <c r="V935">
        <v>2.8</v>
      </c>
      <c r="W935">
        <v>2.9</v>
      </c>
      <c r="X935">
        <v>10</v>
      </c>
      <c r="Y935">
        <v>9</v>
      </c>
      <c r="Z935">
        <v>8.9</v>
      </c>
      <c r="AA935">
        <v>3.6</v>
      </c>
      <c r="AB935" t="s">
        <v>44</v>
      </c>
      <c r="AC935" t="s">
        <v>10</v>
      </c>
      <c r="AD935" t="s">
        <v>45</v>
      </c>
      <c r="AE935" t="str">
        <f t="shared" si="42"/>
        <v>25-34</v>
      </c>
      <c r="AF935" t="str">
        <f t="shared" si="43"/>
        <v>High Usage</v>
      </c>
      <c r="AG935" t="str">
        <f t="shared" si="44"/>
        <v>High Loneliness</v>
      </c>
    </row>
    <row r="936" spans="1:33" x14ac:dyDescent="0.3">
      <c r="A936" t="s">
        <v>980</v>
      </c>
      <c r="B936">
        <v>23</v>
      </c>
      <c r="C936" t="s">
        <v>32</v>
      </c>
      <c r="D936" t="s">
        <v>41</v>
      </c>
      <c r="E936" t="s">
        <v>15</v>
      </c>
      <c r="F936" t="s">
        <v>45</v>
      </c>
      <c r="G936" t="s">
        <v>17</v>
      </c>
      <c r="H936" t="s">
        <v>6</v>
      </c>
      <c r="I936" t="s">
        <v>29</v>
      </c>
      <c r="J936" t="s">
        <v>8</v>
      </c>
      <c r="K936" t="s">
        <v>30</v>
      </c>
      <c r="L936">
        <v>1.34</v>
      </c>
      <c r="M936">
        <v>4.17</v>
      </c>
      <c r="N936">
        <v>2.3199999999999998</v>
      </c>
      <c r="O936">
        <v>6.28</v>
      </c>
      <c r="P936">
        <v>6</v>
      </c>
      <c r="Q936">
        <v>3.2</v>
      </c>
      <c r="R936">
        <v>1.5</v>
      </c>
      <c r="S936">
        <v>9.1999999999999993</v>
      </c>
      <c r="T936" t="s">
        <v>10</v>
      </c>
      <c r="U936">
        <v>7.3</v>
      </c>
      <c r="V936">
        <v>10</v>
      </c>
      <c r="W936">
        <v>5.7</v>
      </c>
      <c r="X936">
        <v>3.6</v>
      </c>
      <c r="Y936">
        <v>1.5</v>
      </c>
      <c r="Z936">
        <v>2.8</v>
      </c>
      <c r="AA936">
        <v>8.6999999999999993</v>
      </c>
      <c r="AB936" t="s">
        <v>11</v>
      </c>
      <c r="AC936" t="s">
        <v>10</v>
      </c>
      <c r="AD936" t="s">
        <v>12</v>
      </c>
      <c r="AE936" t="str">
        <f t="shared" si="42"/>
        <v>20-24</v>
      </c>
      <c r="AF936" t="str">
        <f t="shared" si="43"/>
        <v>Low Usage</v>
      </c>
      <c r="AG936" t="str">
        <f t="shared" si="44"/>
        <v>Moderate Loneliness</v>
      </c>
    </row>
    <row r="937" spans="1:33" x14ac:dyDescent="0.3">
      <c r="A937" t="s">
        <v>981</v>
      </c>
      <c r="B937">
        <v>15</v>
      </c>
      <c r="C937" t="s">
        <v>32</v>
      </c>
      <c r="D937" t="s">
        <v>58</v>
      </c>
      <c r="E937" t="s">
        <v>37</v>
      </c>
      <c r="F937" t="s">
        <v>12</v>
      </c>
      <c r="G937" t="s">
        <v>17</v>
      </c>
      <c r="H937" t="s">
        <v>33</v>
      </c>
      <c r="I937" t="s">
        <v>7</v>
      </c>
      <c r="J937" t="s">
        <v>20</v>
      </c>
      <c r="K937" t="s">
        <v>9</v>
      </c>
      <c r="L937">
        <v>2.09</v>
      </c>
      <c r="M937">
        <v>1.95</v>
      </c>
      <c r="N937">
        <v>2.58</v>
      </c>
      <c r="O937">
        <v>5.09</v>
      </c>
      <c r="P937">
        <v>1</v>
      </c>
      <c r="Q937">
        <v>7.6</v>
      </c>
      <c r="R937">
        <v>4.8</v>
      </c>
      <c r="S937">
        <v>5</v>
      </c>
      <c r="T937" t="s">
        <v>10</v>
      </c>
      <c r="U937">
        <v>6.7</v>
      </c>
      <c r="V937">
        <v>4.4000000000000004</v>
      </c>
      <c r="W937">
        <v>0.3</v>
      </c>
      <c r="X937">
        <v>5</v>
      </c>
      <c r="Y937">
        <v>4.0999999999999996</v>
      </c>
      <c r="Z937">
        <v>5.6</v>
      </c>
      <c r="AA937">
        <v>5.7</v>
      </c>
      <c r="AB937" t="s">
        <v>21</v>
      </c>
      <c r="AC937" t="s">
        <v>10</v>
      </c>
      <c r="AD937" t="s">
        <v>45</v>
      </c>
      <c r="AE937" t="str">
        <f t="shared" si="42"/>
        <v>15-19</v>
      </c>
      <c r="AF937" t="str">
        <f t="shared" si="43"/>
        <v>Low Usage</v>
      </c>
      <c r="AG937" t="str">
        <f t="shared" si="44"/>
        <v>High Loneliness</v>
      </c>
    </row>
    <row r="938" spans="1:33" x14ac:dyDescent="0.3">
      <c r="A938" t="s">
        <v>982</v>
      </c>
      <c r="B938">
        <v>35</v>
      </c>
      <c r="C938" t="s">
        <v>1</v>
      </c>
      <c r="D938" t="s">
        <v>47</v>
      </c>
      <c r="E938" t="s">
        <v>15</v>
      </c>
      <c r="F938" t="s">
        <v>4</v>
      </c>
      <c r="G938" t="s">
        <v>5</v>
      </c>
      <c r="H938" t="s">
        <v>6</v>
      </c>
      <c r="I938" t="s">
        <v>19</v>
      </c>
      <c r="J938" t="s">
        <v>8</v>
      </c>
      <c r="K938" t="s">
        <v>53</v>
      </c>
      <c r="L938">
        <v>0</v>
      </c>
      <c r="M938">
        <v>6.24</v>
      </c>
      <c r="N938">
        <v>2.57</v>
      </c>
      <c r="O938">
        <v>4.1399999999999997</v>
      </c>
      <c r="P938">
        <v>7</v>
      </c>
      <c r="Q938">
        <v>1.9</v>
      </c>
      <c r="R938">
        <v>1.4</v>
      </c>
      <c r="S938">
        <v>9</v>
      </c>
      <c r="T938" t="s">
        <v>10</v>
      </c>
      <c r="U938">
        <v>7.5</v>
      </c>
      <c r="V938">
        <v>8.4</v>
      </c>
      <c r="W938">
        <v>6.7</v>
      </c>
      <c r="X938">
        <v>2.7</v>
      </c>
      <c r="Y938">
        <v>1.9</v>
      </c>
      <c r="Z938">
        <v>4.5</v>
      </c>
      <c r="AA938">
        <v>8.6999999999999993</v>
      </c>
      <c r="AB938" t="s">
        <v>21</v>
      </c>
      <c r="AC938" t="s">
        <v>39</v>
      </c>
      <c r="AD938" t="s">
        <v>12</v>
      </c>
      <c r="AE938" t="str">
        <f t="shared" si="42"/>
        <v>35-44</v>
      </c>
      <c r="AF938" t="str">
        <f t="shared" si="43"/>
        <v>Very Low Usage</v>
      </c>
      <c r="AG938" t="str">
        <f t="shared" si="44"/>
        <v>Low Loneliness</v>
      </c>
    </row>
    <row r="939" spans="1:33" x14ac:dyDescent="0.3">
      <c r="A939" t="s">
        <v>983</v>
      </c>
      <c r="B939">
        <v>34</v>
      </c>
      <c r="C939" t="s">
        <v>1</v>
      </c>
      <c r="D939" t="s">
        <v>2</v>
      </c>
      <c r="E939" t="s">
        <v>15</v>
      </c>
      <c r="F939" t="s">
        <v>16</v>
      </c>
      <c r="G939" t="s">
        <v>17</v>
      </c>
      <c r="H939" t="s">
        <v>33</v>
      </c>
      <c r="I939" t="s">
        <v>19</v>
      </c>
      <c r="J939" t="s">
        <v>51</v>
      </c>
      <c r="K939" t="s">
        <v>9</v>
      </c>
      <c r="L939">
        <v>2.0099999999999998</v>
      </c>
      <c r="M939">
        <v>3</v>
      </c>
      <c r="N939">
        <v>3.42</v>
      </c>
      <c r="O939">
        <v>6.79</v>
      </c>
      <c r="P939">
        <v>2</v>
      </c>
      <c r="Q939">
        <v>8</v>
      </c>
      <c r="R939">
        <v>8.1999999999999993</v>
      </c>
      <c r="S939">
        <v>5.4</v>
      </c>
      <c r="T939" t="s">
        <v>39</v>
      </c>
      <c r="U939">
        <v>5.6</v>
      </c>
      <c r="V939">
        <v>4.5</v>
      </c>
      <c r="W939">
        <v>1.8</v>
      </c>
      <c r="X939">
        <v>6.8</v>
      </c>
      <c r="Y939">
        <v>6.9</v>
      </c>
      <c r="Z939">
        <v>5.4</v>
      </c>
      <c r="AA939">
        <v>6.4</v>
      </c>
      <c r="AB939" t="s">
        <v>44</v>
      </c>
      <c r="AC939" t="s">
        <v>39</v>
      </c>
      <c r="AD939" t="s">
        <v>45</v>
      </c>
      <c r="AE939" t="str">
        <f t="shared" si="42"/>
        <v>25-34</v>
      </c>
      <c r="AF939" t="str">
        <f t="shared" si="43"/>
        <v>Low Usage</v>
      </c>
      <c r="AG939" t="str">
        <f t="shared" si="44"/>
        <v>High Loneliness</v>
      </c>
    </row>
    <row r="940" spans="1:33" x14ac:dyDescent="0.3">
      <c r="A940" t="s">
        <v>984</v>
      </c>
      <c r="B940">
        <v>27</v>
      </c>
      <c r="C940" t="s">
        <v>32</v>
      </c>
      <c r="D940" t="s">
        <v>58</v>
      </c>
      <c r="E940" t="s">
        <v>15</v>
      </c>
      <c r="F940" t="s">
        <v>4</v>
      </c>
      <c r="G940" t="s">
        <v>17</v>
      </c>
      <c r="H940" t="s">
        <v>6</v>
      </c>
      <c r="I940" t="s">
        <v>19</v>
      </c>
      <c r="J940" t="s">
        <v>48</v>
      </c>
      <c r="K940" t="s">
        <v>25</v>
      </c>
      <c r="L940">
        <v>0.96</v>
      </c>
      <c r="M940">
        <v>4.7699999999999996</v>
      </c>
      <c r="N940">
        <v>0.24</v>
      </c>
      <c r="O940">
        <v>1.65</v>
      </c>
      <c r="P940">
        <v>6</v>
      </c>
      <c r="Q940">
        <v>2.2999999999999998</v>
      </c>
      <c r="R940">
        <v>1.3</v>
      </c>
      <c r="S940">
        <v>8</v>
      </c>
      <c r="T940" t="s">
        <v>10</v>
      </c>
      <c r="U940">
        <v>7.3</v>
      </c>
      <c r="V940">
        <v>8.4</v>
      </c>
      <c r="W940">
        <v>2.4</v>
      </c>
      <c r="X940">
        <v>2.7</v>
      </c>
      <c r="Y940">
        <v>2.2999999999999998</v>
      </c>
      <c r="Z940">
        <v>5</v>
      </c>
      <c r="AA940">
        <v>8.6</v>
      </c>
      <c r="AB940" t="s">
        <v>11</v>
      </c>
      <c r="AC940" t="s">
        <v>39</v>
      </c>
      <c r="AD940" t="s">
        <v>12</v>
      </c>
      <c r="AE940" t="str">
        <f t="shared" si="42"/>
        <v>25-34</v>
      </c>
      <c r="AF940" t="str">
        <f t="shared" si="43"/>
        <v>Very Low Usage</v>
      </c>
      <c r="AG940" t="str">
        <f t="shared" si="44"/>
        <v>Low Loneliness</v>
      </c>
    </row>
    <row r="941" spans="1:33" x14ac:dyDescent="0.3">
      <c r="A941" t="s">
        <v>985</v>
      </c>
      <c r="B941">
        <v>42</v>
      </c>
      <c r="C941" t="s">
        <v>32</v>
      </c>
      <c r="D941" t="s">
        <v>14</v>
      </c>
      <c r="E941" t="s">
        <v>59</v>
      </c>
      <c r="F941" t="s">
        <v>4</v>
      </c>
      <c r="G941" t="s">
        <v>17</v>
      </c>
      <c r="H941" t="s">
        <v>18</v>
      </c>
      <c r="I941" t="s">
        <v>24</v>
      </c>
      <c r="J941" t="s">
        <v>8</v>
      </c>
      <c r="K941" t="s">
        <v>9</v>
      </c>
      <c r="L941">
        <v>3.14</v>
      </c>
      <c r="M941">
        <v>2.4700000000000002</v>
      </c>
      <c r="N941">
        <v>3.95</v>
      </c>
      <c r="O941">
        <v>9.3699999999999992</v>
      </c>
      <c r="P941">
        <v>1</v>
      </c>
      <c r="Q941">
        <v>7.4</v>
      </c>
      <c r="R941">
        <v>7.4</v>
      </c>
      <c r="S941">
        <v>3.7</v>
      </c>
      <c r="T941" t="s">
        <v>39</v>
      </c>
      <c r="U941">
        <v>7</v>
      </c>
      <c r="V941">
        <v>1.8</v>
      </c>
      <c r="W941">
        <v>1.3</v>
      </c>
      <c r="X941">
        <v>4.8</v>
      </c>
      <c r="Y941">
        <v>7.3</v>
      </c>
      <c r="Z941">
        <v>6.6</v>
      </c>
      <c r="AA941">
        <v>3.2</v>
      </c>
      <c r="AB941" t="s">
        <v>44</v>
      </c>
      <c r="AC941" t="s">
        <v>39</v>
      </c>
      <c r="AD941" t="s">
        <v>45</v>
      </c>
      <c r="AE941" t="str">
        <f t="shared" si="42"/>
        <v>35-44</v>
      </c>
      <c r="AF941" t="str">
        <f t="shared" si="43"/>
        <v>Moderate Usage</v>
      </c>
      <c r="AG941" t="str">
        <f t="shared" si="44"/>
        <v>High Loneliness</v>
      </c>
    </row>
    <row r="942" spans="1:33" x14ac:dyDescent="0.3">
      <c r="A942" t="s">
        <v>986</v>
      </c>
      <c r="B942">
        <v>30</v>
      </c>
      <c r="C942" t="s">
        <v>32</v>
      </c>
      <c r="D942" t="s">
        <v>47</v>
      </c>
      <c r="E942" t="s">
        <v>37</v>
      </c>
      <c r="F942" t="s">
        <v>4</v>
      </c>
      <c r="G942" t="s">
        <v>5</v>
      </c>
      <c r="H942" t="s">
        <v>28</v>
      </c>
      <c r="I942" t="s">
        <v>29</v>
      </c>
      <c r="J942" t="s">
        <v>48</v>
      </c>
      <c r="K942" t="s">
        <v>9</v>
      </c>
      <c r="L942">
        <v>1.66</v>
      </c>
      <c r="M942">
        <v>4.78</v>
      </c>
      <c r="N942">
        <v>0.23</v>
      </c>
      <c r="O942">
        <v>3.8</v>
      </c>
      <c r="P942">
        <v>5</v>
      </c>
      <c r="Q942">
        <v>6.9</v>
      </c>
      <c r="R942">
        <v>4.8</v>
      </c>
      <c r="S942">
        <v>6.6</v>
      </c>
      <c r="T942" t="s">
        <v>10</v>
      </c>
      <c r="U942">
        <v>6.3</v>
      </c>
      <c r="V942">
        <v>5.4</v>
      </c>
      <c r="W942">
        <v>4.0999999999999996</v>
      </c>
      <c r="X942">
        <v>2.2000000000000002</v>
      </c>
      <c r="Y942">
        <v>3.9</v>
      </c>
      <c r="Z942">
        <v>5</v>
      </c>
      <c r="AA942">
        <v>6.7</v>
      </c>
      <c r="AB942" t="s">
        <v>44</v>
      </c>
      <c r="AC942" t="s">
        <v>10</v>
      </c>
      <c r="AD942" t="s">
        <v>22</v>
      </c>
      <c r="AE942" t="str">
        <f t="shared" si="42"/>
        <v>25-34</v>
      </c>
      <c r="AF942" t="str">
        <f t="shared" si="43"/>
        <v>Low Usage</v>
      </c>
      <c r="AG942" t="str">
        <f t="shared" si="44"/>
        <v>High Loneliness</v>
      </c>
    </row>
    <row r="943" spans="1:33" x14ac:dyDescent="0.3">
      <c r="A943" t="s">
        <v>987</v>
      </c>
      <c r="B943">
        <v>43</v>
      </c>
      <c r="C943" t="s">
        <v>32</v>
      </c>
      <c r="D943" t="s">
        <v>14</v>
      </c>
      <c r="E943" t="s">
        <v>37</v>
      </c>
      <c r="F943" t="s">
        <v>4</v>
      </c>
      <c r="G943" t="s">
        <v>43</v>
      </c>
      <c r="H943" t="s">
        <v>18</v>
      </c>
      <c r="I943" t="s">
        <v>7</v>
      </c>
      <c r="J943" t="s">
        <v>48</v>
      </c>
      <c r="K943" t="s">
        <v>53</v>
      </c>
      <c r="L943">
        <v>2.65</v>
      </c>
      <c r="M943">
        <v>5.79</v>
      </c>
      <c r="N943">
        <v>3.26</v>
      </c>
      <c r="O943">
        <v>9.94</v>
      </c>
      <c r="P943">
        <v>4</v>
      </c>
      <c r="Q943">
        <v>8.6</v>
      </c>
      <c r="R943">
        <v>6.1</v>
      </c>
      <c r="S943">
        <v>6</v>
      </c>
      <c r="T943" t="s">
        <v>10</v>
      </c>
      <c r="U943">
        <v>4.9000000000000004</v>
      </c>
      <c r="V943">
        <v>8</v>
      </c>
      <c r="W943">
        <v>4.0999999999999996</v>
      </c>
      <c r="X943">
        <v>3.3</v>
      </c>
      <c r="Y943">
        <v>6.5</v>
      </c>
      <c r="Z943">
        <v>7.7</v>
      </c>
      <c r="AA943">
        <v>7.7</v>
      </c>
      <c r="AB943" t="s">
        <v>21</v>
      </c>
      <c r="AC943" t="s">
        <v>39</v>
      </c>
      <c r="AD943" t="s">
        <v>45</v>
      </c>
      <c r="AE943" t="str">
        <f t="shared" si="42"/>
        <v>35-44</v>
      </c>
      <c r="AF943" t="str">
        <f t="shared" si="43"/>
        <v>Moderate Usage</v>
      </c>
      <c r="AG943" t="str">
        <f t="shared" si="44"/>
        <v>High Loneliness</v>
      </c>
    </row>
    <row r="944" spans="1:33" x14ac:dyDescent="0.3">
      <c r="A944" t="s">
        <v>988</v>
      </c>
      <c r="B944">
        <v>27</v>
      </c>
      <c r="C944" t="s">
        <v>1</v>
      </c>
      <c r="D944" t="s">
        <v>47</v>
      </c>
      <c r="E944" t="s">
        <v>37</v>
      </c>
      <c r="F944" t="s">
        <v>4</v>
      </c>
      <c r="G944" t="s">
        <v>17</v>
      </c>
      <c r="H944" t="s">
        <v>28</v>
      </c>
      <c r="I944" t="s">
        <v>19</v>
      </c>
      <c r="J944" t="s">
        <v>38</v>
      </c>
      <c r="K944" t="s">
        <v>53</v>
      </c>
      <c r="L944">
        <v>4.09</v>
      </c>
      <c r="M944">
        <v>3.67</v>
      </c>
      <c r="N944">
        <v>3.9</v>
      </c>
      <c r="O944">
        <v>9.65</v>
      </c>
      <c r="P944">
        <v>1</v>
      </c>
      <c r="Q944">
        <v>10</v>
      </c>
      <c r="R944">
        <v>8</v>
      </c>
      <c r="S944">
        <v>1</v>
      </c>
      <c r="T944" t="s">
        <v>39</v>
      </c>
      <c r="U944">
        <v>4.7</v>
      </c>
      <c r="V944">
        <v>3.6</v>
      </c>
      <c r="W944">
        <v>0</v>
      </c>
      <c r="X944">
        <v>7.9</v>
      </c>
      <c r="Y944">
        <v>7.3</v>
      </c>
      <c r="Z944">
        <v>7.9</v>
      </c>
      <c r="AA944">
        <v>3</v>
      </c>
      <c r="AB944" t="s">
        <v>44</v>
      </c>
      <c r="AC944" t="s">
        <v>10</v>
      </c>
      <c r="AD944" t="s">
        <v>45</v>
      </c>
      <c r="AE944" t="str">
        <f t="shared" si="42"/>
        <v>25-34</v>
      </c>
      <c r="AF944" t="str">
        <f t="shared" si="43"/>
        <v>High Usage</v>
      </c>
      <c r="AG944" t="str">
        <f t="shared" si="44"/>
        <v>High Loneliness</v>
      </c>
    </row>
    <row r="945" spans="1:33" x14ac:dyDescent="0.3">
      <c r="A945" t="s">
        <v>989</v>
      </c>
      <c r="B945">
        <v>28</v>
      </c>
      <c r="C945" t="s">
        <v>32</v>
      </c>
      <c r="D945" t="s">
        <v>14</v>
      </c>
      <c r="E945" t="s">
        <v>3</v>
      </c>
      <c r="F945" t="s">
        <v>12</v>
      </c>
      <c r="G945" t="s">
        <v>43</v>
      </c>
      <c r="H945" t="s">
        <v>18</v>
      </c>
      <c r="I945" t="s">
        <v>29</v>
      </c>
      <c r="J945" t="s">
        <v>8</v>
      </c>
      <c r="K945" t="s">
        <v>53</v>
      </c>
      <c r="L945">
        <v>0.71</v>
      </c>
      <c r="M945">
        <v>2.4700000000000002</v>
      </c>
      <c r="N945">
        <v>3.67</v>
      </c>
      <c r="O945">
        <v>5.6</v>
      </c>
      <c r="P945">
        <v>7</v>
      </c>
      <c r="Q945">
        <v>3.1</v>
      </c>
      <c r="R945">
        <v>1.6</v>
      </c>
      <c r="S945">
        <v>7</v>
      </c>
      <c r="T945" t="s">
        <v>10</v>
      </c>
      <c r="U945">
        <v>8.1999999999999993</v>
      </c>
      <c r="V945">
        <v>6.9</v>
      </c>
      <c r="W945">
        <v>2.8</v>
      </c>
      <c r="X945">
        <v>1.9</v>
      </c>
      <c r="Y945">
        <v>3.2</v>
      </c>
      <c r="Z945">
        <v>3.7</v>
      </c>
      <c r="AA945">
        <v>6.8</v>
      </c>
      <c r="AB945" t="s">
        <v>11</v>
      </c>
      <c r="AC945" t="s">
        <v>10</v>
      </c>
      <c r="AD945" t="s">
        <v>12</v>
      </c>
      <c r="AE945" t="str">
        <f t="shared" si="42"/>
        <v>25-34</v>
      </c>
      <c r="AF945" t="str">
        <f t="shared" si="43"/>
        <v>Very Low Usage</v>
      </c>
      <c r="AG945" t="str">
        <f t="shared" si="44"/>
        <v>Moderate Loneliness</v>
      </c>
    </row>
    <row r="946" spans="1:33" x14ac:dyDescent="0.3">
      <c r="A946" t="s">
        <v>990</v>
      </c>
      <c r="B946">
        <v>17</v>
      </c>
      <c r="C946" t="s">
        <v>1</v>
      </c>
      <c r="D946" t="s">
        <v>58</v>
      </c>
      <c r="E946" t="s">
        <v>37</v>
      </c>
      <c r="F946" t="s">
        <v>4</v>
      </c>
      <c r="G946" t="s">
        <v>17</v>
      </c>
      <c r="H946" t="s">
        <v>18</v>
      </c>
      <c r="I946" t="s">
        <v>29</v>
      </c>
      <c r="J946" t="s">
        <v>8</v>
      </c>
      <c r="K946" t="s">
        <v>1079</v>
      </c>
      <c r="L946">
        <v>0.91</v>
      </c>
      <c r="M946">
        <v>2.94</v>
      </c>
      <c r="N946">
        <v>3.67</v>
      </c>
      <c r="O946">
        <v>5.72</v>
      </c>
      <c r="P946">
        <v>3</v>
      </c>
      <c r="Q946">
        <v>7.1</v>
      </c>
      <c r="R946">
        <v>6.5</v>
      </c>
      <c r="S946">
        <v>7.5</v>
      </c>
      <c r="T946" t="s">
        <v>10</v>
      </c>
      <c r="U946">
        <v>5</v>
      </c>
      <c r="V946">
        <v>5.2</v>
      </c>
      <c r="W946">
        <v>2</v>
      </c>
      <c r="X946">
        <v>7.1</v>
      </c>
      <c r="Y946">
        <v>4.5999999999999996</v>
      </c>
      <c r="Z946">
        <v>6.3</v>
      </c>
      <c r="AA946">
        <v>4</v>
      </c>
      <c r="AB946" t="s">
        <v>21</v>
      </c>
      <c r="AC946" t="s">
        <v>39</v>
      </c>
      <c r="AD946" t="s">
        <v>22</v>
      </c>
      <c r="AE946" t="str">
        <f t="shared" si="42"/>
        <v>15-19</v>
      </c>
      <c r="AF946" t="str">
        <f t="shared" si="43"/>
        <v>Very Low Usage</v>
      </c>
      <c r="AG946" t="str">
        <f t="shared" si="44"/>
        <v>High Loneliness</v>
      </c>
    </row>
    <row r="947" spans="1:33" x14ac:dyDescent="0.3">
      <c r="A947" t="s">
        <v>991</v>
      </c>
      <c r="B947">
        <v>43</v>
      </c>
      <c r="C947" t="s">
        <v>32</v>
      </c>
      <c r="D947" t="s">
        <v>41</v>
      </c>
      <c r="E947" t="s">
        <v>37</v>
      </c>
      <c r="F947" t="s">
        <v>4</v>
      </c>
      <c r="G947" t="s">
        <v>17</v>
      </c>
      <c r="H947" t="s">
        <v>33</v>
      </c>
      <c r="I947" t="s">
        <v>19</v>
      </c>
      <c r="J947" t="s">
        <v>38</v>
      </c>
      <c r="K947" t="s">
        <v>30</v>
      </c>
      <c r="L947">
        <v>0.05</v>
      </c>
      <c r="M947">
        <v>3.35</v>
      </c>
      <c r="N947">
        <v>2.79</v>
      </c>
      <c r="O947">
        <v>4.3899999999999997</v>
      </c>
      <c r="P947">
        <v>4</v>
      </c>
      <c r="Q947">
        <v>4.4000000000000004</v>
      </c>
      <c r="R947">
        <v>4.5999999999999996</v>
      </c>
      <c r="S947">
        <v>7.7</v>
      </c>
      <c r="T947" t="s">
        <v>10</v>
      </c>
      <c r="U947">
        <v>7</v>
      </c>
      <c r="V947">
        <v>7.6</v>
      </c>
      <c r="W947">
        <v>3.7</v>
      </c>
      <c r="X947">
        <v>1.7</v>
      </c>
      <c r="Y947">
        <v>1.3</v>
      </c>
      <c r="Z947">
        <v>3.5</v>
      </c>
      <c r="AA947">
        <v>8.1999999999999993</v>
      </c>
      <c r="AB947" t="s">
        <v>11</v>
      </c>
      <c r="AC947" t="s">
        <v>39</v>
      </c>
      <c r="AD947" t="s">
        <v>12</v>
      </c>
      <c r="AE947" t="str">
        <f t="shared" si="42"/>
        <v>35-44</v>
      </c>
      <c r="AF947" t="str">
        <f t="shared" si="43"/>
        <v>Very Low Usage</v>
      </c>
      <c r="AG947" t="str">
        <f t="shared" si="44"/>
        <v>Moderate Loneliness</v>
      </c>
    </row>
    <row r="948" spans="1:33" x14ac:dyDescent="0.3">
      <c r="A948" t="s">
        <v>992</v>
      </c>
      <c r="B948">
        <v>20</v>
      </c>
      <c r="C948" t="s">
        <v>1</v>
      </c>
      <c r="D948" t="s">
        <v>14</v>
      </c>
      <c r="E948" t="s">
        <v>59</v>
      </c>
      <c r="F948" t="s">
        <v>4</v>
      </c>
      <c r="G948" t="s">
        <v>5</v>
      </c>
      <c r="H948" t="s">
        <v>28</v>
      </c>
      <c r="I948" t="s">
        <v>19</v>
      </c>
      <c r="J948" t="s">
        <v>38</v>
      </c>
      <c r="K948" t="s">
        <v>25</v>
      </c>
      <c r="L948">
        <v>2.73</v>
      </c>
      <c r="M948">
        <v>3.62</v>
      </c>
      <c r="N948">
        <v>2.65</v>
      </c>
      <c r="O948">
        <v>7.97</v>
      </c>
      <c r="P948">
        <v>3</v>
      </c>
      <c r="Q948">
        <v>8</v>
      </c>
      <c r="R948">
        <v>7</v>
      </c>
      <c r="S948">
        <v>5.0999999999999996</v>
      </c>
      <c r="T948" t="s">
        <v>39</v>
      </c>
      <c r="U948">
        <v>5.8</v>
      </c>
      <c r="V948">
        <v>5</v>
      </c>
      <c r="W948">
        <v>3.7</v>
      </c>
      <c r="X948">
        <v>6.1</v>
      </c>
      <c r="Y948">
        <v>6.5</v>
      </c>
      <c r="Z948">
        <v>5.8</v>
      </c>
      <c r="AA948">
        <v>3.4</v>
      </c>
      <c r="AB948" t="s">
        <v>21</v>
      </c>
      <c r="AC948" t="s">
        <v>10</v>
      </c>
      <c r="AD948" t="s">
        <v>22</v>
      </c>
      <c r="AE948" t="str">
        <f t="shared" si="42"/>
        <v>20-24</v>
      </c>
      <c r="AF948" t="str">
        <f t="shared" si="43"/>
        <v>Moderate Usage</v>
      </c>
      <c r="AG948" t="str">
        <f t="shared" si="44"/>
        <v>High Loneliness</v>
      </c>
    </row>
    <row r="949" spans="1:33" x14ac:dyDescent="0.3">
      <c r="A949" t="s">
        <v>993</v>
      </c>
      <c r="B949">
        <v>32</v>
      </c>
      <c r="C949" t="s">
        <v>1</v>
      </c>
      <c r="D949" t="s">
        <v>2</v>
      </c>
      <c r="E949" t="s">
        <v>37</v>
      </c>
      <c r="F949" t="s">
        <v>12</v>
      </c>
      <c r="G949" t="s">
        <v>5</v>
      </c>
      <c r="H949" t="s">
        <v>28</v>
      </c>
      <c r="I949" t="s">
        <v>19</v>
      </c>
      <c r="J949" t="s">
        <v>48</v>
      </c>
      <c r="K949" t="s">
        <v>9</v>
      </c>
      <c r="L949">
        <v>2.2400000000000002</v>
      </c>
      <c r="M949">
        <v>2.04</v>
      </c>
      <c r="N949">
        <v>4.97</v>
      </c>
      <c r="O949">
        <v>9.92</v>
      </c>
      <c r="P949">
        <v>0</v>
      </c>
      <c r="Q949">
        <v>7.7</v>
      </c>
      <c r="R949">
        <v>7.8</v>
      </c>
      <c r="S949">
        <v>1.1000000000000001</v>
      </c>
      <c r="T949" t="s">
        <v>10</v>
      </c>
      <c r="U949">
        <v>6</v>
      </c>
      <c r="V949">
        <v>1</v>
      </c>
      <c r="W949">
        <v>1.2</v>
      </c>
      <c r="X949">
        <v>5.9</v>
      </c>
      <c r="Y949">
        <v>9.1999999999999993</v>
      </c>
      <c r="Z949">
        <v>10</v>
      </c>
      <c r="AA949">
        <v>3</v>
      </c>
      <c r="AB949" t="s">
        <v>44</v>
      </c>
      <c r="AC949" t="s">
        <v>10</v>
      </c>
      <c r="AD949" t="s">
        <v>45</v>
      </c>
      <c r="AE949" t="str">
        <f t="shared" si="42"/>
        <v>25-34</v>
      </c>
      <c r="AF949" t="str">
        <f t="shared" si="43"/>
        <v>Low Usage</v>
      </c>
      <c r="AG949" t="str">
        <f t="shared" si="44"/>
        <v>High Loneliness</v>
      </c>
    </row>
    <row r="950" spans="1:33" x14ac:dyDescent="0.3">
      <c r="A950" t="s">
        <v>994</v>
      </c>
      <c r="B950">
        <v>33</v>
      </c>
      <c r="C950" t="s">
        <v>1</v>
      </c>
      <c r="D950" t="s">
        <v>41</v>
      </c>
      <c r="E950" t="s">
        <v>37</v>
      </c>
      <c r="F950" t="s">
        <v>16</v>
      </c>
      <c r="G950" t="s">
        <v>66</v>
      </c>
      <c r="H950" t="s">
        <v>18</v>
      </c>
      <c r="I950" t="s">
        <v>24</v>
      </c>
      <c r="J950" t="s">
        <v>48</v>
      </c>
      <c r="K950" t="s">
        <v>30</v>
      </c>
      <c r="L950">
        <v>0.27</v>
      </c>
      <c r="M950">
        <v>4.9000000000000004</v>
      </c>
      <c r="N950">
        <v>1.6</v>
      </c>
      <c r="O950">
        <v>6.79</v>
      </c>
      <c r="P950">
        <v>8</v>
      </c>
      <c r="Q950">
        <v>4.7</v>
      </c>
      <c r="R950">
        <v>4</v>
      </c>
      <c r="S950">
        <v>5.2</v>
      </c>
      <c r="T950" t="s">
        <v>39</v>
      </c>
      <c r="U950">
        <v>7.4</v>
      </c>
      <c r="V950">
        <v>5.7</v>
      </c>
      <c r="W950">
        <v>5.4</v>
      </c>
      <c r="X950">
        <v>3.4</v>
      </c>
      <c r="Y950">
        <v>4.2</v>
      </c>
      <c r="Z950">
        <v>4.0999999999999996</v>
      </c>
      <c r="AA950">
        <v>6.2</v>
      </c>
      <c r="AB950" t="s">
        <v>21</v>
      </c>
      <c r="AC950" t="s">
        <v>10</v>
      </c>
      <c r="AD950" t="s">
        <v>12</v>
      </c>
      <c r="AE950" t="str">
        <f t="shared" si="42"/>
        <v>25-34</v>
      </c>
      <c r="AF950" t="str">
        <f t="shared" si="43"/>
        <v>Very Low Usage</v>
      </c>
      <c r="AG950" t="str">
        <f t="shared" si="44"/>
        <v>Moderate Loneliness</v>
      </c>
    </row>
    <row r="951" spans="1:33" x14ac:dyDescent="0.3">
      <c r="A951" t="s">
        <v>995</v>
      </c>
      <c r="B951">
        <v>19</v>
      </c>
      <c r="C951" t="s">
        <v>1</v>
      </c>
      <c r="D951" t="s">
        <v>2</v>
      </c>
      <c r="E951" t="s">
        <v>37</v>
      </c>
      <c r="F951" t="s">
        <v>12</v>
      </c>
      <c r="G951" t="s">
        <v>17</v>
      </c>
      <c r="H951" t="s">
        <v>6</v>
      </c>
      <c r="I951" t="s">
        <v>19</v>
      </c>
      <c r="J951" t="s">
        <v>8</v>
      </c>
      <c r="K951" t="s">
        <v>53</v>
      </c>
      <c r="L951">
        <v>0</v>
      </c>
      <c r="M951">
        <v>6.02</v>
      </c>
      <c r="N951">
        <v>1.4</v>
      </c>
      <c r="O951">
        <v>2.19</v>
      </c>
      <c r="P951">
        <v>6</v>
      </c>
      <c r="Q951">
        <v>1</v>
      </c>
      <c r="R951">
        <v>1</v>
      </c>
      <c r="S951">
        <v>8.8000000000000007</v>
      </c>
      <c r="T951" t="s">
        <v>10</v>
      </c>
      <c r="U951">
        <v>8.9</v>
      </c>
      <c r="V951">
        <v>9.3000000000000007</v>
      </c>
      <c r="W951">
        <v>8.3000000000000007</v>
      </c>
      <c r="X951">
        <v>1</v>
      </c>
      <c r="Y951">
        <v>1</v>
      </c>
      <c r="Z951">
        <v>1</v>
      </c>
      <c r="AA951">
        <v>10</v>
      </c>
      <c r="AB951" t="s">
        <v>11</v>
      </c>
      <c r="AC951" t="s">
        <v>10</v>
      </c>
      <c r="AD951" t="s">
        <v>12</v>
      </c>
      <c r="AE951" t="str">
        <f t="shared" si="42"/>
        <v>15-19</v>
      </c>
      <c r="AF951" t="str">
        <f t="shared" si="43"/>
        <v>Very Low Usage</v>
      </c>
      <c r="AG951" t="str">
        <f t="shared" si="44"/>
        <v>Low Loneliness</v>
      </c>
    </row>
    <row r="952" spans="1:33" x14ac:dyDescent="0.3">
      <c r="A952" t="s">
        <v>996</v>
      </c>
      <c r="B952">
        <v>29</v>
      </c>
      <c r="C952" t="s">
        <v>32</v>
      </c>
      <c r="D952" t="s">
        <v>58</v>
      </c>
      <c r="E952" t="s">
        <v>3</v>
      </c>
      <c r="F952" t="s">
        <v>4</v>
      </c>
      <c r="G952" t="s">
        <v>5</v>
      </c>
      <c r="H952" t="s">
        <v>28</v>
      </c>
      <c r="I952" t="s">
        <v>35</v>
      </c>
      <c r="J952" t="s">
        <v>20</v>
      </c>
      <c r="K952" t="s">
        <v>53</v>
      </c>
      <c r="L952">
        <v>0.52</v>
      </c>
      <c r="M952">
        <v>3.72</v>
      </c>
      <c r="N952">
        <v>0.69</v>
      </c>
      <c r="O952">
        <v>3.3</v>
      </c>
      <c r="P952">
        <v>6</v>
      </c>
      <c r="Q952">
        <v>2.2999999999999998</v>
      </c>
      <c r="R952">
        <v>2.6</v>
      </c>
      <c r="S952">
        <v>5.6</v>
      </c>
      <c r="T952" t="s">
        <v>10</v>
      </c>
      <c r="U952">
        <v>7.3</v>
      </c>
      <c r="V952">
        <v>8.5</v>
      </c>
      <c r="W952">
        <v>5.7</v>
      </c>
      <c r="X952">
        <v>4.4000000000000004</v>
      </c>
      <c r="Y952">
        <v>3.4</v>
      </c>
      <c r="Z952">
        <v>3.6</v>
      </c>
      <c r="AA952">
        <v>7.5</v>
      </c>
      <c r="AB952" t="s">
        <v>11</v>
      </c>
      <c r="AC952" t="s">
        <v>10</v>
      </c>
      <c r="AD952" t="s">
        <v>12</v>
      </c>
      <c r="AE952" t="str">
        <f t="shared" si="42"/>
        <v>25-34</v>
      </c>
      <c r="AF952" t="str">
        <f t="shared" si="43"/>
        <v>Very Low Usage</v>
      </c>
      <c r="AG952" t="str">
        <f t="shared" si="44"/>
        <v>Low Loneliness</v>
      </c>
    </row>
    <row r="953" spans="1:33" x14ac:dyDescent="0.3">
      <c r="A953" t="s">
        <v>997</v>
      </c>
      <c r="B953">
        <v>39</v>
      </c>
      <c r="C953" t="s">
        <v>1</v>
      </c>
      <c r="D953" t="s">
        <v>2</v>
      </c>
      <c r="E953" t="s">
        <v>3</v>
      </c>
      <c r="F953" t="s">
        <v>16</v>
      </c>
      <c r="G953" t="s">
        <v>5</v>
      </c>
      <c r="H953" t="s">
        <v>18</v>
      </c>
      <c r="I953" t="s">
        <v>24</v>
      </c>
      <c r="J953" t="s">
        <v>8</v>
      </c>
      <c r="K953" t="s">
        <v>53</v>
      </c>
      <c r="L953">
        <v>5.07</v>
      </c>
      <c r="M953">
        <v>0.46</v>
      </c>
      <c r="N953">
        <v>5.04</v>
      </c>
      <c r="O953">
        <v>11.43</v>
      </c>
      <c r="P953">
        <v>0</v>
      </c>
      <c r="Q953">
        <v>10</v>
      </c>
      <c r="R953">
        <v>10</v>
      </c>
      <c r="S953">
        <v>1</v>
      </c>
      <c r="T953" t="s">
        <v>39</v>
      </c>
      <c r="U953">
        <v>4.4000000000000004</v>
      </c>
      <c r="V953">
        <v>2.1</v>
      </c>
      <c r="W953">
        <v>0</v>
      </c>
      <c r="X953">
        <v>9.5</v>
      </c>
      <c r="Y953">
        <v>7.3</v>
      </c>
      <c r="Z953">
        <v>9.6</v>
      </c>
      <c r="AA953">
        <v>3.1</v>
      </c>
      <c r="AB953" t="s">
        <v>44</v>
      </c>
      <c r="AC953" t="s">
        <v>39</v>
      </c>
      <c r="AD953" t="s">
        <v>45</v>
      </c>
      <c r="AE953" t="str">
        <f t="shared" si="42"/>
        <v>35-44</v>
      </c>
      <c r="AF953" t="str">
        <f t="shared" si="43"/>
        <v>High Usage</v>
      </c>
      <c r="AG953" t="str">
        <f t="shared" si="44"/>
        <v>High Loneliness</v>
      </c>
    </row>
    <row r="954" spans="1:33" x14ac:dyDescent="0.3">
      <c r="A954" t="s">
        <v>998</v>
      </c>
      <c r="B954">
        <v>16</v>
      </c>
      <c r="C954" t="s">
        <v>1</v>
      </c>
      <c r="D954" t="s">
        <v>14</v>
      </c>
      <c r="E954" t="s">
        <v>37</v>
      </c>
      <c r="F954" t="s">
        <v>4</v>
      </c>
      <c r="G954" t="s">
        <v>43</v>
      </c>
      <c r="H954" t="s">
        <v>33</v>
      </c>
      <c r="I954" t="s">
        <v>7</v>
      </c>
      <c r="J954" t="s">
        <v>8</v>
      </c>
      <c r="K954" t="s">
        <v>1079</v>
      </c>
      <c r="L954">
        <v>0.56999999999999995</v>
      </c>
      <c r="M954">
        <v>3.12</v>
      </c>
      <c r="N954">
        <v>0.75</v>
      </c>
      <c r="O954">
        <v>3.67</v>
      </c>
      <c r="P954">
        <v>7</v>
      </c>
      <c r="Q954">
        <v>4.0999999999999996</v>
      </c>
      <c r="R954">
        <v>4.0999999999999996</v>
      </c>
      <c r="S954">
        <v>7.5</v>
      </c>
      <c r="T954" t="s">
        <v>10</v>
      </c>
      <c r="U954">
        <v>8.1999999999999993</v>
      </c>
      <c r="V954">
        <v>9.3000000000000007</v>
      </c>
      <c r="W954">
        <v>4.3</v>
      </c>
      <c r="X954">
        <v>4.2</v>
      </c>
      <c r="Y954">
        <v>3.8</v>
      </c>
      <c r="Z954">
        <v>3.7</v>
      </c>
      <c r="AA954">
        <v>8.8000000000000007</v>
      </c>
      <c r="AB954" t="s">
        <v>21</v>
      </c>
      <c r="AC954" t="s">
        <v>10</v>
      </c>
      <c r="AD954" t="s">
        <v>12</v>
      </c>
      <c r="AE954" t="str">
        <f t="shared" si="42"/>
        <v>15-19</v>
      </c>
      <c r="AF954" t="str">
        <f t="shared" si="43"/>
        <v>Very Low Usage</v>
      </c>
      <c r="AG954" t="str">
        <f t="shared" si="44"/>
        <v>Moderate Loneliness</v>
      </c>
    </row>
    <row r="955" spans="1:33" x14ac:dyDescent="0.3">
      <c r="A955" t="s">
        <v>999</v>
      </c>
      <c r="B955">
        <v>24</v>
      </c>
      <c r="C955" t="s">
        <v>1</v>
      </c>
      <c r="D955" t="s">
        <v>14</v>
      </c>
      <c r="E955" t="s">
        <v>3</v>
      </c>
      <c r="F955" t="s">
        <v>4</v>
      </c>
      <c r="G955" t="s">
        <v>17</v>
      </c>
      <c r="H955" t="s">
        <v>18</v>
      </c>
      <c r="I955" t="s">
        <v>29</v>
      </c>
      <c r="J955" t="s">
        <v>51</v>
      </c>
      <c r="K955" t="s">
        <v>1079</v>
      </c>
      <c r="L955">
        <v>4</v>
      </c>
      <c r="M955">
        <v>0.79</v>
      </c>
      <c r="N955">
        <v>4.4000000000000004</v>
      </c>
      <c r="O955">
        <v>11.78</v>
      </c>
      <c r="P955">
        <v>2</v>
      </c>
      <c r="Q955">
        <v>10</v>
      </c>
      <c r="R955">
        <v>8.6</v>
      </c>
      <c r="S955">
        <v>2</v>
      </c>
      <c r="T955" t="s">
        <v>10</v>
      </c>
      <c r="U955">
        <v>4.2</v>
      </c>
      <c r="V955">
        <v>4.3</v>
      </c>
      <c r="W955">
        <v>1.6</v>
      </c>
      <c r="X955">
        <v>9.1999999999999993</v>
      </c>
      <c r="Y955">
        <v>8.4</v>
      </c>
      <c r="Z955">
        <v>8</v>
      </c>
      <c r="AA955">
        <v>2.5</v>
      </c>
      <c r="AB955" t="s">
        <v>44</v>
      </c>
      <c r="AC955" t="s">
        <v>39</v>
      </c>
      <c r="AD955" t="s">
        <v>45</v>
      </c>
      <c r="AE955" t="str">
        <f t="shared" si="42"/>
        <v>20-24</v>
      </c>
      <c r="AF955" t="str">
        <f t="shared" si="43"/>
        <v>Moderate Usage</v>
      </c>
      <c r="AG955" t="str">
        <f t="shared" si="44"/>
        <v>High Loneliness</v>
      </c>
    </row>
    <row r="956" spans="1:33" x14ac:dyDescent="0.3">
      <c r="A956" t="s">
        <v>1000</v>
      </c>
      <c r="B956">
        <v>38</v>
      </c>
      <c r="C956" t="s">
        <v>1</v>
      </c>
      <c r="D956" t="s">
        <v>14</v>
      </c>
      <c r="E956" t="s">
        <v>37</v>
      </c>
      <c r="F956" t="s">
        <v>16</v>
      </c>
      <c r="G956" t="s">
        <v>43</v>
      </c>
      <c r="H956" t="s">
        <v>28</v>
      </c>
      <c r="I956" t="s">
        <v>19</v>
      </c>
      <c r="J956" t="s">
        <v>8</v>
      </c>
      <c r="K956" t="s">
        <v>53</v>
      </c>
      <c r="L956">
        <v>0.38</v>
      </c>
      <c r="M956">
        <v>3.19</v>
      </c>
      <c r="N956">
        <v>3.92</v>
      </c>
      <c r="O956">
        <v>7.16</v>
      </c>
      <c r="P956">
        <v>4</v>
      </c>
      <c r="Q956">
        <v>3.4</v>
      </c>
      <c r="R956">
        <v>5</v>
      </c>
      <c r="S956">
        <v>8.4</v>
      </c>
      <c r="T956" t="s">
        <v>10</v>
      </c>
      <c r="U956">
        <v>8.1</v>
      </c>
      <c r="V956">
        <v>7.2</v>
      </c>
      <c r="W956">
        <v>4.5999999999999996</v>
      </c>
      <c r="X956">
        <v>3.8</v>
      </c>
      <c r="Y956">
        <v>2.5</v>
      </c>
      <c r="Z956">
        <v>3.8</v>
      </c>
      <c r="AA956">
        <v>8.8000000000000007</v>
      </c>
      <c r="AB956" t="s">
        <v>21</v>
      </c>
      <c r="AC956" t="s">
        <v>10</v>
      </c>
      <c r="AD956" t="s">
        <v>12</v>
      </c>
      <c r="AE956" t="str">
        <f t="shared" si="42"/>
        <v>35-44</v>
      </c>
      <c r="AF956" t="str">
        <f t="shared" si="43"/>
        <v>Very Low Usage</v>
      </c>
      <c r="AG956" t="str">
        <f t="shared" si="44"/>
        <v>Moderate Loneliness</v>
      </c>
    </row>
    <row r="957" spans="1:33" x14ac:dyDescent="0.3">
      <c r="A957" t="s">
        <v>1001</v>
      </c>
      <c r="B957">
        <v>44</v>
      </c>
      <c r="C957" t="s">
        <v>1</v>
      </c>
      <c r="D957" t="s">
        <v>47</v>
      </c>
      <c r="E957" t="s">
        <v>15</v>
      </c>
      <c r="F957" t="s">
        <v>4</v>
      </c>
      <c r="G957" t="s">
        <v>5</v>
      </c>
      <c r="H957" t="s">
        <v>18</v>
      </c>
      <c r="I957" t="s">
        <v>29</v>
      </c>
      <c r="J957" t="s">
        <v>20</v>
      </c>
      <c r="K957" t="s">
        <v>1079</v>
      </c>
      <c r="L957">
        <v>0.71</v>
      </c>
      <c r="M957">
        <v>3.66</v>
      </c>
      <c r="N957">
        <v>2.59</v>
      </c>
      <c r="O957">
        <v>4.0999999999999996</v>
      </c>
      <c r="P957">
        <v>2</v>
      </c>
      <c r="Q957">
        <v>3.5</v>
      </c>
      <c r="R957">
        <v>5.3</v>
      </c>
      <c r="S957">
        <v>6.9</v>
      </c>
      <c r="T957" t="s">
        <v>10</v>
      </c>
      <c r="U957">
        <v>8.5</v>
      </c>
      <c r="V957">
        <v>7.6</v>
      </c>
      <c r="W957">
        <v>1.6</v>
      </c>
      <c r="X957">
        <v>2.2000000000000002</v>
      </c>
      <c r="Y957">
        <v>3.5</v>
      </c>
      <c r="Z957">
        <v>4.4000000000000004</v>
      </c>
      <c r="AA957">
        <v>6.8</v>
      </c>
      <c r="AB957" t="s">
        <v>21</v>
      </c>
      <c r="AC957" t="s">
        <v>10</v>
      </c>
      <c r="AD957" t="s">
        <v>12</v>
      </c>
      <c r="AE957" t="str">
        <f t="shared" si="42"/>
        <v>35-44</v>
      </c>
      <c r="AF957" t="str">
        <f t="shared" si="43"/>
        <v>Very Low Usage</v>
      </c>
      <c r="AG957" t="str">
        <f t="shared" si="44"/>
        <v>Moderate Loneliness</v>
      </c>
    </row>
    <row r="958" spans="1:33" x14ac:dyDescent="0.3">
      <c r="A958" t="s">
        <v>1002</v>
      </c>
      <c r="B958">
        <v>32</v>
      </c>
      <c r="C958" t="s">
        <v>1</v>
      </c>
      <c r="D958" t="s">
        <v>14</v>
      </c>
      <c r="E958" t="s">
        <v>15</v>
      </c>
      <c r="F958" t="s">
        <v>16</v>
      </c>
      <c r="G958" t="s">
        <v>17</v>
      </c>
      <c r="H958" t="s">
        <v>28</v>
      </c>
      <c r="I958" t="s">
        <v>19</v>
      </c>
      <c r="J958" t="s">
        <v>38</v>
      </c>
      <c r="K958" t="s">
        <v>53</v>
      </c>
      <c r="L958">
        <v>2.87</v>
      </c>
      <c r="M958">
        <v>2.0499999999999998</v>
      </c>
      <c r="N958">
        <v>3.25</v>
      </c>
      <c r="O958">
        <v>8.8000000000000007</v>
      </c>
      <c r="P958">
        <v>0</v>
      </c>
      <c r="Q958">
        <v>7.7</v>
      </c>
      <c r="R958">
        <v>7.2</v>
      </c>
      <c r="S958">
        <v>1.3</v>
      </c>
      <c r="T958" t="s">
        <v>39</v>
      </c>
      <c r="U958">
        <v>8.6</v>
      </c>
      <c r="V958">
        <v>6.7</v>
      </c>
      <c r="W958">
        <v>1.9</v>
      </c>
      <c r="X958">
        <v>6.5</v>
      </c>
      <c r="Y958">
        <v>5.3</v>
      </c>
      <c r="Z958">
        <v>7.3</v>
      </c>
      <c r="AA958">
        <v>4.8</v>
      </c>
      <c r="AB958" t="s">
        <v>44</v>
      </c>
      <c r="AC958" t="s">
        <v>10</v>
      </c>
      <c r="AD958" t="s">
        <v>45</v>
      </c>
      <c r="AE958" t="str">
        <f t="shared" si="42"/>
        <v>25-34</v>
      </c>
      <c r="AF958" t="str">
        <f t="shared" si="43"/>
        <v>Moderate Usage</v>
      </c>
      <c r="AG958" t="str">
        <f t="shared" si="44"/>
        <v>High Loneliness</v>
      </c>
    </row>
    <row r="959" spans="1:33" x14ac:dyDescent="0.3">
      <c r="A959" t="s">
        <v>1003</v>
      </c>
      <c r="B959">
        <v>41</v>
      </c>
      <c r="C959" t="s">
        <v>32</v>
      </c>
      <c r="D959" t="s">
        <v>2</v>
      </c>
      <c r="E959" t="s">
        <v>15</v>
      </c>
      <c r="F959" t="s">
        <v>16</v>
      </c>
      <c r="G959" t="s">
        <v>5</v>
      </c>
      <c r="H959" t="s">
        <v>6</v>
      </c>
      <c r="I959" t="s">
        <v>7</v>
      </c>
      <c r="J959" t="s">
        <v>8</v>
      </c>
      <c r="K959" t="s">
        <v>30</v>
      </c>
      <c r="L959">
        <v>3.54</v>
      </c>
      <c r="M959">
        <v>3.67</v>
      </c>
      <c r="N959">
        <v>0.7</v>
      </c>
      <c r="O959">
        <v>4.12</v>
      </c>
      <c r="P959">
        <v>3</v>
      </c>
      <c r="Q959">
        <v>6.5</v>
      </c>
      <c r="R959">
        <v>4.3</v>
      </c>
      <c r="S959">
        <v>5.3</v>
      </c>
      <c r="T959" t="s">
        <v>10</v>
      </c>
      <c r="U959">
        <v>5.9</v>
      </c>
      <c r="V959">
        <v>7</v>
      </c>
      <c r="W959">
        <v>1.2</v>
      </c>
      <c r="X959">
        <v>7.6</v>
      </c>
      <c r="Y959">
        <v>5.6</v>
      </c>
      <c r="Z959">
        <v>5.9</v>
      </c>
      <c r="AA959">
        <v>3.8</v>
      </c>
      <c r="AB959" t="s">
        <v>11</v>
      </c>
      <c r="AC959" t="s">
        <v>10</v>
      </c>
      <c r="AD959" t="s">
        <v>45</v>
      </c>
      <c r="AE959" t="str">
        <f t="shared" si="42"/>
        <v>35-44</v>
      </c>
      <c r="AF959" t="str">
        <f t="shared" si="43"/>
        <v>Moderate Usage</v>
      </c>
      <c r="AG959" t="str">
        <f t="shared" si="44"/>
        <v>High Loneliness</v>
      </c>
    </row>
    <row r="960" spans="1:33" x14ac:dyDescent="0.3">
      <c r="A960" t="s">
        <v>1004</v>
      </c>
      <c r="B960">
        <v>27</v>
      </c>
      <c r="C960" t="s">
        <v>32</v>
      </c>
      <c r="D960" t="s">
        <v>2</v>
      </c>
      <c r="E960" t="s">
        <v>3</v>
      </c>
      <c r="F960" t="s">
        <v>16</v>
      </c>
      <c r="G960" t="s">
        <v>17</v>
      </c>
      <c r="H960" t="s">
        <v>28</v>
      </c>
      <c r="I960" t="s">
        <v>29</v>
      </c>
      <c r="J960" t="s">
        <v>38</v>
      </c>
      <c r="K960" t="s">
        <v>1079</v>
      </c>
      <c r="L960">
        <v>2.2000000000000002</v>
      </c>
      <c r="M960">
        <v>3.42</v>
      </c>
      <c r="N960">
        <v>2.82</v>
      </c>
      <c r="O960">
        <v>4.63</v>
      </c>
      <c r="P960">
        <v>5</v>
      </c>
      <c r="Q960">
        <v>7.3</v>
      </c>
      <c r="R960">
        <v>4.3</v>
      </c>
      <c r="S960">
        <v>1.7</v>
      </c>
      <c r="T960" t="s">
        <v>39</v>
      </c>
      <c r="U960">
        <v>5.9</v>
      </c>
      <c r="V960">
        <v>4.9000000000000004</v>
      </c>
      <c r="W960">
        <v>1.6</v>
      </c>
      <c r="X960">
        <v>5.8</v>
      </c>
      <c r="Y960">
        <v>4.0999999999999996</v>
      </c>
      <c r="Z960">
        <v>9.6</v>
      </c>
      <c r="AA960">
        <v>5.0999999999999996</v>
      </c>
      <c r="AB960" t="s">
        <v>44</v>
      </c>
      <c r="AC960" t="s">
        <v>10</v>
      </c>
      <c r="AD960" t="s">
        <v>45</v>
      </c>
      <c r="AE960" t="str">
        <f t="shared" si="42"/>
        <v>25-34</v>
      </c>
      <c r="AF960" t="str">
        <f t="shared" si="43"/>
        <v>Low Usage</v>
      </c>
      <c r="AG960" t="str">
        <f t="shared" si="44"/>
        <v>High Loneliness</v>
      </c>
    </row>
    <row r="961" spans="1:33" x14ac:dyDescent="0.3">
      <c r="A961" t="s">
        <v>1005</v>
      </c>
      <c r="B961">
        <v>19</v>
      </c>
      <c r="C961" t="s">
        <v>32</v>
      </c>
      <c r="D961" t="s">
        <v>2</v>
      </c>
      <c r="E961" t="s">
        <v>15</v>
      </c>
      <c r="F961" t="s">
        <v>4</v>
      </c>
      <c r="G961" t="s">
        <v>5</v>
      </c>
      <c r="H961" t="s">
        <v>28</v>
      </c>
      <c r="I961" t="s">
        <v>29</v>
      </c>
      <c r="J961" t="s">
        <v>38</v>
      </c>
      <c r="K961" t="s">
        <v>1079</v>
      </c>
      <c r="L961">
        <v>1.62</v>
      </c>
      <c r="M961">
        <v>4.3899999999999997</v>
      </c>
      <c r="N961">
        <v>2.98</v>
      </c>
      <c r="O961">
        <v>6.35</v>
      </c>
      <c r="P961">
        <v>1</v>
      </c>
      <c r="Q961">
        <v>5.0999999999999996</v>
      </c>
      <c r="R961">
        <v>6.2</v>
      </c>
      <c r="S961">
        <v>6.3</v>
      </c>
      <c r="T961" t="s">
        <v>10</v>
      </c>
      <c r="U961">
        <v>7</v>
      </c>
      <c r="V961">
        <v>5.3</v>
      </c>
      <c r="W961">
        <v>3.6</v>
      </c>
      <c r="X961">
        <v>5.2</v>
      </c>
      <c r="Y961">
        <v>3.7</v>
      </c>
      <c r="Z961">
        <v>6.3</v>
      </c>
      <c r="AA961">
        <v>6.4</v>
      </c>
      <c r="AB961" t="s">
        <v>21</v>
      </c>
      <c r="AC961" t="s">
        <v>10</v>
      </c>
      <c r="AD961" t="s">
        <v>12</v>
      </c>
      <c r="AE961" t="str">
        <f t="shared" si="42"/>
        <v>15-19</v>
      </c>
      <c r="AF961" t="str">
        <f t="shared" si="43"/>
        <v>Low Usage</v>
      </c>
      <c r="AG961" t="str">
        <f t="shared" si="44"/>
        <v>Moderate Loneliness</v>
      </c>
    </row>
    <row r="962" spans="1:33" x14ac:dyDescent="0.3">
      <c r="A962" t="s">
        <v>1006</v>
      </c>
      <c r="B962">
        <v>37</v>
      </c>
      <c r="C962" t="s">
        <v>32</v>
      </c>
      <c r="D962" t="s">
        <v>58</v>
      </c>
      <c r="E962" t="s">
        <v>15</v>
      </c>
      <c r="F962" t="s">
        <v>12</v>
      </c>
      <c r="G962" t="s">
        <v>43</v>
      </c>
      <c r="H962" t="s">
        <v>28</v>
      </c>
      <c r="I962" t="s">
        <v>7</v>
      </c>
      <c r="J962" t="s">
        <v>20</v>
      </c>
      <c r="K962" t="s">
        <v>1079</v>
      </c>
      <c r="L962">
        <v>3.54</v>
      </c>
      <c r="M962">
        <v>4.04</v>
      </c>
      <c r="N962">
        <v>3.02</v>
      </c>
      <c r="O962">
        <v>9.17</v>
      </c>
      <c r="P962">
        <v>5</v>
      </c>
      <c r="Q962">
        <v>7.5</v>
      </c>
      <c r="R962">
        <v>7.3</v>
      </c>
      <c r="S962">
        <v>2.9</v>
      </c>
      <c r="T962" t="s">
        <v>39</v>
      </c>
      <c r="U962">
        <v>6.3</v>
      </c>
      <c r="V962">
        <v>2.1</v>
      </c>
      <c r="W962">
        <v>1.6</v>
      </c>
      <c r="X962">
        <v>7.2</v>
      </c>
      <c r="Y962">
        <v>7.3</v>
      </c>
      <c r="Z962">
        <v>6.8</v>
      </c>
      <c r="AA962">
        <v>4.7</v>
      </c>
      <c r="AB962" t="s">
        <v>44</v>
      </c>
      <c r="AC962" t="s">
        <v>10</v>
      </c>
      <c r="AD962" t="s">
        <v>45</v>
      </c>
      <c r="AE962" t="str">
        <f t="shared" si="42"/>
        <v>35-44</v>
      </c>
      <c r="AF962" t="str">
        <f t="shared" si="43"/>
        <v>Moderate Usage</v>
      </c>
      <c r="AG962" t="str">
        <f t="shared" si="44"/>
        <v>High Loneliness</v>
      </c>
    </row>
    <row r="963" spans="1:33" x14ac:dyDescent="0.3">
      <c r="A963" t="s">
        <v>1007</v>
      </c>
      <c r="B963">
        <v>38</v>
      </c>
      <c r="C963" t="s">
        <v>1</v>
      </c>
      <c r="D963" t="s">
        <v>41</v>
      </c>
      <c r="E963" t="s">
        <v>3</v>
      </c>
      <c r="F963" t="s">
        <v>4</v>
      </c>
      <c r="G963" t="s">
        <v>5</v>
      </c>
      <c r="H963" t="s">
        <v>28</v>
      </c>
      <c r="I963" t="s">
        <v>29</v>
      </c>
      <c r="J963" t="s">
        <v>8</v>
      </c>
      <c r="K963" t="s">
        <v>9</v>
      </c>
      <c r="L963">
        <v>1.6</v>
      </c>
      <c r="M963">
        <v>2.86</v>
      </c>
      <c r="N963">
        <v>4.8899999999999997</v>
      </c>
      <c r="O963">
        <v>8.84</v>
      </c>
      <c r="P963">
        <v>4</v>
      </c>
      <c r="Q963">
        <v>5.8</v>
      </c>
      <c r="R963">
        <v>8.8000000000000007</v>
      </c>
      <c r="S963">
        <v>4.4000000000000004</v>
      </c>
      <c r="T963" t="s">
        <v>39</v>
      </c>
      <c r="U963">
        <v>7.1</v>
      </c>
      <c r="V963">
        <v>2.2000000000000002</v>
      </c>
      <c r="W963">
        <v>1.6</v>
      </c>
      <c r="X963">
        <v>6</v>
      </c>
      <c r="Y963">
        <v>4.4000000000000004</v>
      </c>
      <c r="Z963">
        <v>5.0999999999999996</v>
      </c>
      <c r="AA963">
        <v>2.5</v>
      </c>
      <c r="AB963" t="s">
        <v>21</v>
      </c>
      <c r="AC963" t="s">
        <v>10</v>
      </c>
      <c r="AD963" t="s">
        <v>45</v>
      </c>
      <c r="AE963" t="str">
        <f t="shared" ref="AE963:AE1001" si="45">IF(B963&lt;20,"15-19",IF(B963&lt;25,"20-24",IF(B963&lt;35,"25-34","35-44")))</f>
        <v>35-44</v>
      </c>
      <c r="AF963" t="str">
        <f t="shared" ref="AF963:AF1001" si="46">IF(L963&lt;=1,"Very Low Usage",IF(L963&lt;=2.5,"Low Usage",IF(L963&lt;=4,"Moderate Usage","High Usage")))</f>
        <v>Low Usage</v>
      </c>
      <c r="AG963" t="str">
        <f t="shared" ref="AG963:AG1001" si="47">IF(Q963&lt;=3,"Low Loneliness",IF(Q963&lt;=6,"Moderate Loneliness","High Loneliness"))</f>
        <v>Moderate Loneliness</v>
      </c>
    </row>
    <row r="964" spans="1:33" x14ac:dyDescent="0.3">
      <c r="A964" t="s">
        <v>1008</v>
      </c>
      <c r="B964">
        <v>15</v>
      </c>
      <c r="C964" t="s">
        <v>32</v>
      </c>
      <c r="D964" t="s">
        <v>14</v>
      </c>
      <c r="E964" t="s">
        <v>15</v>
      </c>
      <c r="F964" t="s">
        <v>4</v>
      </c>
      <c r="G964" t="s">
        <v>5</v>
      </c>
      <c r="H964" t="s">
        <v>33</v>
      </c>
      <c r="I964" t="s">
        <v>24</v>
      </c>
      <c r="J964" t="s">
        <v>8</v>
      </c>
      <c r="K964" t="s">
        <v>53</v>
      </c>
      <c r="L964">
        <v>4.59</v>
      </c>
      <c r="M964">
        <v>1.96</v>
      </c>
      <c r="N964">
        <v>3.72</v>
      </c>
      <c r="O964">
        <v>12.22</v>
      </c>
      <c r="P964">
        <v>0</v>
      </c>
      <c r="Q964">
        <v>7.7</v>
      </c>
      <c r="R964">
        <v>5.7</v>
      </c>
      <c r="S964">
        <v>1.8</v>
      </c>
      <c r="T964" t="s">
        <v>10</v>
      </c>
      <c r="U964">
        <v>6.7</v>
      </c>
      <c r="V964">
        <v>5</v>
      </c>
      <c r="W964">
        <v>2.2999999999999998</v>
      </c>
      <c r="X964">
        <v>7.9</v>
      </c>
      <c r="Y964">
        <v>7.4</v>
      </c>
      <c r="Z964">
        <v>7.1</v>
      </c>
      <c r="AA964">
        <v>1.4</v>
      </c>
      <c r="AB964" t="s">
        <v>44</v>
      </c>
      <c r="AC964" t="s">
        <v>39</v>
      </c>
      <c r="AD964" t="s">
        <v>45</v>
      </c>
      <c r="AE964" t="str">
        <f t="shared" si="45"/>
        <v>15-19</v>
      </c>
      <c r="AF964" t="str">
        <f t="shared" si="46"/>
        <v>High Usage</v>
      </c>
      <c r="AG964" t="str">
        <f t="shared" si="47"/>
        <v>High Loneliness</v>
      </c>
    </row>
    <row r="965" spans="1:33" x14ac:dyDescent="0.3">
      <c r="A965" t="s">
        <v>1009</v>
      </c>
      <c r="B965">
        <v>36</v>
      </c>
      <c r="C965" t="s">
        <v>32</v>
      </c>
      <c r="D965" t="s">
        <v>47</v>
      </c>
      <c r="E965" t="s">
        <v>37</v>
      </c>
      <c r="F965" t="s">
        <v>4</v>
      </c>
      <c r="G965" t="s">
        <v>5</v>
      </c>
      <c r="H965" t="s">
        <v>28</v>
      </c>
      <c r="I965" t="s">
        <v>19</v>
      </c>
      <c r="J965" t="s">
        <v>20</v>
      </c>
      <c r="K965" t="s">
        <v>1079</v>
      </c>
      <c r="L965">
        <v>1.63</v>
      </c>
      <c r="M965">
        <v>6.9</v>
      </c>
      <c r="N965">
        <v>2.96</v>
      </c>
      <c r="O965">
        <v>6.7</v>
      </c>
      <c r="P965">
        <v>3</v>
      </c>
      <c r="Q965">
        <v>5.3</v>
      </c>
      <c r="R965">
        <v>2.8</v>
      </c>
      <c r="S965">
        <v>8.3000000000000007</v>
      </c>
      <c r="T965" t="s">
        <v>10</v>
      </c>
      <c r="U965">
        <v>7.1</v>
      </c>
      <c r="V965">
        <v>8.1999999999999993</v>
      </c>
      <c r="W965">
        <v>4</v>
      </c>
      <c r="X965">
        <v>2.8</v>
      </c>
      <c r="Y965">
        <v>1</v>
      </c>
      <c r="Z965">
        <v>4.9000000000000004</v>
      </c>
      <c r="AA965">
        <v>5.8</v>
      </c>
      <c r="AB965" t="s">
        <v>11</v>
      </c>
      <c r="AC965" t="s">
        <v>10</v>
      </c>
      <c r="AD965" t="s">
        <v>12</v>
      </c>
      <c r="AE965" t="str">
        <f t="shared" si="45"/>
        <v>35-44</v>
      </c>
      <c r="AF965" t="str">
        <f t="shared" si="46"/>
        <v>Low Usage</v>
      </c>
      <c r="AG965" t="str">
        <f t="shared" si="47"/>
        <v>Moderate Loneliness</v>
      </c>
    </row>
    <row r="966" spans="1:33" x14ac:dyDescent="0.3">
      <c r="A966" t="s">
        <v>1010</v>
      </c>
      <c r="B966">
        <v>15</v>
      </c>
      <c r="C966" t="s">
        <v>32</v>
      </c>
      <c r="D966" t="s">
        <v>47</v>
      </c>
      <c r="E966" t="s">
        <v>15</v>
      </c>
      <c r="F966" t="s">
        <v>4</v>
      </c>
      <c r="G966" t="s">
        <v>17</v>
      </c>
      <c r="H966" t="s">
        <v>28</v>
      </c>
      <c r="I966" t="s">
        <v>7</v>
      </c>
      <c r="J966" t="s">
        <v>8</v>
      </c>
      <c r="K966" t="s">
        <v>25</v>
      </c>
      <c r="L966">
        <v>1.47</v>
      </c>
      <c r="M966">
        <v>3.77</v>
      </c>
      <c r="N966">
        <v>3.74</v>
      </c>
      <c r="O966">
        <v>7.11</v>
      </c>
      <c r="P966">
        <v>1</v>
      </c>
      <c r="Q966">
        <v>7.5</v>
      </c>
      <c r="R966">
        <v>8.1999999999999993</v>
      </c>
      <c r="S966">
        <v>4</v>
      </c>
      <c r="T966" t="s">
        <v>39</v>
      </c>
      <c r="U966">
        <v>6.2</v>
      </c>
      <c r="V966">
        <v>3.8</v>
      </c>
      <c r="W966">
        <v>3.1</v>
      </c>
      <c r="X966">
        <v>7.1</v>
      </c>
      <c r="Y966">
        <v>4.7</v>
      </c>
      <c r="Z966">
        <v>7.7</v>
      </c>
      <c r="AA966">
        <v>4.5999999999999996</v>
      </c>
      <c r="AB966" t="s">
        <v>21</v>
      </c>
      <c r="AC966" t="s">
        <v>10</v>
      </c>
      <c r="AD966" t="s">
        <v>45</v>
      </c>
      <c r="AE966" t="str">
        <f t="shared" si="45"/>
        <v>15-19</v>
      </c>
      <c r="AF966" t="str">
        <f t="shared" si="46"/>
        <v>Low Usage</v>
      </c>
      <c r="AG966" t="str">
        <f t="shared" si="47"/>
        <v>High Loneliness</v>
      </c>
    </row>
    <row r="967" spans="1:33" x14ac:dyDescent="0.3">
      <c r="A967" t="s">
        <v>1011</v>
      </c>
      <c r="B967">
        <v>32</v>
      </c>
      <c r="C967" t="s">
        <v>1</v>
      </c>
      <c r="D967" t="s">
        <v>2</v>
      </c>
      <c r="E967" t="s">
        <v>59</v>
      </c>
      <c r="F967" t="s">
        <v>4</v>
      </c>
      <c r="G967" t="s">
        <v>17</v>
      </c>
      <c r="H967" t="s">
        <v>18</v>
      </c>
      <c r="I967" t="s">
        <v>29</v>
      </c>
      <c r="J967" t="s">
        <v>8</v>
      </c>
      <c r="K967" t="s">
        <v>30</v>
      </c>
      <c r="L967">
        <v>1.1200000000000001</v>
      </c>
      <c r="M967">
        <v>4.7300000000000004</v>
      </c>
      <c r="N967">
        <v>1.7</v>
      </c>
      <c r="O967">
        <v>5.98</v>
      </c>
      <c r="P967">
        <v>5</v>
      </c>
      <c r="Q967">
        <v>2.9</v>
      </c>
      <c r="R967">
        <v>2.4</v>
      </c>
      <c r="S967">
        <v>6.6</v>
      </c>
      <c r="T967" t="s">
        <v>10</v>
      </c>
      <c r="U967">
        <v>8.1999999999999993</v>
      </c>
      <c r="V967">
        <v>9</v>
      </c>
      <c r="W967">
        <v>4</v>
      </c>
      <c r="X967">
        <v>3.2</v>
      </c>
      <c r="Y967">
        <v>2.5</v>
      </c>
      <c r="Z967">
        <v>1.9</v>
      </c>
      <c r="AA967">
        <v>7.8</v>
      </c>
      <c r="AB967" t="s">
        <v>11</v>
      </c>
      <c r="AC967" t="s">
        <v>10</v>
      </c>
      <c r="AD967" t="s">
        <v>12</v>
      </c>
      <c r="AE967" t="str">
        <f t="shared" si="45"/>
        <v>25-34</v>
      </c>
      <c r="AF967" t="str">
        <f t="shared" si="46"/>
        <v>Low Usage</v>
      </c>
      <c r="AG967" t="str">
        <f t="shared" si="47"/>
        <v>Low Loneliness</v>
      </c>
    </row>
    <row r="968" spans="1:33" x14ac:dyDescent="0.3">
      <c r="A968" t="s">
        <v>1012</v>
      </c>
      <c r="B968">
        <v>29</v>
      </c>
      <c r="C968" t="s">
        <v>1</v>
      </c>
      <c r="D968" t="s">
        <v>41</v>
      </c>
      <c r="E968" t="s">
        <v>3</v>
      </c>
      <c r="F968" t="s">
        <v>12</v>
      </c>
      <c r="G968" t="s">
        <v>5</v>
      </c>
      <c r="H968" t="s">
        <v>28</v>
      </c>
      <c r="I968" t="s">
        <v>29</v>
      </c>
      <c r="J968" t="s">
        <v>38</v>
      </c>
      <c r="K968" t="s">
        <v>9</v>
      </c>
      <c r="L968">
        <v>0.84</v>
      </c>
      <c r="M968">
        <v>4.26</v>
      </c>
      <c r="N968">
        <v>1.87</v>
      </c>
      <c r="O968">
        <v>4.34</v>
      </c>
      <c r="P968">
        <v>4</v>
      </c>
      <c r="Q968">
        <v>6.4</v>
      </c>
      <c r="R968">
        <v>5.3</v>
      </c>
      <c r="S968">
        <v>4.0999999999999996</v>
      </c>
      <c r="T968" t="s">
        <v>10</v>
      </c>
      <c r="U968">
        <v>6</v>
      </c>
      <c r="V968">
        <v>6.5</v>
      </c>
      <c r="W968">
        <v>1.8</v>
      </c>
      <c r="X968">
        <v>4.2</v>
      </c>
      <c r="Y968">
        <v>3.9</v>
      </c>
      <c r="Z968">
        <v>4.9000000000000004</v>
      </c>
      <c r="AA968">
        <v>7.7</v>
      </c>
      <c r="AB968" t="s">
        <v>21</v>
      </c>
      <c r="AC968" t="s">
        <v>10</v>
      </c>
      <c r="AD968" t="s">
        <v>22</v>
      </c>
      <c r="AE968" t="str">
        <f t="shared" si="45"/>
        <v>25-34</v>
      </c>
      <c r="AF968" t="str">
        <f t="shared" si="46"/>
        <v>Very Low Usage</v>
      </c>
      <c r="AG968" t="str">
        <f t="shared" si="47"/>
        <v>High Loneliness</v>
      </c>
    </row>
    <row r="969" spans="1:33" x14ac:dyDescent="0.3">
      <c r="A969" t="s">
        <v>1013</v>
      </c>
      <c r="B969">
        <v>31</v>
      </c>
      <c r="C969" t="s">
        <v>1</v>
      </c>
      <c r="D969" t="s">
        <v>14</v>
      </c>
      <c r="E969" t="s">
        <v>15</v>
      </c>
      <c r="F969" t="s">
        <v>4</v>
      </c>
      <c r="G969" t="s">
        <v>17</v>
      </c>
      <c r="H969" t="s">
        <v>28</v>
      </c>
      <c r="I969" t="s">
        <v>19</v>
      </c>
      <c r="J969" t="s">
        <v>8</v>
      </c>
      <c r="K969" t="s">
        <v>1079</v>
      </c>
      <c r="L969">
        <v>0.95</v>
      </c>
      <c r="M969">
        <v>4.49</v>
      </c>
      <c r="N969">
        <v>1.31</v>
      </c>
      <c r="O969">
        <v>4.6500000000000004</v>
      </c>
      <c r="P969">
        <v>4</v>
      </c>
      <c r="Q969">
        <v>5.5</v>
      </c>
      <c r="R969">
        <v>3.9</v>
      </c>
      <c r="S969">
        <v>8.6999999999999993</v>
      </c>
      <c r="T969" t="s">
        <v>10</v>
      </c>
      <c r="U969">
        <v>6.9</v>
      </c>
      <c r="V969">
        <v>6.1</v>
      </c>
      <c r="W969">
        <v>2.7</v>
      </c>
      <c r="X969">
        <v>5.3</v>
      </c>
      <c r="Y969">
        <v>2.9</v>
      </c>
      <c r="Z969">
        <v>4.0999999999999996</v>
      </c>
      <c r="AA969">
        <v>5.9</v>
      </c>
      <c r="AB969" t="s">
        <v>21</v>
      </c>
      <c r="AC969" t="s">
        <v>10</v>
      </c>
      <c r="AD969" t="s">
        <v>12</v>
      </c>
      <c r="AE969" t="str">
        <f t="shared" si="45"/>
        <v>25-34</v>
      </c>
      <c r="AF969" t="str">
        <f t="shared" si="46"/>
        <v>Very Low Usage</v>
      </c>
      <c r="AG969" t="str">
        <f t="shared" si="47"/>
        <v>Moderate Loneliness</v>
      </c>
    </row>
    <row r="970" spans="1:33" x14ac:dyDescent="0.3">
      <c r="A970" t="s">
        <v>1014</v>
      </c>
      <c r="B970">
        <v>25</v>
      </c>
      <c r="C970" t="s">
        <v>1</v>
      </c>
      <c r="D970" t="s">
        <v>14</v>
      </c>
      <c r="E970" t="s">
        <v>37</v>
      </c>
      <c r="F970" t="s">
        <v>4</v>
      </c>
      <c r="G970" t="s">
        <v>17</v>
      </c>
      <c r="H970" t="s">
        <v>33</v>
      </c>
      <c r="I970" t="s">
        <v>35</v>
      </c>
      <c r="J970" t="s">
        <v>48</v>
      </c>
      <c r="K970" t="s">
        <v>1079</v>
      </c>
      <c r="L970">
        <v>0.48</v>
      </c>
      <c r="M970">
        <v>4.9000000000000004</v>
      </c>
      <c r="N970">
        <v>2.6</v>
      </c>
      <c r="O970">
        <v>5.53</v>
      </c>
      <c r="P970">
        <v>5</v>
      </c>
      <c r="Q970">
        <v>3.7</v>
      </c>
      <c r="R970">
        <v>2.1</v>
      </c>
      <c r="S970">
        <v>6.8</v>
      </c>
      <c r="T970" t="s">
        <v>10</v>
      </c>
      <c r="U970">
        <v>8.1999999999999993</v>
      </c>
      <c r="V970">
        <v>9.6999999999999993</v>
      </c>
      <c r="W970">
        <v>4.7</v>
      </c>
      <c r="X970">
        <v>1</v>
      </c>
      <c r="Y970">
        <v>1.2</v>
      </c>
      <c r="Z970">
        <v>5.0999999999999996</v>
      </c>
      <c r="AA970">
        <v>8.1</v>
      </c>
      <c r="AB970" t="s">
        <v>11</v>
      </c>
      <c r="AC970" t="s">
        <v>10</v>
      </c>
      <c r="AD970" t="s">
        <v>12</v>
      </c>
      <c r="AE970" t="str">
        <f t="shared" si="45"/>
        <v>25-34</v>
      </c>
      <c r="AF970" t="str">
        <f t="shared" si="46"/>
        <v>Very Low Usage</v>
      </c>
      <c r="AG970" t="str">
        <f t="shared" si="47"/>
        <v>Moderate Loneliness</v>
      </c>
    </row>
    <row r="971" spans="1:33" x14ac:dyDescent="0.3">
      <c r="A971" t="s">
        <v>1015</v>
      </c>
      <c r="B971">
        <v>35</v>
      </c>
      <c r="C971" t="s">
        <v>32</v>
      </c>
      <c r="D971" t="s">
        <v>58</v>
      </c>
      <c r="E971" t="s">
        <v>59</v>
      </c>
      <c r="F971" t="s">
        <v>16</v>
      </c>
      <c r="G971" t="s">
        <v>5</v>
      </c>
      <c r="H971" t="s">
        <v>33</v>
      </c>
      <c r="I971" t="s">
        <v>19</v>
      </c>
      <c r="J971" t="s">
        <v>8</v>
      </c>
      <c r="K971" t="s">
        <v>53</v>
      </c>
      <c r="L971">
        <v>0.08</v>
      </c>
      <c r="M971">
        <v>6.04</v>
      </c>
      <c r="N971">
        <v>0.34</v>
      </c>
      <c r="O971">
        <v>1.45</v>
      </c>
      <c r="P971">
        <v>7</v>
      </c>
      <c r="Q971">
        <v>2.1</v>
      </c>
      <c r="R971">
        <v>1</v>
      </c>
      <c r="S971">
        <v>9.8000000000000007</v>
      </c>
      <c r="T971" t="s">
        <v>10</v>
      </c>
      <c r="U971">
        <v>7.3</v>
      </c>
      <c r="V971">
        <v>10</v>
      </c>
      <c r="W971">
        <v>5.4</v>
      </c>
      <c r="X971">
        <v>1.8</v>
      </c>
      <c r="Y971">
        <v>1.7</v>
      </c>
      <c r="Z971">
        <v>2.2000000000000002</v>
      </c>
      <c r="AA971">
        <v>8.5</v>
      </c>
      <c r="AB971" t="s">
        <v>11</v>
      </c>
      <c r="AC971" t="s">
        <v>10</v>
      </c>
      <c r="AD971" t="s">
        <v>12</v>
      </c>
      <c r="AE971" t="str">
        <f t="shared" si="45"/>
        <v>35-44</v>
      </c>
      <c r="AF971" t="str">
        <f t="shared" si="46"/>
        <v>Very Low Usage</v>
      </c>
      <c r="AG971" t="str">
        <f t="shared" si="47"/>
        <v>Low Loneliness</v>
      </c>
    </row>
    <row r="972" spans="1:33" x14ac:dyDescent="0.3">
      <c r="A972" t="s">
        <v>1016</v>
      </c>
      <c r="B972">
        <v>40</v>
      </c>
      <c r="C972" t="s">
        <v>32</v>
      </c>
      <c r="D972" t="s">
        <v>2</v>
      </c>
      <c r="E972" t="s">
        <v>37</v>
      </c>
      <c r="F972" t="s">
        <v>12</v>
      </c>
      <c r="G972" t="s">
        <v>17</v>
      </c>
      <c r="H972" t="s">
        <v>6</v>
      </c>
      <c r="I972" t="s">
        <v>29</v>
      </c>
      <c r="J972" t="s">
        <v>20</v>
      </c>
      <c r="K972" t="s">
        <v>30</v>
      </c>
      <c r="L972">
        <v>2.72</v>
      </c>
      <c r="M972">
        <v>3.15</v>
      </c>
      <c r="N972">
        <v>4.25</v>
      </c>
      <c r="O972">
        <v>9.35</v>
      </c>
      <c r="P972">
        <v>3</v>
      </c>
      <c r="Q972">
        <v>6.3</v>
      </c>
      <c r="R972">
        <v>7.7</v>
      </c>
      <c r="S972">
        <v>2.2999999999999998</v>
      </c>
      <c r="T972" t="s">
        <v>10</v>
      </c>
      <c r="U972">
        <v>3</v>
      </c>
      <c r="V972">
        <v>4.2</v>
      </c>
      <c r="W972">
        <v>0.4</v>
      </c>
      <c r="X972">
        <v>7.8</v>
      </c>
      <c r="Y972">
        <v>8</v>
      </c>
      <c r="Z972">
        <v>4.3</v>
      </c>
      <c r="AA972">
        <v>5.3</v>
      </c>
      <c r="AB972" t="s">
        <v>44</v>
      </c>
      <c r="AC972" t="s">
        <v>10</v>
      </c>
      <c r="AD972" t="s">
        <v>45</v>
      </c>
      <c r="AE972" t="str">
        <f t="shared" si="45"/>
        <v>35-44</v>
      </c>
      <c r="AF972" t="str">
        <f t="shared" si="46"/>
        <v>Moderate Usage</v>
      </c>
      <c r="AG972" t="str">
        <f t="shared" si="47"/>
        <v>High Loneliness</v>
      </c>
    </row>
    <row r="973" spans="1:33" x14ac:dyDescent="0.3">
      <c r="A973" t="s">
        <v>1017</v>
      </c>
      <c r="B973">
        <v>39</v>
      </c>
      <c r="C973" t="s">
        <v>32</v>
      </c>
      <c r="D973" t="s">
        <v>58</v>
      </c>
      <c r="E973" t="s">
        <v>15</v>
      </c>
      <c r="F973" t="s">
        <v>4</v>
      </c>
      <c r="G973" t="s">
        <v>17</v>
      </c>
      <c r="H973" t="s">
        <v>6</v>
      </c>
      <c r="I973" t="s">
        <v>24</v>
      </c>
      <c r="J973" t="s">
        <v>38</v>
      </c>
      <c r="K973" t="s">
        <v>1079</v>
      </c>
      <c r="L973">
        <v>0.23</v>
      </c>
      <c r="M973">
        <v>4.05</v>
      </c>
      <c r="N973">
        <v>1.27</v>
      </c>
      <c r="O973">
        <v>5.68</v>
      </c>
      <c r="P973">
        <v>5</v>
      </c>
      <c r="Q973">
        <v>4.2</v>
      </c>
      <c r="R973">
        <v>5.4</v>
      </c>
      <c r="S973">
        <v>10</v>
      </c>
      <c r="T973" t="s">
        <v>10</v>
      </c>
      <c r="U973">
        <v>8.8000000000000007</v>
      </c>
      <c r="V973">
        <v>8.4</v>
      </c>
      <c r="W973">
        <v>5.9</v>
      </c>
      <c r="X973">
        <v>2.4</v>
      </c>
      <c r="Y973">
        <v>2</v>
      </c>
      <c r="Z973">
        <v>4.2</v>
      </c>
      <c r="AA973">
        <v>6.5</v>
      </c>
      <c r="AB973" t="s">
        <v>11</v>
      </c>
      <c r="AC973" t="s">
        <v>10</v>
      </c>
      <c r="AD973" t="s">
        <v>12</v>
      </c>
      <c r="AE973" t="str">
        <f t="shared" si="45"/>
        <v>35-44</v>
      </c>
      <c r="AF973" t="str">
        <f t="shared" si="46"/>
        <v>Very Low Usage</v>
      </c>
      <c r="AG973" t="str">
        <f t="shared" si="47"/>
        <v>Moderate Loneliness</v>
      </c>
    </row>
    <row r="974" spans="1:33" x14ac:dyDescent="0.3">
      <c r="A974" t="s">
        <v>1018</v>
      </c>
      <c r="B974">
        <v>36</v>
      </c>
      <c r="C974" t="s">
        <v>32</v>
      </c>
      <c r="D974" t="s">
        <v>58</v>
      </c>
      <c r="E974" t="s">
        <v>3</v>
      </c>
      <c r="F974" t="s">
        <v>45</v>
      </c>
      <c r="G974" t="s">
        <v>5</v>
      </c>
      <c r="H974" t="s">
        <v>33</v>
      </c>
      <c r="I974" t="s">
        <v>35</v>
      </c>
      <c r="J974" t="s">
        <v>8</v>
      </c>
      <c r="K974" t="s">
        <v>53</v>
      </c>
      <c r="L974">
        <v>1.45</v>
      </c>
      <c r="M974">
        <v>2.66</v>
      </c>
      <c r="N974">
        <v>1.1499999999999999</v>
      </c>
      <c r="O974">
        <v>5.73</v>
      </c>
      <c r="P974">
        <v>3</v>
      </c>
      <c r="Q974">
        <v>6.1</v>
      </c>
      <c r="R974">
        <v>4.3</v>
      </c>
      <c r="S974">
        <v>6.7</v>
      </c>
      <c r="T974" t="s">
        <v>10</v>
      </c>
      <c r="U974">
        <v>7.2</v>
      </c>
      <c r="V974">
        <v>7.8</v>
      </c>
      <c r="W974">
        <v>4.8</v>
      </c>
      <c r="X974">
        <v>3.9</v>
      </c>
      <c r="Y974">
        <v>3</v>
      </c>
      <c r="Z974">
        <v>2.2000000000000002</v>
      </c>
      <c r="AA974">
        <v>7.9</v>
      </c>
      <c r="AB974" t="s">
        <v>21</v>
      </c>
      <c r="AC974" t="s">
        <v>10</v>
      </c>
      <c r="AD974" t="s">
        <v>12</v>
      </c>
      <c r="AE974" t="str">
        <f t="shared" si="45"/>
        <v>35-44</v>
      </c>
      <c r="AF974" t="str">
        <f t="shared" si="46"/>
        <v>Low Usage</v>
      </c>
      <c r="AG974" t="str">
        <f t="shared" si="47"/>
        <v>High Loneliness</v>
      </c>
    </row>
    <row r="975" spans="1:33" x14ac:dyDescent="0.3">
      <c r="A975" t="s">
        <v>1019</v>
      </c>
      <c r="B975">
        <v>41</v>
      </c>
      <c r="C975" t="s">
        <v>32</v>
      </c>
      <c r="D975" t="s">
        <v>14</v>
      </c>
      <c r="E975" t="s">
        <v>37</v>
      </c>
      <c r="F975" t="s">
        <v>12</v>
      </c>
      <c r="G975" t="s">
        <v>17</v>
      </c>
      <c r="H975" t="s">
        <v>28</v>
      </c>
      <c r="I975" t="s">
        <v>7</v>
      </c>
      <c r="J975" t="s">
        <v>8</v>
      </c>
      <c r="K975" t="s">
        <v>1079</v>
      </c>
      <c r="L975">
        <v>1.01</v>
      </c>
      <c r="M975">
        <v>2.73</v>
      </c>
      <c r="N975">
        <v>2.3199999999999998</v>
      </c>
      <c r="O975">
        <v>4.49</v>
      </c>
      <c r="P975">
        <v>7</v>
      </c>
      <c r="Q975">
        <v>2.8</v>
      </c>
      <c r="R975">
        <v>1.8</v>
      </c>
      <c r="S975">
        <v>6.7</v>
      </c>
      <c r="T975" t="s">
        <v>10</v>
      </c>
      <c r="U975">
        <v>6.4</v>
      </c>
      <c r="V975">
        <v>10</v>
      </c>
      <c r="W975">
        <v>4</v>
      </c>
      <c r="X975">
        <v>1.9</v>
      </c>
      <c r="Y975">
        <v>2.1</v>
      </c>
      <c r="Z975">
        <v>4.3</v>
      </c>
      <c r="AA975">
        <v>7.1</v>
      </c>
      <c r="AB975" t="s">
        <v>21</v>
      </c>
      <c r="AC975" t="s">
        <v>10</v>
      </c>
      <c r="AD975" t="s">
        <v>12</v>
      </c>
      <c r="AE975" t="str">
        <f t="shared" si="45"/>
        <v>35-44</v>
      </c>
      <c r="AF975" t="str">
        <f t="shared" si="46"/>
        <v>Low Usage</v>
      </c>
      <c r="AG975" t="str">
        <f t="shared" si="47"/>
        <v>Low Loneliness</v>
      </c>
    </row>
    <row r="976" spans="1:33" x14ac:dyDescent="0.3">
      <c r="A976" t="s">
        <v>1020</v>
      </c>
      <c r="B976">
        <v>41</v>
      </c>
      <c r="C976" t="s">
        <v>32</v>
      </c>
      <c r="D976" t="s">
        <v>58</v>
      </c>
      <c r="E976" t="s">
        <v>3</v>
      </c>
      <c r="F976" t="s">
        <v>4</v>
      </c>
      <c r="G976" t="s">
        <v>43</v>
      </c>
      <c r="H976" t="s">
        <v>33</v>
      </c>
      <c r="I976" t="s">
        <v>254</v>
      </c>
      <c r="J976" t="s">
        <v>48</v>
      </c>
      <c r="K976" t="s">
        <v>1079</v>
      </c>
      <c r="L976">
        <v>0.36</v>
      </c>
      <c r="M976">
        <v>5.17</v>
      </c>
      <c r="N976">
        <v>1.5</v>
      </c>
      <c r="O976">
        <v>6.2</v>
      </c>
      <c r="P976">
        <v>4</v>
      </c>
      <c r="Q976">
        <v>2.1</v>
      </c>
      <c r="R976">
        <v>5.6</v>
      </c>
      <c r="S976">
        <v>7.3</v>
      </c>
      <c r="T976" t="s">
        <v>39</v>
      </c>
      <c r="U976">
        <v>8</v>
      </c>
      <c r="V976">
        <v>6.8</v>
      </c>
      <c r="W976">
        <v>4.0999999999999996</v>
      </c>
      <c r="X976">
        <v>3</v>
      </c>
      <c r="Y976">
        <v>6.1</v>
      </c>
      <c r="Z976">
        <v>7.7</v>
      </c>
      <c r="AA976">
        <v>8.4</v>
      </c>
      <c r="AB976" t="s">
        <v>21</v>
      </c>
      <c r="AC976" t="s">
        <v>39</v>
      </c>
      <c r="AD976" t="s">
        <v>12</v>
      </c>
      <c r="AE976" t="str">
        <f t="shared" si="45"/>
        <v>35-44</v>
      </c>
      <c r="AF976" t="str">
        <f t="shared" si="46"/>
        <v>Very Low Usage</v>
      </c>
      <c r="AG976" t="str">
        <f t="shared" si="47"/>
        <v>Low Loneliness</v>
      </c>
    </row>
    <row r="977" spans="1:33" x14ac:dyDescent="0.3">
      <c r="A977" t="s">
        <v>1021</v>
      </c>
      <c r="B977">
        <v>31</v>
      </c>
      <c r="C977" t="s">
        <v>27</v>
      </c>
      <c r="D977" t="s">
        <v>2</v>
      </c>
      <c r="E977" t="s">
        <v>59</v>
      </c>
      <c r="F977" t="s">
        <v>12</v>
      </c>
      <c r="G977" t="s">
        <v>43</v>
      </c>
      <c r="H977" t="s">
        <v>6</v>
      </c>
      <c r="I977" t="s">
        <v>29</v>
      </c>
      <c r="J977" t="s">
        <v>48</v>
      </c>
      <c r="K977" t="s">
        <v>53</v>
      </c>
      <c r="L977">
        <v>2.2200000000000002</v>
      </c>
      <c r="M977">
        <v>2.97</v>
      </c>
      <c r="N977">
        <v>1.59</v>
      </c>
      <c r="O977">
        <v>6.5</v>
      </c>
      <c r="P977">
        <v>6</v>
      </c>
      <c r="Q977">
        <v>4.3</v>
      </c>
      <c r="R977">
        <v>2.4</v>
      </c>
      <c r="S977">
        <v>8</v>
      </c>
      <c r="T977" t="s">
        <v>10</v>
      </c>
      <c r="U977">
        <v>7.2</v>
      </c>
      <c r="V977">
        <v>6</v>
      </c>
      <c r="W977">
        <v>3</v>
      </c>
      <c r="X977">
        <v>3.8</v>
      </c>
      <c r="Y977">
        <v>3</v>
      </c>
      <c r="Z977">
        <v>5.8</v>
      </c>
      <c r="AA977">
        <v>7.2</v>
      </c>
      <c r="AB977" t="s">
        <v>21</v>
      </c>
      <c r="AC977" t="s">
        <v>10</v>
      </c>
      <c r="AD977" t="s">
        <v>12</v>
      </c>
      <c r="AE977" t="str">
        <f t="shared" si="45"/>
        <v>25-34</v>
      </c>
      <c r="AF977" t="str">
        <f t="shared" si="46"/>
        <v>Low Usage</v>
      </c>
      <c r="AG977" t="str">
        <f t="shared" si="47"/>
        <v>Moderate Loneliness</v>
      </c>
    </row>
    <row r="978" spans="1:33" x14ac:dyDescent="0.3">
      <c r="A978" t="s">
        <v>1022</v>
      </c>
      <c r="B978">
        <v>27</v>
      </c>
      <c r="C978" t="s">
        <v>1</v>
      </c>
      <c r="D978" t="s">
        <v>2</v>
      </c>
      <c r="E978" t="s">
        <v>15</v>
      </c>
      <c r="F978" t="s">
        <v>16</v>
      </c>
      <c r="G978" t="s">
        <v>5</v>
      </c>
      <c r="H978" t="s">
        <v>33</v>
      </c>
      <c r="I978" t="s">
        <v>29</v>
      </c>
      <c r="J978" t="s">
        <v>48</v>
      </c>
      <c r="K978" t="s">
        <v>30</v>
      </c>
      <c r="L978">
        <v>2.65</v>
      </c>
      <c r="M978">
        <v>3.06</v>
      </c>
      <c r="N978">
        <v>2.5299999999999998</v>
      </c>
      <c r="O978">
        <v>7.6</v>
      </c>
      <c r="P978">
        <v>2</v>
      </c>
      <c r="Q978">
        <v>7.9</v>
      </c>
      <c r="R978">
        <v>9.6</v>
      </c>
      <c r="S978">
        <v>4</v>
      </c>
      <c r="T978" t="s">
        <v>10</v>
      </c>
      <c r="U978">
        <v>5.2</v>
      </c>
      <c r="V978">
        <v>4.9000000000000004</v>
      </c>
      <c r="W978">
        <v>3.7</v>
      </c>
      <c r="X978">
        <v>10</v>
      </c>
      <c r="Y978">
        <v>8.6</v>
      </c>
      <c r="Z978">
        <v>7.5</v>
      </c>
      <c r="AA978">
        <v>3.8</v>
      </c>
      <c r="AB978" t="s">
        <v>21</v>
      </c>
      <c r="AC978" t="s">
        <v>10</v>
      </c>
      <c r="AD978" t="s">
        <v>45</v>
      </c>
      <c r="AE978" t="str">
        <f t="shared" si="45"/>
        <v>25-34</v>
      </c>
      <c r="AF978" t="str">
        <f t="shared" si="46"/>
        <v>Moderate Usage</v>
      </c>
      <c r="AG978" t="str">
        <f t="shared" si="47"/>
        <v>High Loneliness</v>
      </c>
    </row>
    <row r="979" spans="1:33" x14ac:dyDescent="0.3">
      <c r="A979" t="s">
        <v>1023</v>
      </c>
      <c r="B979">
        <v>15</v>
      </c>
      <c r="C979" t="s">
        <v>1</v>
      </c>
      <c r="D979" t="s">
        <v>2</v>
      </c>
      <c r="E979" t="s">
        <v>15</v>
      </c>
      <c r="F979" t="s">
        <v>4</v>
      </c>
      <c r="G979" t="s">
        <v>17</v>
      </c>
      <c r="H979" t="s">
        <v>18</v>
      </c>
      <c r="I979" t="s">
        <v>24</v>
      </c>
      <c r="J979" t="s">
        <v>8</v>
      </c>
      <c r="K979" t="s">
        <v>30</v>
      </c>
      <c r="L979">
        <v>1.5</v>
      </c>
      <c r="M979">
        <v>3.5</v>
      </c>
      <c r="N979">
        <v>1.42</v>
      </c>
      <c r="O979">
        <v>4.82</v>
      </c>
      <c r="P979">
        <v>7</v>
      </c>
      <c r="Q979">
        <v>1.8</v>
      </c>
      <c r="R979">
        <v>1.6</v>
      </c>
      <c r="S979">
        <v>6.8</v>
      </c>
      <c r="T979" t="s">
        <v>10</v>
      </c>
      <c r="U979">
        <v>7.7</v>
      </c>
      <c r="V979">
        <v>7.6</v>
      </c>
      <c r="W979">
        <v>7.8</v>
      </c>
      <c r="X979">
        <v>4.0999999999999996</v>
      </c>
      <c r="Y979">
        <v>3.6</v>
      </c>
      <c r="Z979">
        <v>3.2</v>
      </c>
      <c r="AA979">
        <v>6.2</v>
      </c>
      <c r="AB979" t="s">
        <v>21</v>
      </c>
      <c r="AC979" t="s">
        <v>39</v>
      </c>
      <c r="AD979" t="s">
        <v>12</v>
      </c>
      <c r="AE979" t="str">
        <f t="shared" si="45"/>
        <v>15-19</v>
      </c>
      <c r="AF979" t="str">
        <f t="shared" si="46"/>
        <v>Low Usage</v>
      </c>
      <c r="AG979" t="str">
        <f t="shared" si="47"/>
        <v>Low Loneliness</v>
      </c>
    </row>
    <row r="980" spans="1:33" x14ac:dyDescent="0.3">
      <c r="A980" t="s">
        <v>1024</v>
      </c>
      <c r="B980">
        <v>16</v>
      </c>
      <c r="C980" t="s">
        <v>1</v>
      </c>
      <c r="D980" t="s">
        <v>58</v>
      </c>
      <c r="E980" t="s">
        <v>59</v>
      </c>
      <c r="F980" t="s">
        <v>4</v>
      </c>
      <c r="G980" t="s">
        <v>43</v>
      </c>
      <c r="H980" t="s">
        <v>28</v>
      </c>
      <c r="I980" t="s">
        <v>7</v>
      </c>
      <c r="J980" t="s">
        <v>8</v>
      </c>
      <c r="K980" t="s">
        <v>53</v>
      </c>
      <c r="L980">
        <v>4.09</v>
      </c>
      <c r="M980">
        <v>0.98</v>
      </c>
      <c r="N980">
        <v>4.24</v>
      </c>
      <c r="O980">
        <v>11.01</v>
      </c>
      <c r="P980">
        <v>3</v>
      </c>
      <c r="Q980">
        <v>9.5</v>
      </c>
      <c r="R980">
        <v>8.9</v>
      </c>
      <c r="S980">
        <v>3.1</v>
      </c>
      <c r="T980" t="s">
        <v>39</v>
      </c>
      <c r="U980">
        <v>5.8</v>
      </c>
      <c r="V980">
        <v>3.5</v>
      </c>
      <c r="W980">
        <v>1</v>
      </c>
      <c r="X980">
        <v>6.9</v>
      </c>
      <c r="Y980">
        <v>7.5</v>
      </c>
      <c r="Z980">
        <v>9.4</v>
      </c>
      <c r="AA980">
        <v>5.3</v>
      </c>
      <c r="AB980" t="s">
        <v>44</v>
      </c>
      <c r="AC980" t="s">
        <v>39</v>
      </c>
      <c r="AD980" t="s">
        <v>45</v>
      </c>
      <c r="AE980" t="str">
        <f t="shared" si="45"/>
        <v>15-19</v>
      </c>
      <c r="AF980" t="str">
        <f t="shared" si="46"/>
        <v>High Usage</v>
      </c>
      <c r="AG980" t="str">
        <f t="shared" si="47"/>
        <v>High Loneliness</v>
      </c>
    </row>
    <row r="981" spans="1:33" x14ac:dyDescent="0.3">
      <c r="A981" t="s">
        <v>1025</v>
      </c>
      <c r="B981">
        <v>23</v>
      </c>
      <c r="C981" t="s">
        <v>32</v>
      </c>
      <c r="D981" t="s">
        <v>14</v>
      </c>
      <c r="E981" t="s">
        <v>3</v>
      </c>
      <c r="F981" t="s">
        <v>4</v>
      </c>
      <c r="G981" t="s">
        <v>43</v>
      </c>
      <c r="H981" t="s">
        <v>6</v>
      </c>
      <c r="I981" t="s">
        <v>29</v>
      </c>
      <c r="J981" t="s">
        <v>38</v>
      </c>
      <c r="K981" t="s">
        <v>1079</v>
      </c>
      <c r="L981">
        <v>3.47</v>
      </c>
      <c r="M981">
        <v>2.0299999999999998</v>
      </c>
      <c r="N981">
        <v>3.35</v>
      </c>
      <c r="O981">
        <v>8.93</v>
      </c>
      <c r="P981">
        <v>4</v>
      </c>
      <c r="Q981">
        <v>8.1</v>
      </c>
      <c r="R981">
        <v>9.1</v>
      </c>
      <c r="S981">
        <v>3.5</v>
      </c>
      <c r="T981" t="s">
        <v>39</v>
      </c>
      <c r="U981">
        <v>5.7</v>
      </c>
      <c r="V981">
        <v>4.4000000000000004</v>
      </c>
      <c r="W981">
        <v>4.5</v>
      </c>
      <c r="X981">
        <v>7.7</v>
      </c>
      <c r="Y981">
        <v>5.6</v>
      </c>
      <c r="Z981">
        <v>7.7</v>
      </c>
      <c r="AA981">
        <v>5</v>
      </c>
      <c r="AB981" t="s">
        <v>21</v>
      </c>
      <c r="AC981" t="s">
        <v>39</v>
      </c>
      <c r="AD981" t="s">
        <v>45</v>
      </c>
      <c r="AE981" t="str">
        <f t="shared" si="45"/>
        <v>20-24</v>
      </c>
      <c r="AF981" t="str">
        <f t="shared" si="46"/>
        <v>Moderate Usage</v>
      </c>
      <c r="AG981" t="str">
        <f t="shared" si="47"/>
        <v>High Loneliness</v>
      </c>
    </row>
    <row r="982" spans="1:33" x14ac:dyDescent="0.3">
      <c r="A982" t="s">
        <v>1026</v>
      </c>
      <c r="B982">
        <v>17</v>
      </c>
      <c r="C982" t="s">
        <v>32</v>
      </c>
      <c r="D982" t="s">
        <v>2</v>
      </c>
      <c r="E982" t="s">
        <v>37</v>
      </c>
      <c r="F982" t="s">
        <v>45</v>
      </c>
      <c r="G982" t="s">
        <v>43</v>
      </c>
      <c r="H982" t="s">
        <v>33</v>
      </c>
      <c r="I982" t="s">
        <v>29</v>
      </c>
      <c r="J982" t="s">
        <v>38</v>
      </c>
      <c r="K982" t="s">
        <v>25</v>
      </c>
      <c r="L982">
        <v>0.38</v>
      </c>
      <c r="M982">
        <v>4.72</v>
      </c>
      <c r="N982">
        <v>2.84</v>
      </c>
      <c r="O982">
        <v>5.25</v>
      </c>
      <c r="P982">
        <v>4</v>
      </c>
      <c r="Q982">
        <v>2.2000000000000002</v>
      </c>
      <c r="R982">
        <v>2.2999999999999998</v>
      </c>
      <c r="S982">
        <v>6.9</v>
      </c>
      <c r="T982" t="s">
        <v>10</v>
      </c>
      <c r="U982">
        <v>6.6</v>
      </c>
      <c r="V982">
        <v>5.4</v>
      </c>
      <c r="W982">
        <v>3.3</v>
      </c>
      <c r="X982">
        <v>4.2</v>
      </c>
      <c r="Y982">
        <v>3.9</v>
      </c>
      <c r="Z982">
        <v>3.9</v>
      </c>
      <c r="AA982">
        <v>7.5</v>
      </c>
      <c r="AB982" t="s">
        <v>21</v>
      </c>
      <c r="AC982" t="s">
        <v>10</v>
      </c>
      <c r="AD982" t="s">
        <v>12</v>
      </c>
      <c r="AE982" t="str">
        <f t="shared" si="45"/>
        <v>15-19</v>
      </c>
      <c r="AF982" t="str">
        <f t="shared" si="46"/>
        <v>Very Low Usage</v>
      </c>
      <c r="AG982" t="str">
        <f t="shared" si="47"/>
        <v>Low Loneliness</v>
      </c>
    </row>
    <row r="983" spans="1:33" x14ac:dyDescent="0.3">
      <c r="A983" t="s">
        <v>1027</v>
      </c>
      <c r="B983">
        <v>15</v>
      </c>
      <c r="C983" t="s">
        <v>1</v>
      </c>
      <c r="D983" t="s">
        <v>2</v>
      </c>
      <c r="E983" t="s">
        <v>3</v>
      </c>
      <c r="F983" t="s">
        <v>12</v>
      </c>
      <c r="G983" t="s">
        <v>17</v>
      </c>
      <c r="H983" t="s">
        <v>6</v>
      </c>
      <c r="I983" t="s">
        <v>24</v>
      </c>
      <c r="J983" t="s">
        <v>20</v>
      </c>
      <c r="K983" t="s">
        <v>1079</v>
      </c>
      <c r="L983">
        <v>0.54</v>
      </c>
      <c r="M983">
        <v>2.36</v>
      </c>
      <c r="N983">
        <v>2.97</v>
      </c>
      <c r="O983">
        <v>5.37</v>
      </c>
      <c r="P983">
        <v>3</v>
      </c>
      <c r="Q983">
        <v>8</v>
      </c>
      <c r="R983">
        <v>5.4</v>
      </c>
      <c r="S983">
        <v>4.3</v>
      </c>
      <c r="T983" t="s">
        <v>10</v>
      </c>
      <c r="U983">
        <v>5.9</v>
      </c>
      <c r="V983">
        <v>6.2</v>
      </c>
      <c r="W983">
        <v>2.8</v>
      </c>
      <c r="X983">
        <v>3.1</v>
      </c>
      <c r="Y983">
        <v>3.7</v>
      </c>
      <c r="Z983">
        <v>4.9000000000000004</v>
      </c>
      <c r="AA983">
        <v>5.7</v>
      </c>
      <c r="AB983" t="s">
        <v>21</v>
      </c>
      <c r="AC983" t="s">
        <v>10</v>
      </c>
      <c r="AD983" t="s">
        <v>22</v>
      </c>
      <c r="AE983" t="str">
        <f t="shared" si="45"/>
        <v>15-19</v>
      </c>
      <c r="AF983" t="str">
        <f t="shared" si="46"/>
        <v>Very Low Usage</v>
      </c>
      <c r="AG983" t="str">
        <f t="shared" si="47"/>
        <v>High Loneliness</v>
      </c>
    </row>
    <row r="984" spans="1:33" x14ac:dyDescent="0.3">
      <c r="A984" t="s">
        <v>1028</v>
      </c>
      <c r="B984">
        <v>35</v>
      </c>
      <c r="C984" t="s">
        <v>27</v>
      </c>
      <c r="D984" t="s">
        <v>47</v>
      </c>
      <c r="E984" t="s">
        <v>3</v>
      </c>
      <c r="F984" t="s">
        <v>12</v>
      </c>
      <c r="G984" t="s">
        <v>5</v>
      </c>
      <c r="H984" t="s">
        <v>28</v>
      </c>
      <c r="I984" t="s">
        <v>29</v>
      </c>
      <c r="J984" t="s">
        <v>51</v>
      </c>
      <c r="K984" t="s">
        <v>1079</v>
      </c>
      <c r="L984">
        <v>2.16</v>
      </c>
      <c r="M984">
        <v>2.81</v>
      </c>
      <c r="N984">
        <v>6.11</v>
      </c>
      <c r="O984">
        <v>11.24</v>
      </c>
      <c r="P984">
        <v>5</v>
      </c>
      <c r="Q984">
        <v>7</v>
      </c>
      <c r="R984">
        <v>7.1</v>
      </c>
      <c r="S984">
        <v>3.1</v>
      </c>
      <c r="T984" t="s">
        <v>39</v>
      </c>
      <c r="U984">
        <v>7.3</v>
      </c>
      <c r="V984">
        <v>5.0999999999999996</v>
      </c>
      <c r="W984">
        <v>5.5</v>
      </c>
      <c r="X984">
        <v>5.2</v>
      </c>
      <c r="Y984">
        <v>4.5999999999999996</v>
      </c>
      <c r="Z984">
        <v>4.8</v>
      </c>
      <c r="AA984">
        <v>4.2</v>
      </c>
      <c r="AB984" t="s">
        <v>21</v>
      </c>
      <c r="AC984" t="s">
        <v>10</v>
      </c>
      <c r="AD984" t="s">
        <v>45</v>
      </c>
      <c r="AE984" t="str">
        <f t="shared" si="45"/>
        <v>35-44</v>
      </c>
      <c r="AF984" t="str">
        <f t="shared" si="46"/>
        <v>Low Usage</v>
      </c>
      <c r="AG984" t="str">
        <f t="shared" si="47"/>
        <v>High Loneliness</v>
      </c>
    </row>
    <row r="985" spans="1:33" x14ac:dyDescent="0.3">
      <c r="A985" t="s">
        <v>1029</v>
      </c>
      <c r="B985">
        <v>30</v>
      </c>
      <c r="C985" t="s">
        <v>1</v>
      </c>
      <c r="D985" t="s">
        <v>2</v>
      </c>
      <c r="E985" t="s">
        <v>3</v>
      </c>
      <c r="F985" t="s">
        <v>16</v>
      </c>
      <c r="G985" t="s">
        <v>43</v>
      </c>
      <c r="H985" t="s">
        <v>28</v>
      </c>
      <c r="I985" t="s">
        <v>19</v>
      </c>
      <c r="J985" t="s">
        <v>20</v>
      </c>
      <c r="K985" t="s">
        <v>1079</v>
      </c>
      <c r="L985">
        <v>2.58</v>
      </c>
      <c r="M985">
        <v>3.05</v>
      </c>
      <c r="N985">
        <v>3.77</v>
      </c>
      <c r="O985">
        <v>9.2100000000000009</v>
      </c>
      <c r="P985">
        <v>3</v>
      </c>
      <c r="Q985">
        <v>4.5999999999999996</v>
      </c>
      <c r="R985">
        <v>3.8</v>
      </c>
      <c r="S985">
        <v>5</v>
      </c>
      <c r="T985" t="s">
        <v>10</v>
      </c>
      <c r="U985">
        <v>5.3</v>
      </c>
      <c r="V985">
        <v>4.5999999999999996</v>
      </c>
      <c r="W985">
        <v>2.8</v>
      </c>
      <c r="X985">
        <v>6</v>
      </c>
      <c r="Y985">
        <v>6.6</v>
      </c>
      <c r="Z985">
        <v>6.9</v>
      </c>
      <c r="AA985">
        <v>5.2</v>
      </c>
      <c r="AB985" t="s">
        <v>44</v>
      </c>
      <c r="AC985" t="s">
        <v>39</v>
      </c>
      <c r="AD985" t="s">
        <v>22</v>
      </c>
      <c r="AE985" t="str">
        <f t="shared" si="45"/>
        <v>25-34</v>
      </c>
      <c r="AF985" t="str">
        <f t="shared" si="46"/>
        <v>Moderate Usage</v>
      </c>
      <c r="AG985" t="str">
        <f t="shared" si="47"/>
        <v>Moderate Loneliness</v>
      </c>
    </row>
    <row r="986" spans="1:33" x14ac:dyDescent="0.3">
      <c r="A986" t="s">
        <v>1030</v>
      </c>
      <c r="B986">
        <v>37</v>
      </c>
      <c r="C986" t="s">
        <v>27</v>
      </c>
      <c r="D986" t="s">
        <v>14</v>
      </c>
      <c r="E986" t="s">
        <v>37</v>
      </c>
      <c r="F986" t="s">
        <v>4</v>
      </c>
      <c r="G986" t="s">
        <v>5</v>
      </c>
      <c r="H986" t="s">
        <v>28</v>
      </c>
      <c r="I986" t="s">
        <v>19</v>
      </c>
      <c r="J986" t="s">
        <v>20</v>
      </c>
      <c r="K986" t="s">
        <v>30</v>
      </c>
      <c r="L986">
        <v>1.96</v>
      </c>
      <c r="M986">
        <v>1.76</v>
      </c>
      <c r="N986">
        <v>1.7</v>
      </c>
      <c r="O986">
        <v>5.51</v>
      </c>
      <c r="P986">
        <v>3</v>
      </c>
      <c r="Q986">
        <v>8.1</v>
      </c>
      <c r="R986">
        <v>7.9</v>
      </c>
      <c r="S986">
        <v>4.9000000000000004</v>
      </c>
      <c r="T986" t="s">
        <v>39</v>
      </c>
      <c r="U986">
        <v>5.6</v>
      </c>
      <c r="V986">
        <v>4.3</v>
      </c>
      <c r="W986">
        <v>3.9</v>
      </c>
      <c r="X986">
        <v>6.5</v>
      </c>
      <c r="Y986">
        <v>5.7</v>
      </c>
      <c r="Z986">
        <v>6.1</v>
      </c>
      <c r="AA986">
        <v>4.0999999999999996</v>
      </c>
      <c r="AB986" t="s">
        <v>21</v>
      </c>
      <c r="AC986" t="s">
        <v>39</v>
      </c>
      <c r="AD986" t="s">
        <v>45</v>
      </c>
      <c r="AE986" t="str">
        <f t="shared" si="45"/>
        <v>35-44</v>
      </c>
      <c r="AF986" t="str">
        <f t="shared" si="46"/>
        <v>Low Usage</v>
      </c>
      <c r="AG986" t="str">
        <f t="shared" si="47"/>
        <v>High Loneliness</v>
      </c>
    </row>
    <row r="987" spans="1:33" x14ac:dyDescent="0.3">
      <c r="A987" t="s">
        <v>1031</v>
      </c>
      <c r="B987">
        <v>20</v>
      </c>
      <c r="C987" t="s">
        <v>1</v>
      </c>
      <c r="D987" t="s">
        <v>14</v>
      </c>
      <c r="E987" t="s">
        <v>37</v>
      </c>
      <c r="F987" t="s">
        <v>45</v>
      </c>
      <c r="G987" t="s">
        <v>5</v>
      </c>
      <c r="H987" t="s">
        <v>33</v>
      </c>
      <c r="I987" t="s">
        <v>19</v>
      </c>
      <c r="J987" t="s">
        <v>8</v>
      </c>
      <c r="K987" t="s">
        <v>9</v>
      </c>
      <c r="L987">
        <v>2.48</v>
      </c>
      <c r="M987">
        <v>5.22</v>
      </c>
      <c r="N987">
        <v>2.4700000000000002</v>
      </c>
      <c r="O987">
        <v>5.43</v>
      </c>
      <c r="P987">
        <v>3</v>
      </c>
      <c r="Q987">
        <v>6.4</v>
      </c>
      <c r="R987">
        <v>4.8</v>
      </c>
      <c r="S987">
        <v>7.3</v>
      </c>
      <c r="T987" t="s">
        <v>10</v>
      </c>
      <c r="U987">
        <v>7</v>
      </c>
      <c r="V987">
        <v>6.1</v>
      </c>
      <c r="W987">
        <v>3.4</v>
      </c>
      <c r="X987">
        <v>4.8</v>
      </c>
      <c r="Y987">
        <v>3.9</v>
      </c>
      <c r="Z987">
        <v>5.5</v>
      </c>
      <c r="AA987">
        <v>5.7</v>
      </c>
      <c r="AB987" t="s">
        <v>21</v>
      </c>
      <c r="AC987" t="s">
        <v>10</v>
      </c>
      <c r="AD987" t="s">
        <v>12</v>
      </c>
      <c r="AE987" t="str">
        <f t="shared" si="45"/>
        <v>20-24</v>
      </c>
      <c r="AF987" t="str">
        <f t="shared" si="46"/>
        <v>Low Usage</v>
      </c>
      <c r="AG987" t="str">
        <f t="shared" si="47"/>
        <v>High Loneliness</v>
      </c>
    </row>
    <row r="988" spans="1:33" x14ac:dyDescent="0.3">
      <c r="A988" t="s">
        <v>1032</v>
      </c>
      <c r="B988">
        <v>42</v>
      </c>
      <c r="C988" t="s">
        <v>1</v>
      </c>
      <c r="D988" t="s">
        <v>14</v>
      </c>
      <c r="E988" t="s">
        <v>3</v>
      </c>
      <c r="F988" t="s">
        <v>4</v>
      </c>
      <c r="G988" t="s">
        <v>5</v>
      </c>
      <c r="H988" t="s">
        <v>28</v>
      </c>
      <c r="I988" t="s">
        <v>24</v>
      </c>
      <c r="J988" t="s">
        <v>20</v>
      </c>
      <c r="K988" t="s">
        <v>30</v>
      </c>
      <c r="L988">
        <v>0.22</v>
      </c>
      <c r="M988">
        <v>3.33</v>
      </c>
      <c r="N988">
        <v>1.42</v>
      </c>
      <c r="O988">
        <v>3.67</v>
      </c>
      <c r="P988">
        <v>8</v>
      </c>
      <c r="Q988">
        <v>4.5999999999999996</v>
      </c>
      <c r="R988">
        <v>3.9</v>
      </c>
      <c r="S988">
        <v>8</v>
      </c>
      <c r="T988" t="s">
        <v>10</v>
      </c>
      <c r="U988">
        <v>9</v>
      </c>
      <c r="V988">
        <v>8.5</v>
      </c>
      <c r="W988">
        <v>2.4</v>
      </c>
      <c r="X988">
        <v>2.8</v>
      </c>
      <c r="Y988">
        <v>1.6</v>
      </c>
      <c r="Z988">
        <v>4.5</v>
      </c>
      <c r="AA988">
        <v>8.9</v>
      </c>
      <c r="AB988" t="s">
        <v>11</v>
      </c>
      <c r="AC988" t="s">
        <v>10</v>
      </c>
      <c r="AD988" t="s">
        <v>12</v>
      </c>
      <c r="AE988" t="str">
        <f t="shared" si="45"/>
        <v>35-44</v>
      </c>
      <c r="AF988" t="str">
        <f t="shared" si="46"/>
        <v>Very Low Usage</v>
      </c>
      <c r="AG988" t="str">
        <f t="shared" si="47"/>
        <v>Moderate Loneliness</v>
      </c>
    </row>
    <row r="989" spans="1:33" x14ac:dyDescent="0.3">
      <c r="A989" t="s">
        <v>1033</v>
      </c>
      <c r="B989">
        <v>31</v>
      </c>
      <c r="C989" t="s">
        <v>32</v>
      </c>
      <c r="D989" t="s">
        <v>47</v>
      </c>
      <c r="E989" t="s">
        <v>3</v>
      </c>
      <c r="F989" t="s">
        <v>16</v>
      </c>
      <c r="G989" t="s">
        <v>5</v>
      </c>
      <c r="H989" t="s">
        <v>28</v>
      </c>
      <c r="I989" t="s">
        <v>19</v>
      </c>
      <c r="J989" t="s">
        <v>20</v>
      </c>
      <c r="K989" t="s">
        <v>53</v>
      </c>
      <c r="L989">
        <v>1.69</v>
      </c>
      <c r="M989">
        <v>3.08</v>
      </c>
      <c r="N989">
        <v>2.5299999999999998</v>
      </c>
      <c r="O989">
        <v>5.5</v>
      </c>
      <c r="P989">
        <v>5</v>
      </c>
      <c r="Q989">
        <v>5.7</v>
      </c>
      <c r="R989">
        <v>5</v>
      </c>
      <c r="S989">
        <v>4.4000000000000004</v>
      </c>
      <c r="T989" t="s">
        <v>10</v>
      </c>
      <c r="U989">
        <v>6.7</v>
      </c>
      <c r="V989">
        <v>5.3</v>
      </c>
      <c r="W989">
        <v>6.7</v>
      </c>
      <c r="X989">
        <v>4.7</v>
      </c>
      <c r="Y989">
        <v>4.5</v>
      </c>
      <c r="Z989">
        <v>5.6</v>
      </c>
      <c r="AA989">
        <v>5.0999999999999996</v>
      </c>
      <c r="AB989" t="s">
        <v>21</v>
      </c>
      <c r="AC989" t="s">
        <v>10</v>
      </c>
      <c r="AD989" t="s">
        <v>22</v>
      </c>
      <c r="AE989" t="str">
        <f t="shared" si="45"/>
        <v>25-34</v>
      </c>
      <c r="AF989" t="str">
        <f t="shared" si="46"/>
        <v>Low Usage</v>
      </c>
      <c r="AG989" t="str">
        <f t="shared" si="47"/>
        <v>Moderate Loneliness</v>
      </c>
    </row>
    <row r="990" spans="1:33" x14ac:dyDescent="0.3">
      <c r="A990" t="s">
        <v>1034</v>
      </c>
      <c r="B990">
        <v>19</v>
      </c>
      <c r="C990" t="s">
        <v>1</v>
      </c>
      <c r="D990" t="s">
        <v>14</v>
      </c>
      <c r="E990" t="s">
        <v>3</v>
      </c>
      <c r="F990" t="s">
        <v>4</v>
      </c>
      <c r="G990" t="s">
        <v>17</v>
      </c>
      <c r="H990" t="s">
        <v>6</v>
      </c>
      <c r="I990" t="s">
        <v>24</v>
      </c>
      <c r="J990" t="s">
        <v>8</v>
      </c>
      <c r="K990" t="s">
        <v>1079</v>
      </c>
      <c r="L990">
        <v>1.66</v>
      </c>
      <c r="M990">
        <v>5.53</v>
      </c>
      <c r="N990">
        <v>2.34</v>
      </c>
      <c r="O990">
        <v>5.52</v>
      </c>
      <c r="P990">
        <v>4</v>
      </c>
      <c r="Q990">
        <v>5.5</v>
      </c>
      <c r="R990">
        <v>2.2999999999999998</v>
      </c>
      <c r="S990">
        <v>4.5999999999999996</v>
      </c>
      <c r="T990" t="s">
        <v>39</v>
      </c>
      <c r="U990">
        <v>7.7</v>
      </c>
      <c r="V990">
        <v>8.3000000000000007</v>
      </c>
      <c r="W990">
        <v>4</v>
      </c>
      <c r="X990">
        <v>3.6</v>
      </c>
      <c r="Y990">
        <v>4</v>
      </c>
      <c r="Z990">
        <v>5.4</v>
      </c>
      <c r="AA990">
        <v>6.5</v>
      </c>
      <c r="AB990" t="s">
        <v>21</v>
      </c>
      <c r="AC990" t="s">
        <v>10</v>
      </c>
      <c r="AD990" t="s">
        <v>12</v>
      </c>
      <c r="AE990" t="str">
        <f t="shared" si="45"/>
        <v>15-19</v>
      </c>
      <c r="AF990" t="str">
        <f t="shared" si="46"/>
        <v>Low Usage</v>
      </c>
      <c r="AG990" t="str">
        <f t="shared" si="47"/>
        <v>Moderate Loneliness</v>
      </c>
    </row>
    <row r="991" spans="1:33" x14ac:dyDescent="0.3">
      <c r="A991" t="s">
        <v>1035</v>
      </c>
      <c r="B991">
        <v>19</v>
      </c>
      <c r="C991" t="s">
        <v>1</v>
      </c>
      <c r="D991" t="s">
        <v>14</v>
      </c>
      <c r="E991" t="s">
        <v>59</v>
      </c>
      <c r="F991" t="s">
        <v>16</v>
      </c>
      <c r="G991" t="s">
        <v>5</v>
      </c>
      <c r="H991" t="s">
        <v>28</v>
      </c>
      <c r="I991" t="s">
        <v>24</v>
      </c>
      <c r="J991" t="s">
        <v>20</v>
      </c>
      <c r="K991" t="s">
        <v>9</v>
      </c>
      <c r="L991">
        <v>0</v>
      </c>
      <c r="M991">
        <v>5.74</v>
      </c>
      <c r="N991">
        <v>0</v>
      </c>
      <c r="O991">
        <v>1.88</v>
      </c>
      <c r="P991">
        <v>7</v>
      </c>
      <c r="Q991">
        <v>1</v>
      </c>
      <c r="R991">
        <v>1</v>
      </c>
      <c r="S991">
        <v>10</v>
      </c>
      <c r="T991" t="s">
        <v>10</v>
      </c>
      <c r="U991">
        <v>9</v>
      </c>
      <c r="V991">
        <v>10</v>
      </c>
      <c r="W991">
        <v>7.6</v>
      </c>
      <c r="X991">
        <v>1</v>
      </c>
      <c r="Y991">
        <v>1</v>
      </c>
      <c r="Z991">
        <v>1.7</v>
      </c>
      <c r="AA991">
        <v>10</v>
      </c>
      <c r="AB991" t="s">
        <v>11</v>
      </c>
      <c r="AC991" t="s">
        <v>10</v>
      </c>
      <c r="AD991" t="s">
        <v>12</v>
      </c>
      <c r="AE991" t="str">
        <f t="shared" si="45"/>
        <v>15-19</v>
      </c>
      <c r="AF991" t="str">
        <f t="shared" si="46"/>
        <v>Very Low Usage</v>
      </c>
      <c r="AG991" t="str">
        <f t="shared" si="47"/>
        <v>Low Loneliness</v>
      </c>
    </row>
    <row r="992" spans="1:33" x14ac:dyDescent="0.3">
      <c r="A992" t="s">
        <v>1036</v>
      </c>
      <c r="B992">
        <v>20</v>
      </c>
      <c r="C992" t="s">
        <v>1</v>
      </c>
      <c r="D992" t="s">
        <v>41</v>
      </c>
      <c r="E992" t="s">
        <v>15</v>
      </c>
      <c r="F992" t="s">
        <v>45</v>
      </c>
      <c r="G992" t="s">
        <v>17</v>
      </c>
      <c r="H992" t="s">
        <v>6</v>
      </c>
      <c r="I992" t="s">
        <v>19</v>
      </c>
      <c r="J992" t="s">
        <v>51</v>
      </c>
      <c r="K992" t="s">
        <v>53</v>
      </c>
      <c r="L992">
        <v>1.43</v>
      </c>
      <c r="M992">
        <v>3.46</v>
      </c>
      <c r="N992">
        <v>3.22</v>
      </c>
      <c r="O992">
        <v>5.6</v>
      </c>
      <c r="P992">
        <v>2</v>
      </c>
      <c r="Q992">
        <v>5.2</v>
      </c>
      <c r="R992">
        <v>4.8</v>
      </c>
      <c r="S992">
        <v>5.7</v>
      </c>
      <c r="T992" t="s">
        <v>10</v>
      </c>
      <c r="U992">
        <v>7.5</v>
      </c>
      <c r="V992">
        <v>5.7</v>
      </c>
      <c r="W992">
        <v>2.4</v>
      </c>
      <c r="X992">
        <v>6.7</v>
      </c>
      <c r="Y992">
        <v>3.2</v>
      </c>
      <c r="Z992">
        <v>6.1</v>
      </c>
      <c r="AA992">
        <v>4.3</v>
      </c>
      <c r="AB992" t="s">
        <v>21</v>
      </c>
      <c r="AC992" t="s">
        <v>39</v>
      </c>
      <c r="AD992" t="s">
        <v>12</v>
      </c>
      <c r="AE992" t="str">
        <f t="shared" si="45"/>
        <v>20-24</v>
      </c>
      <c r="AF992" t="str">
        <f t="shared" si="46"/>
        <v>Low Usage</v>
      </c>
      <c r="AG992" t="str">
        <f t="shared" si="47"/>
        <v>Moderate Loneliness</v>
      </c>
    </row>
    <row r="993" spans="1:33" x14ac:dyDescent="0.3">
      <c r="A993" t="s">
        <v>1037</v>
      </c>
      <c r="B993">
        <v>17</v>
      </c>
      <c r="C993" t="s">
        <v>32</v>
      </c>
      <c r="D993" t="s">
        <v>14</v>
      </c>
      <c r="E993" t="s">
        <v>59</v>
      </c>
      <c r="F993" t="s">
        <v>4</v>
      </c>
      <c r="G993" t="s">
        <v>17</v>
      </c>
      <c r="H993" t="s">
        <v>28</v>
      </c>
      <c r="I993" t="s">
        <v>24</v>
      </c>
      <c r="J993" t="s">
        <v>48</v>
      </c>
      <c r="K993" t="s">
        <v>9</v>
      </c>
      <c r="L993">
        <v>1.53</v>
      </c>
      <c r="M993">
        <v>4.9400000000000004</v>
      </c>
      <c r="N993">
        <v>0</v>
      </c>
      <c r="O993">
        <v>1.92</v>
      </c>
      <c r="P993">
        <v>5</v>
      </c>
      <c r="Q993">
        <v>2.2999999999999998</v>
      </c>
      <c r="R993">
        <v>2.5</v>
      </c>
      <c r="S993">
        <v>5.0999999999999996</v>
      </c>
      <c r="T993" t="s">
        <v>10</v>
      </c>
      <c r="U993">
        <v>9.3000000000000007</v>
      </c>
      <c r="V993">
        <v>6.6</v>
      </c>
      <c r="W993">
        <v>6.1</v>
      </c>
      <c r="X993">
        <v>2.2000000000000002</v>
      </c>
      <c r="Y993">
        <v>1.9</v>
      </c>
      <c r="Z993">
        <v>4.5999999999999996</v>
      </c>
      <c r="AA993">
        <v>5.4</v>
      </c>
      <c r="AB993" t="s">
        <v>11</v>
      </c>
      <c r="AC993" t="s">
        <v>10</v>
      </c>
      <c r="AD993" t="s">
        <v>12</v>
      </c>
      <c r="AE993" t="str">
        <f t="shared" si="45"/>
        <v>15-19</v>
      </c>
      <c r="AF993" t="str">
        <f t="shared" si="46"/>
        <v>Low Usage</v>
      </c>
      <c r="AG993" t="str">
        <f t="shared" si="47"/>
        <v>Low Loneliness</v>
      </c>
    </row>
    <row r="994" spans="1:33" x14ac:dyDescent="0.3">
      <c r="A994" t="s">
        <v>1038</v>
      </c>
      <c r="B994">
        <v>35</v>
      </c>
      <c r="C994" t="s">
        <v>32</v>
      </c>
      <c r="D994" t="s">
        <v>41</v>
      </c>
      <c r="E994" t="s">
        <v>37</v>
      </c>
      <c r="F994" t="s">
        <v>12</v>
      </c>
      <c r="G994" t="s">
        <v>17</v>
      </c>
      <c r="H994" t="s">
        <v>6</v>
      </c>
      <c r="I994" t="s">
        <v>29</v>
      </c>
      <c r="J994" t="s">
        <v>48</v>
      </c>
      <c r="K994" t="s">
        <v>9</v>
      </c>
      <c r="L994">
        <v>2.7</v>
      </c>
      <c r="M994">
        <v>3.7</v>
      </c>
      <c r="N994">
        <v>3.19</v>
      </c>
      <c r="O994">
        <v>8.18</v>
      </c>
      <c r="P994">
        <v>5</v>
      </c>
      <c r="Q994">
        <v>1.7</v>
      </c>
      <c r="R994">
        <v>2.8</v>
      </c>
      <c r="S994">
        <v>8.3000000000000007</v>
      </c>
      <c r="T994" t="s">
        <v>10</v>
      </c>
      <c r="U994">
        <v>6.9</v>
      </c>
      <c r="V994">
        <v>8</v>
      </c>
      <c r="W994">
        <v>5.6</v>
      </c>
      <c r="X994">
        <v>3.3</v>
      </c>
      <c r="Y994">
        <v>2.6</v>
      </c>
      <c r="Z994">
        <v>4.7</v>
      </c>
      <c r="AA994">
        <v>5.9</v>
      </c>
      <c r="AB994" t="s">
        <v>11</v>
      </c>
      <c r="AC994" t="s">
        <v>10</v>
      </c>
      <c r="AD994" t="s">
        <v>12</v>
      </c>
      <c r="AE994" t="str">
        <f t="shared" si="45"/>
        <v>35-44</v>
      </c>
      <c r="AF994" t="str">
        <f t="shared" si="46"/>
        <v>Moderate Usage</v>
      </c>
      <c r="AG994" t="str">
        <f t="shared" si="47"/>
        <v>Low Loneliness</v>
      </c>
    </row>
    <row r="995" spans="1:33" x14ac:dyDescent="0.3">
      <c r="A995" t="s">
        <v>1039</v>
      </c>
      <c r="B995">
        <v>37</v>
      </c>
      <c r="C995" t="s">
        <v>1</v>
      </c>
      <c r="D995" t="s">
        <v>2</v>
      </c>
      <c r="E995" t="s">
        <v>37</v>
      </c>
      <c r="F995" t="s">
        <v>4</v>
      </c>
      <c r="G995" t="s">
        <v>5</v>
      </c>
      <c r="H995" t="s">
        <v>18</v>
      </c>
      <c r="I995" t="s">
        <v>29</v>
      </c>
      <c r="J995" t="s">
        <v>38</v>
      </c>
      <c r="K995" t="s">
        <v>53</v>
      </c>
      <c r="L995">
        <v>0.64</v>
      </c>
      <c r="M995">
        <v>3.92</v>
      </c>
      <c r="N995">
        <v>0.93</v>
      </c>
      <c r="O995">
        <v>3.59</v>
      </c>
      <c r="P995">
        <v>3</v>
      </c>
      <c r="Q995">
        <v>5.7</v>
      </c>
      <c r="R995">
        <v>2.1</v>
      </c>
      <c r="S995">
        <v>5.0999999999999996</v>
      </c>
      <c r="T995" t="s">
        <v>10</v>
      </c>
      <c r="U995">
        <v>7</v>
      </c>
      <c r="V995">
        <v>6.1</v>
      </c>
      <c r="W995">
        <v>1.7</v>
      </c>
      <c r="X995">
        <v>4.0999999999999996</v>
      </c>
      <c r="Y995">
        <v>3.6</v>
      </c>
      <c r="Z995">
        <v>5</v>
      </c>
      <c r="AA995">
        <v>6.2</v>
      </c>
      <c r="AB995" t="s">
        <v>21</v>
      </c>
      <c r="AC995" t="s">
        <v>10</v>
      </c>
      <c r="AD995" t="s">
        <v>12</v>
      </c>
      <c r="AE995" t="str">
        <f t="shared" si="45"/>
        <v>35-44</v>
      </c>
      <c r="AF995" t="str">
        <f t="shared" si="46"/>
        <v>Very Low Usage</v>
      </c>
      <c r="AG995" t="str">
        <f t="shared" si="47"/>
        <v>Moderate Loneliness</v>
      </c>
    </row>
    <row r="996" spans="1:33" x14ac:dyDescent="0.3">
      <c r="A996" t="s">
        <v>1040</v>
      </c>
      <c r="B996">
        <v>19</v>
      </c>
      <c r="C996" t="s">
        <v>32</v>
      </c>
      <c r="D996" t="s">
        <v>47</v>
      </c>
      <c r="E996" t="s">
        <v>15</v>
      </c>
      <c r="F996" t="s">
        <v>12</v>
      </c>
      <c r="G996" t="s">
        <v>17</v>
      </c>
      <c r="H996" t="s">
        <v>6</v>
      </c>
      <c r="I996" t="s">
        <v>29</v>
      </c>
      <c r="J996" t="s">
        <v>8</v>
      </c>
      <c r="K996" t="s">
        <v>9</v>
      </c>
      <c r="L996">
        <v>0</v>
      </c>
      <c r="M996">
        <v>6.27</v>
      </c>
      <c r="N996">
        <v>0.68</v>
      </c>
      <c r="O996">
        <v>2.67</v>
      </c>
      <c r="P996">
        <v>4</v>
      </c>
      <c r="Q996">
        <v>1.3</v>
      </c>
      <c r="R996">
        <v>1</v>
      </c>
      <c r="S996">
        <v>8.9</v>
      </c>
      <c r="T996" t="s">
        <v>10</v>
      </c>
      <c r="U996">
        <v>8.1999999999999993</v>
      </c>
      <c r="V996">
        <v>9.1</v>
      </c>
      <c r="W996">
        <v>6.1</v>
      </c>
      <c r="X996">
        <v>3.3</v>
      </c>
      <c r="Y996">
        <v>1.5</v>
      </c>
      <c r="Z996">
        <v>3.4</v>
      </c>
      <c r="AA996">
        <v>9.8000000000000007</v>
      </c>
      <c r="AB996" t="s">
        <v>11</v>
      </c>
      <c r="AC996" t="s">
        <v>10</v>
      </c>
      <c r="AD996" t="s">
        <v>12</v>
      </c>
      <c r="AE996" t="str">
        <f t="shared" si="45"/>
        <v>15-19</v>
      </c>
      <c r="AF996" t="str">
        <f t="shared" si="46"/>
        <v>Very Low Usage</v>
      </c>
      <c r="AG996" t="str">
        <f t="shared" si="47"/>
        <v>Low Loneliness</v>
      </c>
    </row>
    <row r="997" spans="1:33" x14ac:dyDescent="0.3">
      <c r="A997" t="s">
        <v>1041</v>
      </c>
      <c r="B997">
        <v>35</v>
      </c>
      <c r="C997" t="s">
        <v>32</v>
      </c>
      <c r="D997" t="s">
        <v>14</v>
      </c>
      <c r="E997" t="s">
        <v>37</v>
      </c>
      <c r="F997" t="s">
        <v>12</v>
      </c>
      <c r="G997" t="s">
        <v>5</v>
      </c>
      <c r="H997" t="s">
        <v>6</v>
      </c>
      <c r="I997" t="s">
        <v>29</v>
      </c>
      <c r="J997" t="s">
        <v>20</v>
      </c>
      <c r="K997" t="s">
        <v>1079</v>
      </c>
      <c r="L997">
        <v>1.95</v>
      </c>
      <c r="M997">
        <v>3.38</v>
      </c>
      <c r="N997">
        <v>1.91</v>
      </c>
      <c r="O997">
        <v>6.37</v>
      </c>
      <c r="P997">
        <v>4</v>
      </c>
      <c r="Q997">
        <v>2</v>
      </c>
      <c r="R997">
        <v>5.0999999999999996</v>
      </c>
      <c r="S997">
        <v>6.5</v>
      </c>
      <c r="T997" t="s">
        <v>10</v>
      </c>
      <c r="U997">
        <v>7.4</v>
      </c>
      <c r="V997">
        <v>4.7</v>
      </c>
      <c r="W997">
        <v>5.0999999999999996</v>
      </c>
      <c r="X997">
        <v>5.6</v>
      </c>
      <c r="Y997">
        <v>3.4</v>
      </c>
      <c r="Z997">
        <v>7.2</v>
      </c>
      <c r="AA997">
        <v>4.8</v>
      </c>
      <c r="AB997" t="s">
        <v>44</v>
      </c>
      <c r="AC997" t="s">
        <v>10</v>
      </c>
      <c r="AD997" t="s">
        <v>12</v>
      </c>
      <c r="AE997" t="str">
        <f t="shared" si="45"/>
        <v>35-44</v>
      </c>
      <c r="AF997" t="str">
        <f t="shared" si="46"/>
        <v>Low Usage</v>
      </c>
      <c r="AG997" t="str">
        <f t="shared" si="47"/>
        <v>Low Loneliness</v>
      </c>
    </row>
    <row r="998" spans="1:33" x14ac:dyDescent="0.3">
      <c r="A998" t="s">
        <v>1042</v>
      </c>
      <c r="B998">
        <v>19</v>
      </c>
      <c r="C998" t="s">
        <v>1</v>
      </c>
      <c r="D998" t="s">
        <v>14</v>
      </c>
      <c r="E998" t="s">
        <v>37</v>
      </c>
      <c r="F998" t="s">
        <v>4</v>
      </c>
      <c r="G998" t="s">
        <v>43</v>
      </c>
      <c r="H998" t="s">
        <v>28</v>
      </c>
      <c r="I998" t="s">
        <v>19</v>
      </c>
      <c r="J998" t="s">
        <v>51</v>
      </c>
      <c r="K998" t="s">
        <v>25</v>
      </c>
      <c r="L998">
        <v>2.91</v>
      </c>
      <c r="M998">
        <v>5.1100000000000003</v>
      </c>
      <c r="N998">
        <v>2.4900000000000002</v>
      </c>
      <c r="O998">
        <v>6.74</v>
      </c>
      <c r="P998">
        <v>6</v>
      </c>
      <c r="Q998">
        <v>4.4000000000000004</v>
      </c>
      <c r="R998">
        <v>3.5</v>
      </c>
      <c r="S998">
        <v>6.6</v>
      </c>
      <c r="T998" t="s">
        <v>10</v>
      </c>
      <c r="U998">
        <v>7.3</v>
      </c>
      <c r="V998">
        <v>7.6</v>
      </c>
      <c r="W998">
        <v>6.2</v>
      </c>
      <c r="X998">
        <v>2.7</v>
      </c>
      <c r="Y998">
        <v>6.6</v>
      </c>
      <c r="Z998">
        <v>5.5</v>
      </c>
      <c r="AA998">
        <v>10</v>
      </c>
      <c r="AB998" t="s">
        <v>11</v>
      </c>
      <c r="AC998" t="s">
        <v>39</v>
      </c>
      <c r="AD998" t="s">
        <v>22</v>
      </c>
      <c r="AE998" t="str">
        <f t="shared" si="45"/>
        <v>15-19</v>
      </c>
      <c r="AF998" t="str">
        <f t="shared" si="46"/>
        <v>Moderate Usage</v>
      </c>
      <c r="AG998" t="str">
        <f t="shared" si="47"/>
        <v>Moderate Loneliness</v>
      </c>
    </row>
    <row r="999" spans="1:33" x14ac:dyDescent="0.3">
      <c r="A999" t="s">
        <v>1043</v>
      </c>
      <c r="B999">
        <v>24</v>
      </c>
      <c r="C999" t="s">
        <v>1</v>
      </c>
      <c r="D999" t="s">
        <v>47</v>
      </c>
      <c r="E999" t="s">
        <v>3</v>
      </c>
      <c r="F999" t="s">
        <v>4</v>
      </c>
      <c r="G999" t="s">
        <v>17</v>
      </c>
      <c r="H999" t="s">
        <v>28</v>
      </c>
      <c r="I999" t="s">
        <v>7</v>
      </c>
      <c r="J999" t="s">
        <v>20</v>
      </c>
      <c r="K999" t="s">
        <v>1079</v>
      </c>
      <c r="L999">
        <v>0</v>
      </c>
      <c r="M999">
        <v>5.36</v>
      </c>
      <c r="N999">
        <v>1.44</v>
      </c>
      <c r="O999">
        <v>3.77</v>
      </c>
      <c r="P999">
        <v>5</v>
      </c>
      <c r="Q999">
        <v>4.5</v>
      </c>
      <c r="R999">
        <v>2.7</v>
      </c>
      <c r="S999">
        <v>9.6</v>
      </c>
      <c r="T999" t="s">
        <v>10</v>
      </c>
      <c r="U999">
        <v>7.1</v>
      </c>
      <c r="V999">
        <v>10</v>
      </c>
      <c r="W999">
        <v>6</v>
      </c>
      <c r="X999">
        <v>3.2</v>
      </c>
      <c r="Y999">
        <v>3.8</v>
      </c>
      <c r="Z999">
        <v>3.3</v>
      </c>
      <c r="AA999">
        <v>7.9</v>
      </c>
      <c r="AB999" t="s">
        <v>11</v>
      </c>
      <c r="AC999" t="s">
        <v>10</v>
      </c>
      <c r="AD999" t="s">
        <v>12</v>
      </c>
      <c r="AE999" t="str">
        <f t="shared" si="45"/>
        <v>20-24</v>
      </c>
      <c r="AF999" t="str">
        <f t="shared" si="46"/>
        <v>Very Low Usage</v>
      </c>
      <c r="AG999" t="str">
        <f t="shared" si="47"/>
        <v>Moderate Loneliness</v>
      </c>
    </row>
    <row r="1000" spans="1:33" x14ac:dyDescent="0.3">
      <c r="A1000" t="s">
        <v>1044</v>
      </c>
      <c r="B1000">
        <v>24</v>
      </c>
      <c r="C1000" t="s">
        <v>1</v>
      </c>
      <c r="D1000" t="s">
        <v>47</v>
      </c>
      <c r="E1000" t="s">
        <v>3</v>
      </c>
      <c r="F1000" t="s">
        <v>4</v>
      </c>
      <c r="G1000" t="s">
        <v>17</v>
      </c>
      <c r="H1000" t="s">
        <v>28</v>
      </c>
      <c r="I1000" t="s">
        <v>24</v>
      </c>
      <c r="J1000" t="s">
        <v>8</v>
      </c>
      <c r="K1000" t="s">
        <v>1079</v>
      </c>
      <c r="L1000">
        <v>0.81</v>
      </c>
      <c r="M1000">
        <v>3.37</v>
      </c>
      <c r="N1000">
        <v>2.8</v>
      </c>
      <c r="O1000">
        <v>6.94</v>
      </c>
      <c r="P1000">
        <v>4</v>
      </c>
      <c r="Q1000">
        <v>3.5</v>
      </c>
      <c r="R1000">
        <v>4.7</v>
      </c>
      <c r="S1000">
        <v>6.7</v>
      </c>
      <c r="T1000" t="s">
        <v>10</v>
      </c>
      <c r="U1000">
        <v>7</v>
      </c>
      <c r="V1000">
        <v>5.8</v>
      </c>
      <c r="W1000">
        <v>5</v>
      </c>
      <c r="X1000">
        <v>3.4</v>
      </c>
      <c r="Y1000">
        <v>5.8</v>
      </c>
      <c r="Z1000">
        <v>4.9000000000000004</v>
      </c>
      <c r="AA1000">
        <v>6.1</v>
      </c>
      <c r="AB1000" t="s">
        <v>21</v>
      </c>
      <c r="AC1000" t="s">
        <v>10</v>
      </c>
      <c r="AD1000" t="s">
        <v>12</v>
      </c>
      <c r="AE1000" t="str">
        <f t="shared" si="45"/>
        <v>20-24</v>
      </c>
      <c r="AF1000" t="str">
        <f t="shared" si="46"/>
        <v>Very Low Usage</v>
      </c>
      <c r="AG1000" t="str">
        <f t="shared" si="47"/>
        <v>Moderate Loneliness</v>
      </c>
    </row>
    <row r="1001" spans="1:33" x14ac:dyDescent="0.3">
      <c r="A1001" t="s">
        <v>1045</v>
      </c>
      <c r="B1001">
        <v>33</v>
      </c>
      <c r="C1001" t="s">
        <v>1</v>
      </c>
      <c r="D1001" t="s">
        <v>47</v>
      </c>
      <c r="E1001" t="s">
        <v>37</v>
      </c>
      <c r="F1001" t="s">
        <v>4</v>
      </c>
      <c r="G1001" t="s">
        <v>17</v>
      </c>
      <c r="H1001" t="s">
        <v>33</v>
      </c>
      <c r="I1001" t="s">
        <v>24</v>
      </c>
      <c r="J1001" t="s">
        <v>8</v>
      </c>
      <c r="K1001" t="s">
        <v>30</v>
      </c>
      <c r="L1001">
        <v>0</v>
      </c>
      <c r="M1001">
        <v>6.99</v>
      </c>
      <c r="N1001">
        <v>1.92</v>
      </c>
      <c r="O1001">
        <v>3.67</v>
      </c>
      <c r="P1001">
        <v>5</v>
      </c>
      <c r="Q1001">
        <v>1</v>
      </c>
      <c r="R1001">
        <v>1</v>
      </c>
      <c r="S1001">
        <v>9.1999999999999993</v>
      </c>
      <c r="T1001" t="s">
        <v>10</v>
      </c>
      <c r="U1001">
        <v>10</v>
      </c>
      <c r="V1001">
        <v>10</v>
      </c>
      <c r="W1001">
        <v>5.2</v>
      </c>
      <c r="X1001">
        <v>1.4</v>
      </c>
      <c r="Y1001">
        <v>1</v>
      </c>
      <c r="Z1001">
        <v>2</v>
      </c>
      <c r="AA1001">
        <v>7.7</v>
      </c>
      <c r="AB1001" t="s">
        <v>11</v>
      </c>
      <c r="AC1001" t="s">
        <v>10</v>
      </c>
      <c r="AD1001" t="s">
        <v>12</v>
      </c>
      <c r="AE1001" t="str">
        <f t="shared" si="45"/>
        <v>25-34</v>
      </c>
      <c r="AF1001" t="str">
        <f t="shared" si="46"/>
        <v>Very Low Usage</v>
      </c>
      <c r="AG1001" t="str">
        <f t="shared" si="47"/>
        <v>Low Loneliness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1E7F4-DCA0-4313-8AC1-EC2451B6C5C2}">
  <dimension ref="A3:E129"/>
  <sheetViews>
    <sheetView topLeftCell="A21" workbookViewId="0">
      <selection activeCell="N111" sqref="N111"/>
    </sheetView>
  </sheetViews>
  <sheetFormatPr defaultRowHeight="14.4" x14ac:dyDescent="0.3"/>
  <cols>
    <col min="1" max="1" width="12.44140625" bestFit="1" customWidth="1"/>
    <col min="2" max="2" width="37.44140625" bestFit="1" customWidth="1"/>
    <col min="3" max="3" width="30.77734375" bestFit="1" customWidth="1"/>
    <col min="4" max="4" width="8.88671875" bestFit="1" customWidth="1"/>
    <col min="5" max="5" width="10.5546875" bestFit="1" customWidth="1"/>
    <col min="13" max="13" width="12.44140625" bestFit="1" customWidth="1"/>
    <col min="14" max="14" width="37.44140625" bestFit="1" customWidth="1"/>
  </cols>
  <sheetData>
    <row r="3" spans="1:3" x14ac:dyDescent="0.3">
      <c r="A3" s="1" t="s">
        <v>1080</v>
      </c>
      <c r="B3" t="s">
        <v>1086</v>
      </c>
      <c r="C3" t="s">
        <v>1087</v>
      </c>
    </row>
    <row r="4" spans="1:3" x14ac:dyDescent="0.3">
      <c r="A4" s="2" t="s">
        <v>1081</v>
      </c>
      <c r="B4" s="4">
        <v>8.9931818181818173</v>
      </c>
      <c r="C4" s="4">
        <v>8.788636363636364</v>
      </c>
    </row>
    <row r="5" spans="1:3" x14ac:dyDescent="0.3">
      <c r="A5" s="2" t="s">
        <v>1082</v>
      </c>
      <c r="B5" s="4">
        <v>5.2486413043478271</v>
      </c>
      <c r="C5" s="4">
        <v>4.7187499999999991</v>
      </c>
    </row>
    <row r="6" spans="1:3" x14ac:dyDescent="0.3">
      <c r="A6" s="2" t="s">
        <v>1083</v>
      </c>
      <c r="B6" s="4">
        <v>7.1652380952380978</v>
      </c>
      <c r="C6" s="4">
        <v>6.6676190476190467</v>
      </c>
    </row>
    <row r="7" spans="1:3" x14ac:dyDescent="0.3">
      <c r="A7" s="2" t="s">
        <v>1084</v>
      </c>
      <c r="B7" s="4">
        <v>3.2830687830687824</v>
      </c>
      <c r="C7" s="4">
        <v>2.7494708994709001</v>
      </c>
    </row>
    <row r="8" spans="1:3" x14ac:dyDescent="0.3">
      <c r="A8" s="2" t="s">
        <v>1085</v>
      </c>
      <c r="B8" s="4">
        <v>5.0729000000000068</v>
      </c>
      <c r="C8" s="4">
        <v>4.5627000000000049</v>
      </c>
    </row>
    <row r="34" spans="1:5" x14ac:dyDescent="0.3">
      <c r="A34" s="1" t="s">
        <v>1088</v>
      </c>
      <c r="B34" s="1" t="s">
        <v>1093</v>
      </c>
    </row>
    <row r="35" spans="1:5" x14ac:dyDescent="0.3">
      <c r="A35" s="1" t="s">
        <v>1080</v>
      </c>
      <c r="B35" t="s">
        <v>45</v>
      </c>
      <c r="C35" t="s">
        <v>12</v>
      </c>
      <c r="D35" t="s">
        <v>22</v>
      </c>
      <c r="E35" t="s">
        <v>1085</v>
      </c>
    </row>
    <row r="36" spans="1:5" x14ac:dyDescent="0.3">
      <c r="A36" s="2" t="s">
        <v>1089</v>
      </c>
      <c r="B36">
        <v>48</v>
      </c>
      <c r="C36">
        <v>97</v>
      </c>
      <c r="D36">
        <v>39</v>
      </c>
      <c r="E36">
        <v>184</v>
      </c>
    </row>
    <row r="37" spans="1:5" x14ac:dyDescent="0.3">
      <c r="A37" s="2" t="s">
        <v>1090</v>
      </c>
      <c r="B37">
        <v>43</v>
      </c>
      <c r="C37">
        <v>68</v>
      </c>
      <c r="D37">
        <v>33</v>
      </c>
      <c r="E37">
        <v>144</v>
      </c>
    </row>
    <row r="38" spans="1:5" x14ac:dyDescent="0.3">
      <c r="A38" s="2" t="s">
        <v>1091</v>
      </c>
      <c r="B38">
        <v>88</v>
      </c>
      <c r="C38">
        <v>160</v>
      </c>
      <c r="D38">
        <v>53</v>
      </c>
      <c r="E38">
        <v>301</v>
      </c>
    </row>
    <row r="39" spans="1:5" x14ac:dyDescent="0.3">
      <c r="A39" s="2" t="s">
        <v>1092</v>
      </c>
      <c r="B39">
        <v>116</v>
      </c>
      <c r="C39">
        <v>194</v>
      </c>
      <c r="D39">
        <v>61</v>
      </c>
      <c r="E39">
        <v>371</v>
      </c>
    </row>
    <row r="40" spans="1:5" x14ac:dyDescent="0.3">
      <c r="A40" s="2" t="s">
        <v>1085</v>
      </c>
      <c r="B40">
        <v>295</v>
      </c>
      <c r="C40">
        <v>519</v>
      </c>
      <c r="D40">
        <v>186</v>
      </c>
      <c r="E40">
        <v>1000</v>
      </c>
    </row>
    <row r="51" spans="1:3" x14ac:dyDescent="0.3">
      <c r="A51" s="1" t="s">
        <v>1080</v>
      </c>
      <c r="B51" t="s">
        <v>1094</v>
      </c>
      <c r="C51" t="s">
        <v>1095</v>
      </c>
    </row>
    <row r="52" spans="1:3" x14ac:dyDescent="0.3">
      <c r="A52" s="2" t="s">
        <v>20</v>
      </c>
      <c r="B52" s="4">
        <v>1.6109448818897627</v>
      </c>
      <c r="C52" s="4">
        <v>5.9773622047244066</v>
      </c>
    </row>
    <row r="53" spans="1:3" x14ac:dyDescent="0.3">
      <c r="A53" s="2" t="s">
        <v>8</v>
      </c>
      <c r="B53" s="4">
        <v>1.6301262626262638</v>
      </c>
      <c r="C53" s="4">
        <v>6.126212121212121</v>
      </c>
    </row>
    <row r="54" spans="1:3" x14ac:dyDescent="0.3">
      <c r="A54" s="2" t="s">
        <v>51</v>
      </c>
      <c r="B54" s="4">
        <v>1.6962037037037041</v>
      </c>
      <c r="C54" s="4">
        <v>6.4209259259259248</v>
      </c>
    </row>
    <row r="55" spans="1:3" x14ac:dyDescent="0.3">
      <c r="A55" s="2" t="s">
        <v>38</v>
      </c>
      <c r="B55" s="4">
        <v>1.4486021505376339</v>
      </c>
      <c r="C55" s="4">
        <v>5.9004301075268817</v>
      </c>
    </row>
    <row r="56" spans="1:3" x14ac:dyDescent="0.3">
      <c r="A56" s="2" t="s">
        <v>48</v>
      </c>
      <c r="B56" s="4">
        <v>1.6164429530201345</v>
      </c>
      <c r="C56" s="4">
        <v>6.0893288590604016</v>
      </c>
    </row>
    <row r="57" spans="1:3" x14ac:dyDescent="0.3">
      <c r="A57" s="2" t="s">
        <v>1085</v>
      </c>
      <c r="B57" s="4">
        <v>1.6134699999999995</v>
      </c>
      <c r="C57" s="4">
        <v>6.0937399999999977</v>
      </c>
    </row>
    <row r="68" spans="1:2" x14ac:dyDescent="0.3">
      <c r="A68" s="1" t="s">
        <v>1080</v>
      </c>
      <c r="B68" t="s">
        <v>1088</v>
      </c>
    </row>
    <row r="69" spans="1:2" x14ac:dyDescent="0.3">
      <c r="A69" s="2" t="s">
        <v>53</v>
      </c>
      <c r="B69">
        <v>262</v>
      </c>
    </row>
    <row r="70" spans="1:2" x14ac:dyDescent="0.3">
      <c r="A70" s="2" t="s">
        <v>25</v>
      </c>
      <c r="B70">
        <v>173</v>
      </c>
    </row>
    <row r="71" spans="1:2" x14ac:dyDescent="0.3">
      <c r="A71" s="2" t="s">
        <v>9</v>
      </c>
      <c r="B71">
        <v>107</v>
      </c>
    </row>
    <row r="72" spans="1:2" x14ac:dyDescent="0.3">
      <c r="A72" s="2" t="s">
        <v>30</v>
      </c>
      <c r="B72">
        <v>149</v>
      </c>
    </row>
    <row r="73" spans="1:2" x14ac:dyDescent="0.3">
      <c r="A73" s="2" t="s">
        <v>1079</v>
      </c>
      <c r="B73">
        <v>309</v>
      </c>
    </row>
    <row r="74" spans="1:2" x14ac:dyDescent="0.3">
      <c r="A74" s="2" t="s">
        <v>1085</v>
      </c>
      <c r="B74">
        <v>1000</v>
      </c>
    </row>
    <row r="85" spans="1:3" x14ac:dyDescent="0.3">
      <c r="A85" s="1" t="s">
        <v>1080</v>
      </c>
      <c r="B85" t="s">
        <v>1094</v>
      </c>
      <c r="C85" t="s">
        <v>1095</v>
      </c>
    </row>
    <row r="86" spans="1:3" x14ac:dyDescent="0.3">
      <c r="A86" s="2" t="s">
        <v>44</v>
      </c>
      <c r="B86" s="4">
        <v>2.7447232472324745</v>
      </c>
      <c r="C86" s="4">
        <v>8.1439483394833925</v>
      </c>
    </row>
    <row r="87" spans="1:3" x14ac:dyDescent="0.3">
      <c r="A87" s="2" t="s">
        <v>11</v>
      </c>
      <c r="B87" s="4">
        <v>0.56545112781954898</v>
      </c>
      <c r="C87" s="4">
        <v>4.111503759398496</v>
      </c>
    </row>
    <row r="88" spans="1:3" x14ac:dyDescent="0.3">
      <c r="A88" s="2" t="s">
        <v>21</v>
      </c>
      <c r="B88" s="4">
        <v>1.5534341252699781</v>
      </c>
      <c r="C88" s="4">
        <v>6.0325485961123135</v>
      </c>
    </row>
    <row r="89" spans="1:3" x14ac:dyDescent="0.3">
      <c r="A89" s="2" t="s">
        <v>1085</v>
      </c>
      <c r="B89" s="4">
        <v>1.6134700000000015</v>
      </c>
      <c r="C89" s="4">
        <v>6.0937399999999942</v>
      </c>
    </row>
    <row r="101" spans="1:2" x14ac:dyDescent="0.3">
      <c r="A101" s="1" t="s">
        <v>1080</v>
      </c>
      <c r="B101" t="s">
        <v>1096</v>
      </c>
    </row>
    <row r="102" spans="1:2" x14ac:dyDescent="0.3">
      <c r="A102" s="2" t="s">
        <v>1089</v>
      </c>
      <c r="B102" s="3">
        <v>3.994347826086956</v>
      </c>
    </row>
    <row r="103" spans="1:2" x14ac:dyDescent="0.3">
      <c r="A103" s="2" t="s">
        <v>1090</v>
      </c>
      <c r="B103" s="3">
        <v>4.0961805555555548</v>
      </c>
    </row>
    <row r="104" spans="1:2" x14ac:dyDescent="0.3">
      <c r="A104" s="2" t="s">
        <v>1091</v>
      </c>
      <c r="B104" s="3">
        <v>4.006411960132894</v>
      </c>
    </row>
    <row r="105" spans="1:2" x14ac:dyDescent="0.3">
      <c r="A105" s="2" t="s">
        <v>1092</v>
      </c>
      <c r="B105" s="3">
        <v>3.9316711590296536</v>
      </c>
    </row>
    <row r="106" spans="1:2" x14ac:dyDescent="0.3">
      <c r="A106" s="2" t="s">
        <v>1085</v>
      </c>
      <c r="B106" s="3">
        <v>3.9893900000000002</v>
      </c>
    </row>
    <row r="119" spans="1:2" x14ac:dyDescent="0.3">
      <c r="A119" t="s">
        <v>1088</v>
      </c>
      <c r="B119">
        <f>GETPIVOTDATA("User_ID",$A$119)</f>
        <v>1000</v>
      </c>
    </row>
    <row r="120" spans="1:2" x14ac:dyDescent="0.3">
      <c r="A120" s="5">
        <v>1000</v>
      </c>
    </row>
    <row r="122" spans="1:2" x14ac:dyDescent="0.3">
      <c r="A122" t="s">
        <v>1094</v>
      </c>
      <c r="B122" s="3">
        <f>GETPIVOTDATA("Daily_ai_chat_hours",$A$122)</f>
        <v>1.6134699999999984</v>
      </c>
    </row>
    <row r="123" spans="1:2" x14ac:dyDescent="0.3">
      <c r="A123" s="3">
        <v>1.6134699999999984</v>
      </c>
    </row>
    <row r="125" spans="1:2" x14ac:dyDescent="0.3">
      <c r="A125" t="s">
        <v>1097</v>
      </c>
      <c r="B125" s="3">
        <f>GETPIVOTDATA("Social_media_hours_daily",$A$125)</f>
        <v>2.5087700000000015</v>
      </c>
    </row>
    <row r="126" spans="1:2" x14ac:dyDescent="0.3">
      <c r="A126" s="3">
        <v>2.5087700000000015</v>
      </c>
    </row>
    <row r="128" spans="1:2" x14ac:dyDescent="0.3">
      <c r="A128" t="s">
        <v>1098</v>
      </c>
      <c r="B128" s="3">
        <f>GETPIVOTDATA("Sleep_quality_score",$A$128)</f>
        <v>6.5354000000000019</v>
      </c>
    </row>
    <row r="129" spans="1:1" x14ac:dyDescent="0.3">
      <c r="A129" s="3">
        <v>6.5354000000000019</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818E6-1C22-47A7-8CF9-932A2E9E1D65}">
  <dimension ref="A1"/>
  <sheetViews>
    <sheetView showGridLines="0" tabSelected="1" topLeftCell="F14" zoomScale="174" zoomScaleNormal="70" workbookViewId="0">
      <selection activeCell="Q24" sqref="Q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ai_companion_dependency_dataset</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H</dc:creator>
  <cp:lastModifiedBy>sandrahari2204@outlook.com</cp:lastModifiedBy>
  <dcterms:created xsi:type="dcterms:W3CDTF">2026-09-16T09:48:16Z</dcterms:created>
  <dcterms:modified xsi:type="dcterms:W3CDTF">2026-09-29T12:05:53Z</dcterms:modified>
</cp:coreProperties>
</file>